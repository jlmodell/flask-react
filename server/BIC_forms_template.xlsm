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"/>
    </mc:Choice>
  </mc:AlternateContent>
  <bookViews>
    <workbookView xWindow="-120" yWindow="-120" windowWidth="38640" windowHeight="23640" firstSheet="3" activeTab="9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5" i="2" l="1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2" i="2"/>
  <c r="Y23" i="2" s="1"/>
  <c r="Y21" i="2"/>
  <c r="Y20" i="2"/>
  <c r="Y18" i="2"/>
  <c r="Y19" i="2" s="1"/>
  <c r="D13" i="3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6" i="2"/>
  <c r="Y16" i="2" l="1"/>
  <c r="Y17" i="2" s="1"/>
  <c r="M25" i="3"/>
  <c r="U63" i="2" s="1"/>
  <c r="M21" i="3"/>
  <c r="U62" i="2" s="1"/>
  <c r="M17" i="3"/>
  <c r="U61" i="2" s="1"/>
  <c r="M13" i="3"/>
  <c r="U60" i="2" s="1"/>
  <c r="L25" i="3"/>
  <c r="U59" i="2" s="1"/>
  <c r="L21" i="3"/>
  <c r="U58" i="2" s="1"/>
  <c r="L17" i="3"/>
  <c r="U57" i="2" s="1"/>
  <c r="L13" i="3"/>
  <c r="U56" i="2" s="1"/>
  <c r="K25" i="3"/>
  <c r="U55" i="2" s="1"/>
  <c r="K21" i="3"/>
  <c r="U54" i="2" s="1"/>
  <c r="K17" i="3"/>
  <c r="U53" i="2" s="1"/>
  <c r="K13" i="3"/>
  <c r="U52" i="2" s="1"/>
  <c r="J25" i="3"/>
  <c r="U51" i="2" s="1"/>
  <c r="J21" i="3"/>
  <c r="U50" i="2" s="1"/>
  <c r="J17" i="3"/>
  <c r="U49" i="2" s="1"/>
  <c r="J13" i="3"/>
  <c r="U48" i="2" s="1"/>
  <c r="I25" i="3"/>
  <c r="U47" i="2" s="1"/>
  <c r="I21" i="3"/>
  <c r="U46" i="2" s="1"/>
  <c r="I17" i="3"/>
  <c r="U45" i="2" s="1"/>
  <c r="I13" i="3"/>
  <c r="U44" i="2" s="1"/>
  <c r="H25" i="3"/>
  <c r="U43" i="2" s="1"/>
  <c r="H21" i="3"/>
  <c r="U42" i="2" s="1"/>
  <c r="H17" i="3"/>
  <c r="U41" i="2" s="1"/>
  <c r="H13" i="3"/>
  <c r="U40" i="2" s="1"/>
  <c r="G25" i="3"/>
  <c r="U39" i="2" s="1"/>
  <c r="G21" i="3"/>
  <c r="U38" i="2" s="1"/>
  <c r="G17" i="3"/>
  <c r="U37" i="2" s="1"/>
  <c r="G13" i="3"/>
  <c r="U36" i="2" s="1"/>
  <c r="F25" i="3"/>
  <c r="U35" i="2" s="1"/>
  <c r="F21" i="3"/>
  <c r="U34" i="2" s="1"/>
  <c r="F17" i="3"/>
  <c r="U33" i="2" s="1"/>
  <c r="F13" i="3"/>
  <c r="U32" i="2" s="1"/>
  <c r="E25" i="3"/>
  <c r="U31" i="2" s="1"/>
  <c r="E21" i="3"/>
  <c r="U30" i="2" s="1"/>
  <c r="E17" i="3"/>
  <c r="U29" i="2" s="1"/>
  <c r="E13" i="3"/>
  <c r="U28" i="2" s="1"/>
  <c r="D25" i="3"/>
  <c r="U27" i="2" s="1"/>
  <c r="D21" i="3"/>
  <c r="U26" i="2" s="1"/>
  <c r="D17" i="3"/>
  <c r="U25" i="2" s="1"/>
  <c r="U24" i="2"/>
  <c r="C25" i="3"/>
  <c r="U23" i="2" s="1"/>
  <c r="C21" i="3"/>
  <c r="U22" i="2" s="1"/>
  <c r="C17" i="3"/>
  <c r="U21" i="2" s="1"/>
  <c r="U20" i="2"/>
  <c r="B25" i="3"/>
  <c r="U19" i="2" s="1"/>
  <c r="B21" i="3"/>
  <c r="U18" i="2" s="1"/>
  <c r="B17" i="3"/>
  <c r="U17" i="2" s="1"/>
  <c r="B13" i="3"/>
  <c r="U16" i="2" s="1"/>
  <c r="M23" i="3"/>
  <c r="S63" i="2" s="1"/>
  <c r="M19" i="3"/>
  <c r="S62" i="2" s="1"/>
  <c r="M15" i="3"/>
  <c r="S61" i="2" s="1"/>
  <c r="M11" i="3"/>
  <c r="S60" i="2" s="1"/>
  <c r="L23" i="3"/>
  <c r="S59" i="2" s="1"/>
  <c r="L19" i="3"/>
  <c r="S58" i="2" s="1"/>
  <c r="L15" i="3"/>
  <c r="S57" i="2" s="1"/>
  <c r="L11" i="3"/>
  <c r="S56" i="2" s="1"/>
  <c r="K23" i="3"/>
  <c r="S55" i="2" s="1"/>
  <c r="K19" i="3"/>
  <c r="S54" i="2" s="1"/>
  <c r="K15" i="3"/>
  <c r="S53" i="2" s="1"/>
  <c r="K11" i="3"/>
  <c r="S52" i="2" s="1"/>
  <c r="J23" i="3"/>
  <c r="S51" i="2" s="1"/>
  <c r="J19" i="3"/>
  <c r="S50" i="2" s="1"/>
  <c r="J15" i="3"/>
  <c r="S49" i="2" s="1"/>
  <c r="J11" i="3"/>
  <c r="S48" i="2" s="1"/>
  <c r="I23" i="3"/>
  <c r="S47" i="2" s="1"/>
  <c r="I19" i="3"/>
  <c r="S46" i="2" s="1"/>
  <c r="I15" i="3"/>
  <c r="S45" i="2" s="1"/>
  <c r="I11" i="3"/>
  <c r="S44" i="2" s="1"/>
  <c r="H23" i="3"/>
  <c r="S43" i="2" s="1"/>
  <c r="H19" i="3"/>
  <c r="S42" i="2" s="1"/>
  <c r="H15" i="3"/>
  <c r="S41" i="2" s="1"/>
  <c r="H11" i="3"/>
  <c r="S40" i="2" s="1"/>
  <c r="G23" i="3"/>
  <c r="S39" i="2" s="1"/>
  <c r="G19" i="3"/>
  <c r="S38" i="2" s="1"/>
  <c r="G15" i="3"/>
  <c r="S37" i="2" s="1"/>
  <c r="G11" i="3"/>
  <c r="S36" i="2" s="1"/>
  <c r="F23" i="3"/>
  <c r="S35" i="2" s="1"/>
  <c r="F19" i="3"/>
  <c r="S34" i="2" s="1"/>
  <c r="F15" i="3"/>
  <c r="S33" i="2" s="1"/>
  <c r="F11" i="3"/>
  <c r="S32" i="2" s="1"/>
  <c r="E23" i="3"/>
  <c r="S31" i="2" s="1"/>
  <c r="E19" i="3"/>
  <c r="S30" i="2" s="1"/>
  <c r="E15" i="3"/>
  <c r="S29" i="2" s="1"/>
  <c r="E11" i="3"/>
  <c r="S28" i="2" s="1"/>
  <c r="D23" i="3"/>
  <c r="S27" i="2" s="1"/>
  <c r="D19" i="3"/>
  <c r="S26" i="2" s="1"/>
  <c r="D15" i="3"/>
  <c r="S25" i="2" s="1"/>
  <c r="D11" i="3"/>
  <c r="S24" i="2" s="1"/>
  <c r="C23" i="3"/>
  <c r="S23" i="2" s="1"/>
  <c r="C19" i="3"/>
  <c r="S22" i="2" s="1"/>
  <c r="C15" i="3"/>
  <c r="S21" i="2" s="1"/>
  <c r="C11" i="3"/>
  <c r="S20" i="2" s="1"/>
  <c r="B23" i="3"/>
  <c r="S19" i="2" s="1"/>
  <c r="B19" i="3"/>
  <c r="S18" i="2" s="1"/>
  <c r="B15" i="3"/>
  <c r="S17" i="2" s="1"/>
  <c r="B11" i="3"/>
  <c r="S16" i="2" s="1"/>
  <c r="H6" i="2" l="1"/>
  <c r="H4" i="2"/>
  <c r="H2" i="2"/>
  <c r="A95" i="8"/>
  <c r="A94" i="8"/>
  <c r="E94" i="8" s="1"/>
  <c r="A93" i="8"/>
  <c r="E93" i="8" s="1"/>
  <c r="A92" i="8"/>
  <c r="E92" i="8" s="1"/>
  <c r="A91" i="8"/>
  <c r="A90" i="8"/>
  <c r="E90" i="8" s="1"/>
  <c r="A89" i="8"/>
  <c r="E89" i="8" s="1"/>
  <c r="A88" i="8"/>
  <c r="A87" i="8"/>
  <c r="E87" i="8"/>
  <c r="A86" i="8"/>
  <c r="E86" i="8" s="1"/>
  <c r="E95" i="8"/>
  <c r="E91" i="8"/>
  <c r="C90" i="8"/>
  <c r="E88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9" i="2"/>
  <c r="T18" i="2"/>
  <c r="T17" i="2"/>
  <c r="C86" i="8" l="1"/>
  <c r="C89" i="8"/>
  <c r="C93" i="8"/>
  <c r="C94" i="8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115" i="5" l="1"/>
  <c r="E84" i="8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<sst xmlns="http://schemas.openxmlformats.org/spreadsheetml/2006/main" count="2593" uniqueCount="649">
  <si>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</si>
  <si>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</si>
  <si>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</si>
  <si>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</si>
  <si>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</si>
  <si>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</si>
  <si>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</si>
  <si>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</si>
  <si>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</si>
  <si>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</si>
  <si>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</si>
  <si>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</si>
  <si>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</si>
  <si>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</si>
  <si>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</si>
  <si>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</si>
  <si>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</si>
  <si>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</si>
  <si>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</si>
  <si>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</si>
  <si>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</si>
  <si>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</si>
  <si>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</si>
  <si>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</si>
  <si>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</si>
  <si>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</si>
  <si>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</si>
  <si>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</si>
  <si>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</si>
  <si>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</si>
  <si>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</si>
  <si>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</si>
  <si>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</si>
  <si>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</si>
  <si>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</si>
  <si>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</si>
  <si>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</si>
  <si>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</si>
  <si>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</si>
  <si>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</si>
  <si>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</si>
  <si>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</si>
  <si>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</si>
  <si>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</si>
  <si>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</si>
  <si>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</si>
  <si>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</si>
  <si>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</si>
  <si>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</si>
  <si>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</si>
  <si>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</si>
  <si>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</si>
  <si>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</si>
  <si>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</si>
  <si>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</si>
  <si>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</si>
  <si>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</si>
  <si>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</si>
  <si>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</si>
  <si>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</si>
  <si>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</si>
  <si>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</si>
  <si>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</si>
  <si>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</si>
  <si>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</si>
  <si>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</si>
  <si>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</si>
  <si>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</si>
  <si>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</si>
  <si>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</si>
  <si>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</si>
  <si>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</si>
  <si>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</si>
  <si>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</si>
  <si>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</si>
  <si>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</si>
  <si>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</si>
  <si>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</si>
  <si>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</si>
  <si>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</si>
  <si>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</si>
  <si>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</si>
  <si>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</si>
  <si>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</si>
  <si>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</si>
  <si>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</si>
  <si>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</si>
  <si>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</si>
  <si>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</si>
  <si>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</si>
  <si>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</si>
  <si>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</si>
  <si>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</si>
  <si>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</si>
  <si>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</si>
  <si>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</si>
  <si>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</si>
  <si>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</si>
  <si>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</si>
  <si>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</si>
  <si>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</si>
  <si>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</si>
  <si>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</si>
  <si>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</si>
  <si>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</si>
  <si>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</si>
  <si>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</si>
  <si>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</si>
  <si>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</si>
  <si>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</si>
  <si>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</si>
  <si>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</si>
  <si>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</si>
  <si>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</si>
  <si>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</si>
  <si>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</si>
  <si>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</si>
  <si>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</si>
  <si>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</si>
  <si>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</si>
  <si>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</si>
  <si>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</si>
  <si>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</si>
  <si>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</si>
  <si>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</si>
  <si>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</si>
  <si>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</si>
  <si>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</si>
  <si>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</si>
  <si>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</si>
  <si>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</si>
  <si>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</si>
  <si>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</si>
  <si>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</si>
  <si>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</si>
  <si>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</si>
  <si>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</si>
  <si>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</si>
  <si>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</si>
  <si>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</si>
  <si>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</si>
  <si>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</si>
  <si>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</si>
  <si>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</si>
  <si>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</si>
  <si>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</si>
  <si>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</si>
  <si>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</si>
  <si>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</si>
  <si>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</si>
  <si>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</si>
  <si>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</si>
  <si>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</si>
  <si>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</si>
  <si>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</si>
  <si>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</si>
  <si>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</si>
  <si>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</si>
  <si>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</si>
  <si>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</si>
  <si>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</si>
  <si>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</si>
  <si>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</si>
  <si>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</si>
  <si>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</si>
  <si>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</si>
  <si>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</si>
  <si>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</si>
  <si>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</si>
  <si>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</si>
  <si>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</si>
  <si>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</si>
  <si>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</si>
  <si>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</si>
  <si>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</si>
  <si>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</si>
  <si>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</si>
  <si>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</si>
  <si>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</si>
  <si>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</si>
  <si>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</si>
  <si>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</si>
  <si>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</si>
  <si>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</si>
  <si>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</si>
  <si>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</si>
  <si>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</si>
  <si>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</si>
  <si>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</si>
  <si>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</si>
  <si>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</si>
  <si>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</si>
  <si>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</si>
  <si>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</si>
  <si>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</si>
  <si>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</si>
  <si>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</si>
  <si>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</si>
  <si>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</si>
  <si>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</si>
  <si>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</si>
  <si>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</si>
  <si>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</si>
  <si>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</si>
  <si>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</si>
  <si>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</si>
  <si>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</si>
  <si>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</si>
  <si>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</si>
  <si>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</si>
  <si>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</si>
  <si>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</si>
  <si>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</si>
  <si>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</si>
  <si>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</si>
  <si>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</si>
  <si>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</si>
  <si>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</si>
  <si>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</si>
  <si>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</si>
  <si>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</si>
  <si>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</si>
  <si>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</si>
  <si>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</si>
  <si>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</si>
  <si>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</si>
  <si>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</si>
  <si>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</si>
  <si>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</si>
  <si>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</si>
  <si>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</si>
  <si>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</si>
  <si>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</si>
  <si>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</si>
  <si>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</si>
  <si>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</si>
  <si>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</si>
  <si>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</si>
  <si>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</si>
  <si>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</si>
  <si>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</si>
  <si>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</si>
  <si>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</si>
  <si>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</si>
  <si>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</si>
  <si>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</si>
  <si>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</si>
  <si>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</si>
  <si>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</si>
  <si>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</si>
  <si>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</si>
  <si>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</si>
  <si>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</si>
  <si>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</si>
  <si>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</si>
  <si>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</si>
  <si>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</si>
  <si>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</si>
  <si>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</si>
  <si>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</si>
  <si>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</si>
  <si>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</si>
  <si>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</si>
  <si>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</si>
  <si>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</si>
  <si>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</si>
  <si>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</si>
  <si>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</si>
  <si>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</si>
  <si>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</si>
  <si>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</si>
  <si>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</si>
  <si>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</si>
  <si>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</si>
  <si>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</si>
  <si>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</si>
  <si>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</si>
  <si>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</si>
  <si>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</si>
  <si>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</si>
  <si>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</si>
  <si>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</si>
  <si>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</si>
  <si>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</si>
  <si>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</si>
  <si>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</si>
  <si>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</si>
  <si>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</si>
  <si>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</si>
  <si>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</si>
  <si>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</si>
  <si>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</si>
  <si>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</si>
  <si>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</si>
  <si>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</si>
  <si>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</si>
  <si>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</si>
  <si>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</si>
  <si>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</si>
  <si>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</si>
  <si>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</si>
  <si>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</si>
  <si>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</si>
  <si>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</si>
  <si>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</si>
  <si>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</si>
  <si>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</si>
  <si>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</si>
  <si>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</si>
  <si>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</si>
  <si>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</si>
  <si>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</si>
  <si>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</si>
  <si>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</si>
  <si>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</si>
  <si>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</si>
  <si>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</si>
  <si>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</si>
  <si>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</si>
  <si>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</si>
  <si>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</si>
  <si>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</si>
  <si>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</si>
  <si>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</si>
  <si>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</si>
  <si>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</si>
  <si>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</si>
  <si>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</si>
  <si>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</si>
  <si>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</si>
  <si>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</si>
  <si>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</si>
  <si>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</si>
  <si>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</si>
  <si>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</si>
  <si>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</si>
  <si>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</si>
  <si>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</si>
  <si>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</si>
  <si>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</si>
  <si>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</si>
  <si>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</si>
  <si>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</si>
  <si>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</si>
  <si>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</si>
  <si>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</si>
  <si>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</si>
  <si>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</si>
  <si>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</si>
  <si>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</si>
  <si>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</si>
  <si>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</si>
  <si>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</si>
  <si>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</si>
  <si>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</si>
  <si>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</si>
  <si>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</si>
  <si>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</si>
  <si>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</si>
  <si>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</si>
  <si>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</si>
  <si>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</si>
  <si>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</si>
  <si>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</si>
  <si>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</si>
  <si>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</si>
  <si>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</si>
  <si>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</si>
  <si>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</si>
  <si>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</si>
  <si>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</si>
  <si>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</si>
  <si>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</si>
  <si>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</si>
  <si>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</si>
  <si>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</si>
  <si>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</si>
  <si>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</si>
  <si>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</si>
  <si>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</si>
  <si>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</si>
  <si>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</si>
  <si>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</si>
  <si>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</si>
  <si>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</si>
  <si>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</si>
  <si>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</si>
  <si>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</si>
  <si>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</si>
  <si>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</si>
  <si>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</si>
  <si>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</si>
  <si>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</si>
  <si>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</si>
  <si>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</si>
  <si>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</si>
  <si>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</si>
  <si>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</si>
  <si>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</si>
  <si>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</si>
  <si>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</si>
  <si>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</si>
  <si>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</si>
  <si>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</si>
  <si>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</si>
  <si>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</si>
  <si>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</si>
  <si>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</si>
  <si>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</si>
  <si>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</si>
  <si>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</si>
  <si>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</si>
  <si>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</si>
  <si>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</si>
  <si>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</si>
  <si>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</si>
  <si>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</si>
  <si>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</si>
  <si>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</si>
  <si>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</si>
  <si>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</si>
  <si>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</si>
  <si>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</si>
  <si>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</si>
  <si>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</si>
  <si>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</si>
  <si>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</si>
  <si>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</si>
  <si>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</si>
  <si>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</si>
  <si>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</si>
  <si>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</si>
  <si>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</si>
  <si>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</si>
  <si>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</si>
  <si>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</si>
  <si>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</si>
  <si>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</si>
  <si>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</si>
  <si>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</si>
  <si>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</si>
  <si>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</si>
  <si>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</si>
  <si>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</si>
  <si>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</si>
  <si>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</si>
  <si>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</si>
  <si>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</si>
  <si>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</si>
  <si>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</si>
  <si>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</si>
  <si>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</si>
  <si>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</si>
  <si>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</si>
  <si>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</si>
  <si>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</si>
  <si>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</si>
  <si>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</si>
  <si>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</si>
  <si>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</si>
  <si>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</si>
  <si>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</si>
  <si>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</si>
  <si>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</si>
  <si>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</si>
  <si>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</si>
  <si>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</si>
  <si>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</si>
  <si>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</si>
  <si>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</si>
  <si>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</si>
  <si>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</si>
  <si>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</si>
  <si>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</si>
  <si>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</si>
  <si>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</si>
  <si>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</si>
  <si>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</si>
  <si>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</si>
  <si>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</si>
  <si>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</si>
  <si>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</si>
  <si>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</si>
  <si>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</si>
  <si>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</si>
  <si>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</si>
  <si>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</si>
  <si>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</si>
  <si>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</si>
  <si>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</si>
  <si>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</si>
  <si>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</si>
  <si>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</si>
  <si>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</si>
  <si>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</si>
  <si>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</si>
  <si>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</si>
  <si>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</si>
  <si>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</si>
  <si>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</si>
  <si>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</si>
  <si>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</si>
  <si>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</si>
  <si>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</si>
  <si>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</si>
  <si>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</si>
  <si>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</si>
  <si>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</si>
  <si>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</si>
  <si>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</si>
  <si>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</si>
  <si>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</si>
  <si>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</si>
  <si>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</si>
  <si>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</si>
  <si>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</si>
  <si>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</si>
  <si>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</si>
  <si>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</si>
  <si>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</si>
  <si>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</si>
  <si>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</si>
  <si>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</si>
  <si>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</si>
  <si>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</si>
  <si>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</si>
  <si>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</si>
  <si>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</si>
  <si>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</si>
  <si>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</si>
  <si>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</si>
  <si>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</si>
  <si>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</si>
  <si>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</si>
  <si>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</si>
  <si>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</si>
  <si>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</si>
  <si>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</si>
  <si>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</si>
  <si>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</si>
  <si>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</si>
  <si>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</si>
  <si>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</si>
  <si>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</si>
  <si>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</si>
  <si>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</si>
  <si>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</si>
  <si>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</si>
  <si>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</si>
  <si>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</si>
  <si>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</si>
  <si>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</si>
  <si>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</si>
  <si>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</si>
  <si>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</si>
  <si>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</si>
  <si>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</si>
  <si>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</si>
  <si>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</si>
  <si>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#2702-DLB</t>
  </si>
  <si>
    <t>E^170^04^E3^287^10</t>
  </si>
  <si>
    <t>STER 5 1/2"S/BLUNT/S/50CS</t>
  </si>
  <si>
    <t>#2701-DLB</t>
  </si>
  <si>
    <t>#2686-DLB</t>
  </si>
  <si>
    <t>Ster Posi-Grip Forcep/100</t>
  </si>
  <si>
    <t>#2678-DLB</t>
  </si>
  <si>
    <t>X^019^58^68^905^56</t>
  </si>
  <si>
    <t>Ster Neurological 10RX,EX</t>
  </si>
  <si>
    <t>1052B Run Out (2/cs Short);8408C Make in House;LATE</t>
  </si>
  <si>
    <t>#2692-DLB</t>
  </si>
  <si>
    <t>B8110R1</t>
  </si>
  <si>
    <t>X^010^58^68^924^56</t>
  </si>
  <si>
    <t>Ster SS 3.2mm P/Ins/Ty20</t>
  </si>
  <si>
    <t>#2693-DLB</t>
  </si>
  <si>
    <t>Z^011^38^59^951^59</t>
  </si>
  <si>
    <t>#2696-DLB</t>
  </si>
  <si>
    <t>Z^011^38^59^953^56</t>
  </si>
  <si>
    <t>Ster Custom Pain Tray 10c</t>
  </si>
  <si>
    <t>#2718-DLB</t>
  </si>
  <si>
    <t>6295R2</t>
  </si>
  <si>
    <t>Ster S/S/Epidural/Ty10cRX</t>
  </si>
  <si>
    <t>EXPEDITE RUSH REQUESTED</t>
  </si>
  <si>
    <t>#2679-DLB</t>
  </si>
  <si>
    <t>5685R1</t>
  </si>
  <si>
    <t>X^010^58^68^922^56</t>
  </si>
  <si>
    <t>Ster Nerve B/Ty22gx 10/EX</t>
  </si>
  <si>
    <t>#2691-DLB</t>
  </si>
  <si>
    <t>B9176R1</t>
  </si>
  <si>
    <t>X^011^58^68^924^56</t>
  </si>
  <si>
    <t>Ster M/SS 4.5MM P/Ins T20</t>
  </si>
  <si>
    <t>2257B Make in House;8408C Make in House;9175C Run Out (5/cs Short)</t>
  </si>
  <si>
    <t>6510A-1</t>
  </si>
  <si>
    <t>G^370^16^G4^000^00</t>
  </si>
  <si>
    <t>BUSSE 24MIL BASIC BIOPTRY</t>
  </si>
  <si>
    <t>#2706-DLB</t>
  </si>
  <si>
    <t/>
  </si>
  <si>
    <t>#2757-DLB</t>
  </si>
  <si>
    <t>A^235^29^A2^287^25</t>
  </si>
  <si>
    <t>Ster 30X24DRAPE 4X8FEN100</t>
  </si>
  <si>
    <t>#2759-DLBS</t>
  </si>
  <si>
    <t>Ster Poole Suct Inst/50</t>
  </si>
  <si>
    <t>#2728-DLB</t>
  </si>
  <si>
    <t>F^170^25^F10^295^22</t>
  </si>
  <si>
    <t>HS STP RMVR #570-0620 /48</t>
  </si>
  <si>
    <t>#2716-DLB</t>
  </si>
  <si>
    <t>F^170^25^F10^280^22</t>
  </si>
  <si>
    <t>STER IMCO STAPLE REMVR/48</t>
  </si>
  <si>
    <t>#2729-DLB</t>
  </si>
  <si>
    <t>#2705-DLB</t>
  </si>
  <si>
    <t>#2704-DLB</t>
  </si>
  <si>
    <t>F^170^25^F8^295^14</t>
  </si>
  <si>
    <t>HS SRK 570-0619/50cs</t>
  </si>
  <si>
    <t>7202 in Q3</t>
  </si>
  <si>
    <t>#2744-DLB</t>
  </si>
  <si>
    <t>#2694-DLB</t>
  </si>
  <si>
    <t>B9175R1</t>
  </si>
  <si>
    <t>Ster F/SS 3.5mm P/Ins T20</t>
  </si>
  <si>
    <t>2257B Make in House;8408C Make in House</t>
  </si>
  <si>
    <t>#2681-D</t>
  </si>
  <si>
    <t>9074R1</t>
  </si>
  <si>
    <t>X^009^58^68^924^56</t>
  </si>
  <si>
    <t>Ster Set Up Tray 10/cs</t>
  </si>
  <si>
    <t>#2720-D</t>
  </si>
  <si>
    <t>X^009^58^68^922^71</t>
  </si>
  <si>
    <t>Ster Epidural Tray 10CS</t>
  </si>
  <si>
    <t>#2723-D</t>
  </si>
  <si>
    <t>#2680-D</t>
  </si>
  <si>
    <t>X^010^58^68^925^56</t>
  </si>
  <si>
    <t>Sterile Epidural Ty10cEX</t>
  </si>
  <si>
    <t>#2732-D</t>
  </si>
  <si>
    <t>2740R2</t>
  </si>
  <si>
    <t>Ster Nerve Block Ty10cs</t>
  </si>
  <si>
    <t>#2733-D</t>
  </si>
  <si>
    <t>7111R1</t>
  </si>
  <si>
    <t>X^013^58^68^922^56</t>
  </si>
  <si>
    <t>Ster S/S/Epid/Ty/10cRX</t>
  </si>
  <si>
    <t>STOCKING ORDER</t>
  </si>
  <si>
    <t>#2700-DLBS</t>
  </si>
  <si>
    <t>W957</t>
  </si>
  <si>
    <t>SterS/ArthrogrmTry10cs RX</t>
  </si>
  <si>
    <t>1910433W</t>
  </si>
  <si>
    <t>#2727-DLB</t>
  </si>
  <si>
    <t>Ster Dressing Chg Tray20c</t>
  </si>
  <si>
    <t>#2588-DLBS</t>
  </si>
  <si>
    <t>Ster Trach Set 20/cs</t>
  </si>
  <si>
    <t>LOW STOCK</t>
  </si>
  <si>
    <t>#2731-DS</t>
  </si>
  <si>
    <t>Ster Dressing Chg Tray/20</t>
  </si>
  <si>
    <t>7597 in Q3;HIGH SALES; LOW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</si>
</sst>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3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  <font>
      <sz val="10"/>
      <color theme="0"/>
      <name val="Arial Rounded MT Bold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0" fillId="0" borderId="0" xfId="0"/>
    <xf numFmtId="0" fontId="112" fillId="0" borderId="0" xfId="0" applyFont="1"/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90" fillId="0" borderId="0" xfId="0" applyFont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5" fillId="0" borderId="1" xfId="0" applyFont="1" applyBorder="1" applyAlignment="1">
      <alignment horizont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49" fillId="0" borderId="27" xfId="0" applyFont="1" applyBorder="1" applyAlignment="1" applyProtection="1">
      <alignment horizontal="center"/>
      <protection hidden="1"/>
    </xf>
    <xf numFmtId="0" fontId="0" fillId="0" borderId="0" xfId="0"/>
    <xf numFmtId="0" fontId="0" fillId="0" borderId="5" xfId="0" applyBorder="1"/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52" fillId="4" borderId="9" xfId="0" applyFont="1" applyFill="1" applyBorder="1" applyAlignment="1" applyProtection="1">
      <alignment horizontal="center" vertic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0" fillId="0" borderId="25" xfId="0" applyBorder="1" applyAlignment="1">
      <alignment horizontal="center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93" fillId="0" borderId="9" xfId="0" applyNumberFormat="1" applyFont="1" applyFill="1" applyBorder="1" applyProtection="1"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=""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=""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=""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=""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=""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=""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=""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=""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=""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=""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=""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=""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=""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=""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=""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=""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=""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=""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=""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=""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=""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=""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=""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=""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=""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=""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=""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=""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=""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=""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=""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=""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=""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=""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=""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=""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=""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=""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=""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=""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=""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=""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=""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=""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=""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=""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=""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=""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=""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=""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4">
        <v>90210</v>
      </c>
      <c r="B1" s="315"/>
      <c r="C1" s="68"/>
      <c r="D1" s="69"/>
      <c r="E1" s="70" t="s">
        <v>37</v>
      </c>
      <c r="F1" s="69"/>
      <c r="G1" s="69"/>
      <c r="H1" s="227" t="s">
        <v>4</v>
      </c>
      <c r="I1" s="316" t="s">
        <v>249</v>
      </c>
      <c r="J1" s="316"/>
      <c r="K1" s="69"/>
      <c r="L1" s="69"/>
    </row>
    <row r="2" spans="1:12">
      <c r="A2" s="314"/>
      <c r="B2" s="315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4"/>
      <c r="B3" s="315"/>
      <c r="C3" s="68"/>
      <c r="D3" s="317" t="s">
        <v>38</v>
      </c>
      <c r="E3" s="317"/>
      <c r="F3" s="317"/>
      <c r="G3" s="317"/>
      <c r="H3" s="317"/>
      <c r="I3" s="317"/>
      <c r="J3" s="317"/>
      <c r="K3" s="317"/>
      <c r="L3" s="317"/>
    </row>
    <row r="4" spans="1:12">
      <c r="A4" s="314"/>
      <c r="B4" s="315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4"/>
      <c r="B5" s="315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4"/>
      <c r="B6" s="315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4"/>
      <c r="B7" s="315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4"/>
      <c r="B8" s="315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4"/>
      <c r="B9" s="315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8" t="s">
        <v>45</v>
      </c>
      <c r="B10" s="318"/>
      <c r="C10" s="318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8"/>
      <c r="B11" s="318"/>
      <c r="C11" s="318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8"/>
      <c r="B12" s="318"/>
      <c r="C12" s="318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8"/>
      <c r="B13" s="318"/>
      <c r="C13" s="318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8"/>
      <c r="B14" s="318"/>
      <c r="C14" s="318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8"/>
      <c r="B15" s="318"/>
      <c r="C15" s="318"/>
      <c r="D15" s="317" t="s">
        <v>50</v>
      </c>
      <c r="E15" s="317"/>
      <c r="F15" s="317"/>
      <c r="G15" s="317"/>
      <c r="H15" s="317"/>
      <c r="I15" s="317"/>
      <c r="J15" s="317"/>
      <c r="K15" s="317"/>
      <c r="L15" s="317"/>
    </row>
    <row r="16" spans="1:12">
      <c r="A16" s="318"/>
      <c r="B16" s="318"/>
      <c r="C16" s="318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8"/>
      <c r="B17" s="318"/>
      <c r="C17" s="318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8"/>
      <c r="B18" s="318"/>
      <c r="C18" s="318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8"/>
      <c r="B19" s="318"/>
      <c r="C19" s="318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8"/>
      <c r="B20" s="318"/>
      <c r="C20" s="318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8"/>
      <c r="B21" s="318"/>
      <c r="C21" s="318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19" t="s">
        <v>65</v>
      </c>
      <c r="J26" s="319"/>
      <c r="K26" s="74"/>
      <c r="L26" s="79" t="s">
        <v>32</v>
      </c>
    </row>
    <row r="27" spans="1:12">
      <c r="A27" s="75"/>
      <c r="B27" s="75"/>
      <c r="C27" s="76"/>
      <c r="D27" s="320"/>
      <c r="E27" s="320"/>
      <c r="F27" s="69"/>
      <c r="G27" s="80"/>
      <c r="H27" s="69"/>
      <c r="I27" s="320"/>
      <c r="J27" s="320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21"/>
      <c r="G29" s="321"/>
      <c r="H29" s="69"/>
      <c r="I29" s="69" t="s">
        <v>67</v>
      </c>
      <c r="J29" s="69"/>
      <c r="K29" s="321"/>
      <c r="L29" s="321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7" t="s">
        <v>69</v>
      </c>
      <c r="E32" s="317"/>
      <c r="F32" s="317"/>
      <c r="G32" s="317"/>
      <c r="H32" s="317"/>
      <c r="I32" s="317"/>
      <c r="J32" s="317"/>
      <c r="K32" s="317"/>
      <c r="L32" s="317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11" t="s">
        <v>72</v>
      </c>
      <c r="G34" s="311"/>
      <c r="H34" s="311"/>
      <c r="I34" s="311"/>
      <c r="J34" s="312" t="s">
        <v>73</v>
      </c>
      <c r="K34" s="313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22"/>
      <c r="G35" s="322"/>
      <c r="H35" s="322"/>
      <c r="I35" s="322"/>
      <c r="J35" s="323"/>
      <c r="K35" s="324"/>
      <c r="L35" s="85"/>
    </row>
    <row r="36" spans="1:12" ht="28.9" customHeight="1">
      <c r="A36" s="75"/>
      <c r="B36" s="75"/>
      <c r="C36" s="76"/>
      <c r="D36" s="85"/>
      <c r="E36" s="85"/>
      <c r="F36" s="322"/>
      <c r="G36" s="322"/>
      <c r="H36" s="322"/>
      <c r="I36" s="322"/>
      <c r="J36" s="323"/>
      <c r="K36" s="324"/>
      <c r="L36" s="85"/>
    </row>
    <row r="37" spans="1:12" ht="28.9" customHeight="1">
      <c r="A37" s="75"/>
      <c r="B37" s="75"/>
      <c r="C37" s="76"/>
      <c r="D37" s="85"/>
      <c r="E37" s="85"/>
      <c r="F37" s="322"/>
      <c r="G37" s="322"/>
      <c r="H37" s="322"/>
      <c r="I37" s="322"/>
      <c r="J37" s="323"/>
      <c r="K37" s="324"/>
      <c r="L37" s="85"/>
    </row>
    <row r="38" spans="1:12" ht="28.9" customHeight="1">
      <c r="A38" s="75"/>
      <c r="B38" s="75"/>
      <c r="C38" s="76"/>
      <c r="D38" s="85"/>
      <c r="E38" s="85"/>
      <c r="F38" s="322"/>
      <c r="G38" s="322"/>
      <c r="H38" s="322"/>
      <c r="I38" s="322"/>
      <c r="J38" s="323"/>
      <c r="K38" s="324"/>
      <c r="L38" s="85"/>
    </row>
    <row r="39" spans="1:12" ht="28.9" customHeight="1">
      <c r="A39" s="75"/>
      <c r="B39" s="75"/>
      <c r="C39" s="76"/>
      <c r="D39" s="85"/>
      <c r="E39" s="85"/>
      <c r="F39" s="322"/>
      <c r="G39" s="322"/>
      <c r="H39" s="322"/>
      <c r="I39" s="322"/>
      <c r="J39" s="323"/>
      <c r="K39" s="324"/>
      <c r="L39" s="85"/>
    </row>
    <row r="40" spans="1:12" ht="28.9" customHeight="1">
      <c r="A40" s="75"/>
      <c r="B40" s="75"/>
      <c r="C40" s="76"/>
      <c r="D40" s="85"/>
      <c r="E40" s="85"/>
      <c r="F40" s="322"/>
      <c r="G40" s="322"/>
      <c r="H40" s="322"/>
      <c r="I40" s="322"/>
      <c r="J40" s="323"/>
      <c r="K40" s="324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8:I38"/>
    <mergeCell ref="J38:K38"/>
    <mergeCell ref="F39:I39"/>
    <mergeCell ref="J39:K39"/>
    <mergeCell ref="F40:I40"/>
    <mergeCell ref="J40:K40"/>
    <mergeCell ref="F35:I35"/>
    <mergeCell ref="J35:K35"/>
    <mergeCell ref="F36:I36"/>
    <mergeCell ref="J36:K36"/>
    <mergeCell ref="F37:I37"/>
    <mergeCell ref="J37:K37"/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zoomScale="75" zoomScaleNormal="75" zoomScaleSheetLayoutView="50" workbookViewId="0">
      <selection activeCell="G45" sqref="G45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35" t="s">
        <v>159</v>
      </c>
      <c r="D1" s="336"/>
      <c r="E1" s="336"/>
      <c r="F1" s="336"/>
      <c r="G1" s="336"/>
      <c r="H1" s="336"/>
      <c r="I1" s="336"/>
      <c r="J1" s="337" t="s">
        <v>21</v>
      </c>
      <c r="K1" s="337"/>
      <c r="L1" s="337"/>
      <c r="M1" s="337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281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25"/>
      <c r="Q11" s="325"/>
      <c r="R11" s="325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1920915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25"/>
      <c r="Q12" s="325"/>
      <c r="R12" s="325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v>24</v>
      </c>
      <c r="D13" s="209">
        <f>58-24</f>
        <v>34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25"/>
      <c r="Q13" s="325"/>
      <c r="R13" s="325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43" t="s">
        <v>158</v>
      </c>
      <c r="B27" s="333"/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4"/>
    </row>
    <row r="28" spans="1:13" ht="4.9000000000000004" customHeight="1" thickBot="1">
      <c r="A28" s="344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38" t="s">
        <v>26</v>
      </c>
      <c r="B30" s="339"/>
      <c r="C30" s="339"/>
      <c r="D30" s="339"/>
      <c r="E30" s="339"/>
      <c r="F30" s="339"/>
      <c r="G30" s="339"/>
      <c r="H30" s="339"/>
      <c r="I30" s="339"/>
      <c r="J30" s="339"/>
      <c r="K30" s="339"/>
      <c r="L30" s="339"/>
      <c r="M30" s="340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29" t="s">
        <v>250</v>
      </c>
      <c r="C33" s="330"/>
      <c r="D33" s="223" t="s">
        <v>234</v>
      </c>
      <c r="E33" s="331"/>
      <c r="F33" s="332"/>
      <c r="G33" s="307" t="s">
        <v>29</v>
      </c>
      <c r="H33" s="224"/>
      <c r="I33" s="341" t="s">
        <v>30</v>
      </c>
      <c r="J33" s="342"/>
      <c r="K33" s="342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26" t="s">
        <v>31</v>
      </c>
      <c r="B35" s="327"/>
      <c r="C35" s="327"/>
      <c r="D35" s="327"/>
      <c r="E35" s="327"/>
      <c r="F35" s="327"/>
      <c r="G35" s="327"/>
      <c r="H35" s="327"/>
      <c r="I35" s="327"/>
      <c r="J35" s="327"/>
      <c r="K35" s="327"/>
      <c r="L35" s="327"/>
      <c r="M35" s="328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C1:I1"/>
    <mergeCell ref="J1:M1"/>
    <mergeCell ref="A30:M30"/>
    <mergeCell ref="I33:K33"/>
    <mergeCell ref="A27:A28"/>
    <mergeCell ref="P11:R13"/>
    <mergeCell ref="A35:M35"/>
    <mergeCell ref="B33:C33"/>
    <mergeCell ref="E33:F33"/>
    <mergeCell ref="B27:M27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Schedule!$T$1:$T$111</xm:f>
          </x14:formula1>
          <xm:sqref>B12:M12 B24:M24 B20:M20 B16:M16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7" t="s">
        <v>161</v>
      </c>
      <c r="B1" s="347"/>
      <c r="C1" s="347"/>
      <c r="D1" s="347"/>
      <c r="E1" s="347"/>
      <c r="F1" s="194"/>
      <c r="G1" s="347" t="s">
        <v>161</v>
      </c>
      <c r="H1" s="347"/>
      <c r="I1" s="347"/>
      <c r="J1" s="347"/>
      <c r="K1" s="347"/>
    </row>
    <row r="2" spans="1:11" ht="28.15" customHeight="1">
      <c r="A2" s="347" t="s">
        <v>166</v>
      </c>
      <c r="B2" s="347"/>
      <c r="C2" s="347"/>
      <c r="D2" s="347"/>
      <c r="E2" s="347"/>
      <c r="F2" s="194"/>
      <c r="G2" s="347" t="s">
        <v>166</v>
      </c>
      <c r="H2" s="347"/>
      <c r="I2" s="347"/>
      <c r="J2" s="347"/>
      <c r="K2" s="347"/>
    </row>
    <row r="3" spans="1:11" ht="28.15" customHeight="1">
      <c r="A3" s="347" t="s">
        <v>160</v>
      </c>
      <c r="B3" s="347"/>
      <c r="C3" s="347"/>
      <c r="D3" s="347"/>
      <c r="E3" s="347"/>
      <c r="F3" s="194"/>
      <c r="G3" s="347" t="s">
        <v>160</v>
      </c>
      <c r="H3" s="347"/>
      <c r="I3" s="347"/>
      <c r="J3" s="347"/>
      <c r="K3" s="347"/>
    </row>
    <row r="4" spans="1:11" ht="28.15" customHeight="1">
      <c r="A4" s="298" t="s">
        <v>162</v>
      </c>
      <c r="B4" s="187"/>
      <c r="C4" s="346">
        <v>90210</v>
      </c>
      <c r="D4" s="346"/>
      <c r="E4" s="346"/>
      <c r="F4" s="188"/>
      <c r="G4" s="298" t="s">
        <v>162</v>
      </c>
      <c r="H4" s="187"/>
      <c r="I4" s="346">
        <v>90210</v>
      </c>
      <c r="J4" s="346"/>
      <c r="K4" s="346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5"/>
      <c r="D8" s="345"/>
      <c r="E8" s="345"/>
      <c r="F8" s="192"/>
      <c r="G8" s="20" t="s">
        <v>164</v>
      </c>
      <c r="H8" s="191"/>
      <c r="I8" s="345"/>
      <c r="J8" s="345"/>
      <c r="K8" s="345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7" t="s">
        <v>161</v>
      </c>
      <c r="B13" s="347"/>
      <c r="C13" s="347"/>
      <c r="D13" s="347"/>
      <c r="E13" s="347"/>
      <c r="F13" s="194"/>
      <c r="G13" s="347" t="s">
        <v>161</v>
      </c>
      <c r="H13" s="347"/>
      <c r="I13" s="347"/>
      <c r="J13" s="347"/>
      <c r="K13" s="347"/>
    </row>
    <row r="14" spans="1:11" ht="25.9" customHeight="1">
      <c r="A14" s="347" t="s">
        <v>166</v>
      </c>
      <c r="B14" s="347"/>
      <c r="C14" s="347"/>
      <c r="D14" s="347"/>
      <c r="E14" s="347"/>
      <c r="F14" s="194"/>
      <c r="G14" s="347" t="s">
        <v>166</v>
      </c>
      <c r="H14" s="347"/>
      <c r="I14" s="347"/>
      <c r="J14" s="347"/>
      <c r="K14" s="347"/>
    </row>
    <row r="15" spans="1:11" ht="25.9" customHeight="1">
      <c r="A15" s="347" t="s">
        <v>160</v>
      </c>
      <c r="B15" s="347"/>
      <c r="C15" s="347"/>
      <c r="D15" s="347"/>
      <c r="E15" s="347"/>
      <c r="F15" s="194"/>
      <c r="G15" s="347" t="s">
        <v>160</v>
      </c>
      <c r="H15" s="347"/>
      <c r="I15" s="347"/>
      <c r="J15" s="347"/>
      <c r="K15" s="347"/>
    </row>
    <row r="16" spans="1:11" ht="25.9" customHeight="1">
      <c r="A16" s="298" t="s">
        <v>162</v>
      </c>
      <c r="B16" s="187"/>
      <c r="C16" s="346">
        <v>90210</v>
      </c>
      <c r="D16" s="346"/>
      <c r="E16" s="346"/>
      <c r="F16" s="188"/>
      <c r="G16" s="298" t="s">
        <v>162</v>
      </c>
      <c r="H16" s="187"/>
      <c r="I16" s="346">
        <v>90210</v>
      </c>
      <c r="J16" s="346"/>
      <c r="K16" s="346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5"/>
      <c r="D20" s="345"/>
      <c r="E20" s="345"/>
      <c r="F20" s="192"/>
      <c r="G20" s="20" t="s">
        <v>164</v>
      </c>
      <c r="H20" s="191"/>
      <c r="I20" s="345"/>
      <c r="J20" s="345"/>
      <c r="K20" s="345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G1:K1"/>
    <mergeCell ref="G2:K2"/>
    <mergeCell ref="G3:K3"/>
    <mergeCell ref="A1:E1"/>
    <mergeCell ref="A2:E2"/>
    <mergeCell ref="A3:E3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C8:E8"/>
    <mergeCell ref="C4:E4"/>
    <mergeCell ref="I4:K4"/>
    <mergeCell ref="I8:K8"/>
    <mergeCell ref="C16:E16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J10" sqref="J10:K10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48">
        <v>90210</v>
      </c>
      <c r="I6" s="348"/>
      <c r="J6" s="348"/>
      <c r="K6" s="348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49">
        <f>IF('09-54-01 BIC'!$B$11="","N/A",'09-54-01 BIC'!$B$11)</f>
        <v>7830</v>
      </c>
      <c r="D10" s="349"/>
      <c r="E10" s="15" t="s">
        <v>6</v>
      </c>
      <c r="F10" s="349">
        <f>IF('09-54-01 BIC'!$B$12="","N/A",'09-54-01 BIC'!$B$12)</f>
        <v>1920883</v>
      </c>
      <c r="G10" s="349"/>
      <c r="H10" s="349"/>
      <c r="I10" s="15" t="s">
        <v>7</v>
      </c>
      <c r="J10" s="349">
        <f>IF('09-54-01 BIC'!$B$13="","N/A",'09-54-01 BIC'!$B$13)</f>
        <v>40</v>
      </c>
      <c r="K10" s="349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49" t="str">
        <f>IF('09-54-01 BIC'!$B$15="","N/A",'09-54-01 BIC'!$B$15)</f>
        <v>N/A</v>
      </c>
      <c r="D13" s="349"/>
      <c r="E13" s="15" t="s">
        <v>6</v>
      </c>
      <c r="F13" s="349" t="str">
        <f>IF('09-54-01 BIC'!$B$16="","N/A",'09-54-01 BIC'!$B$16)</f>
        <v>N/A</v>
      </c>
      <c r="G13" s="349"/>
      <c r="H13" s="349"/>
      <c r="I13" s="15" t="s">
        <v>7</v>
      </c>
      <c r="J13" s="349" t="str">
        <f>IF('09-54-01 BIC'!$B$17="","N/A",'09-54-01 BIC'!$B$17)</f>
        <v>N/A</v>
      </c>
      <c r="K13" s="349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49" t="str">
        <f>IF('09-54-01 BIC'!$B$19="","N/A",'09-54-01 BIC'!$B$19)</f>
        <v>N/A</v>
      </c>
      <c r="D16" s="349"/>
      <c r="E16" s="15" t="s">
        <v>6</v>
      </c>
      <c r="F16" s="349" t="str">
        <f>IF('09-54-01 BIC'!$B$20="","N/A",'09-54-01 BIC'!$B$20)</f>
        <v>N/A</v>
      </c>
      <c r="G16" s="349"/>
      <c r="H16" s="349"/>
      <c r="I16" s="15" t="s">
        <v>7</v>
      </c>
      <c r="J16" s="349" t="str">
        <f>IF('09-54-01 BIC'!$B$21="","N/A",'09-54-01 BIC'!$B$21)</f>
        <v>N/A</v>
      </c>
      <c r="K16" s="349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49" t="str">
        <f>IF('09-54-01 BIC'!$B$23="","N/A",'09-54-01 BIC'!$B$23)</f>
        <v>N/A</v>
      </c>
      <c r="D19" s="349"/>
      <c r="E19" s="15" t="s">
        <v>6</v>
      </c>
      <c r="F19" s="349" t="str">
        <f>IF('09-54-01 BIC'!$B$24="","N/A",'09-54-01 BIC'!$B$24)</f>
        <v>N/A</v>
      </c>
      <c r="G19" s="349"/>
      <c r="H19" s="349"/>
      <c r="I19" s="15" t="s">
        <v>7</v>
      </c>
      <c r="J19" s="349" t="str">
        <f>IF('09-54-01 BIC'!$B$25="","N/A",'09-54-01 BIC'!$B$25)</f>
        <v>N/A</v>
      </c>
      <c r="K19" s="349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49" t="s">
        <v>231</v>
      </c>
      <c r="D22" s="349"/>
      <c r="E22" s="15" t="s">
        <v>6</v>
      </c>
      <c r="F22" s="349" t="s">
        <v>231</v>
      </c>
      <c r="G22" s="349"/>
      <c r="H22" s="349"/>
      <c r="I22" s="15" t="s">
        <v>7</v>
      </c>
      <c r="J22" s="349" t="s">
        <v>231</v>
      </c>
      <c r="K22" s="349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53"/>
      <c r="E26" s="353"/>
      <c r="F26" s="353"/>
      <c r="G26" s="25"/>
      <c r="H26" s="26" t="s">
        <v>10</v>
      </c>
      <c r="I26" s="25"/>
      <c r="J26" s="354">
        <f ca="1">TODAY()</f>
        <v>43791</v>
      </c>
      <c r="K26" s="354"/>
      <c r="L26" s="354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50">
        <v>1</v>
      </c>
      <c r="H29" s="351"/>
      <c r="I29" s="352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48">
        <f>IF($H$6 = "", "", $H$6)</f>
        <v>90210</v>
      </c>
      <c r="I38" s="348"/>
      <c r="J38" s="348"/>
      <c r="K38" s="348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49">
        <f>IF('09-54-01 BIC'!$C$11="","N/A",'09-54-01 BIC'!$C$11)</f>
        <v>281</v>
      </c>
      <c r="D42" s="349"/>
      <c r="E42" s="15" t="s">
        <v>6</v>
      </c>
      <c r="F42" s="349">
        <f>IF('09-54-01 BIC'!$C$12="","N/A",'09-54-01 BIC'!$C$12)</f>
        <v>1920915</v>
      </c>
      <c r="G42" s="349"/>
      <c r="H42" s="349"/>
      <c r="I42" s="15" t="s">
        <v>7</v>
      </c>
      <c r="J42" s="349">
        <f>IF('09-54-01 BIC'!$C$13="","N/A",'09-54-01 BIC'!$C$13)</f>
        <v>24</v>
      </c>
      <c r="K42" s="349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49" t="str">
        <f>IF('09-54-01 BIC'!$C$15="","N/A",'09-54-01 BIC'!$C$15)</f>
        <v>N/A</v>
      </c>
      <c r="D45" s="349"/>
      <c r="E45" s="15" t="s">
        <v>6</v>
      </c>
      <c r="F45" s="349" t="str">
        <f>IF('09-54-01 BIC'!$C$16="","N/A",'09-54-01 BIC'!$C$16)</f>
        <v>N/A</v>
      </c>
      <c r="G45" s="349"/>
      <c r="H45" s="349"/>
      <c r="I45" s="15" t="s">
        <v>7</v>
      </c>
      <c r="J45" s="349" t="str">
        <f>IF('09-54-01 BIC'!$C$17="","N/A",'09-54-01 BIC'!$C$17)</f>
        <v>N/A</v>
      </c>
      <c r="K45" s="349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49" t="str">
        <f>IF('09-54-01 BIC'!$C$19="","N/A",'09-54-01 BIC'!$C$19)</f>
        <v>N/A</v>
      </c>
      <c r="D48" s="349"/>
      <c r="E48" s="15" t="s">
        <v>6</v>
      </c>
      <c r="F48" s="349" t="str">
        <f>IF('09-54-01 BIC'!$C$20="","N/A",'09-54-01 BIC'!$C$20)</f>
        <v>N/A</v>
      </c>
      <c r="G48" s="349"/>
      <c r="H48" s="349"/>
      <c r="I48" s="15" t="s">
        <v>7</v>
      </c>
      <c r="J48" s="349" t="str">
        <f>IF('09-54-01 BIC'!$C$21="","N/A",'09-54-01 BIC'!$C$21)</f>
        <v>N/A</v>
      </c>
      <c r="K48" s="349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49" t="str">
        <f>IF('09-54-01 BIC'!$C$23="","N/A",'09-54-01 BIC'!$C$23)</f>
        <v>N/A</v>
      </c>
      <c r="D51" s="349"/>
      <c r="E51" s="15" t="s">
        <v>6</v>
      </c>
      <c r="F51" s="349" t="str">
        <f>IF('09-54-01 BIC'!$C$24="","N/A",'09-54-01 BIC'!$C$24)</f>
        <v>N/A</v>
      </c>
      <c r="G51" s="349"/>
      <c r="H51" s="349"/>
      <c r="I51" s="15" t="s">
        <v>7</v>
      </c>
      <c r="J51" s="349" t="str">
        <f>IF('09-54-01 BIC'!$C$25="","N/A",'09-54-01 BIC'!$C$25)</f>
        <v>N/A</v>
      </c>
      <c r="K51" s="349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49" t="s">
        <v>231</v>
      </c>
      <c r="D54" s="349"/>
      <c r="E54" s="15" t="s">
        <v>6</v>
      </c>
      <c r="F54" s="349" t="s">
        <v>231</v>
      </c>
      <c r="G54" s="349"/>
      <c r="H54" s="349"/>
      <c r="I54" s="15" t="s">
        <v>7</v>
      </c>
      <c r="J54" s="349" t="s">
        <v>231</v>
      </c>
      <c r="K54" s="349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53"/>
      <c r="E58" s="353"/>
      <c r="F58" s="353"/>
      <c r="G58" s="25"/>
      <c r="H58" s="26" t="s">
        <v>10</v>
      </c>
      <c r="I58" s="25"/>
      <c r="J58" s="354">
        <f ca="1">$J$26</f>
        <v>43791</v>
      </c>
      <c r="K58" s="354"/>
      <c r="L58" s="354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50">
        <f>G29+1</f>
        <v>2</v>
      </c>
      <c r="H61" s="351"/>
      <c r="I61" s="352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48">
        <f>IF($H$6 = "", "", $H$6)</f>
        <v>90210</v>
      </c>
      <c r="I70" s="348"/>
      <c r="J70" s="348"/>
      <c r="K70" s="348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49">
        <f>IF('09-54-01 BIC'!$D$11="","N/A",'09-54-01 BIC'!$D$11)</f>
        <v>281</v>
      </c>
      <c r="D74" s="349"/>
      <c r="E74" s="15" t="s">
        <v>6</v>
      </c>
      <c r="F74" s="349">
        <f>IF('09-54-01 BIC'!$D$12="","N/A",'09-54-01 BIC'!$D$12)</f>
        <v>1920915</v>
      </c>
      <c r="G74" s="349"/>
      <c r="H74" s="349"/>
      <c r="I74" s="15" t="s">
        <v>7</v>
      </c>
      <c r="J74" s="349">
        <f>IF('09-54-01 BIC'!$D$13="","N/A",'09-54-01 BIC'!$D$13)</f>
        <v>34</v>
      </c>
      <c r="K74" s="349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49" t="str">
        <f>IF('09-54-01 BIC'!$D$15="","N/A",'09-54-01 BIC'!$D$15)</f>
        <v>N/A</v>
      </c>
      <c r="D77" s="349"/>
      <c r="E77" s="15" t="s">
        <v>6</v>
      </c>
      <c r="F77" s="349" t="str">
        <f>IF('09-54-01 BIC'!$D$16="","N/A",'09-54-01 BIC'!$D$16)</f>
        <v>N/A</v>
      </c>
      <c r="G77" s="349"/>
      <c r="H77" s="349"/>
      <c r="I77" s="15" t="s">
        <v>7</v>
      </c>
      <c r="J77" s="349" t="str">
        <f>IF('09-54-01 BIC'!$D$17="","N/A",'09-54-01 BIC'!$D$17)</f>
        <v>N/A</v>
      </c>
      <c r="K77" s="349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49" t="str">
        <f>IF('09-54-01 BIC'!$D$19="","N/A",'09-54-01 BIC'!$D$19)</f>
        <v>N/A</v>
      </c>
      <c r="D80" s="349"/>
      <c r="E80" s="15" t="s">
        <v>6</v>
      </c>
      <c r="F80" s="349" t="str">
        <f>IF('09-54-01 BIC'!$D$20="","N/A",'09-54-01 BIC'!$D$20)</f>
        <v>N/A</v>
      </c>
      <c r="G80" s="349"/>
      <c r="H80" s="349"/>
      <c r="I80" s="15" t="s">
        <v>7</v>
      </c>
      <c r="J80" s="349" t="str">
        <f>IF('09-54-01 BIC'!$D$21="","N/A",'09-54-01 BIC'!$D$21)</f>
        <v>N/A</v>
      </c>
      <c r="K80" s="349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49" t="str">
        <f>IF('09-54-01 BIC'!$D$23="","N/A",'09-54-01 BIC'!$D$23)</f>
        <v>N/A</v>
      </c>
      <c r="D83" s="349"/>
      <c r="E83" s="15" t="s">
        <v>6</v>
      </c>
      <c r="F83" s="349" t="str">
        <f>IF('09-54-01 BIC'!$D$24="","N/A",'09-54-01 BIC'!$D$24)</f>
        <v>N/A</v>
      </c>
      <c r="G83" s="349"/>
      <c r="H83" s="349"/>
      <c r="I83" s="15" t="s">
        <v>7</v>
      </c>
      <c r="J83" s="349" t="str">
        <f>IF('09-54-01 BIC'!$D$25="","N/A",'09-54-01 BIC'!$D$25)</f>
        <v>N/A</v>
      </c>
      <c r="K83" s="349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49" t="s">
        <v>231</v>
      </c>
      <c r="D86" s="349"/>
      <c r="E86" s="15" t="s">
        <v>6</v>
      </c>
      <c r="F86" s="349" t="s">
        <v>231</v>
      </c>
      <c r="G86" s="349"/>
      <c r="H86" s="349"/>
      <c r="I86" s="15" t="s">
        <v>7</v>
      </c>
      <c r="J86" s="349" t="s">
        <v>231</v>
      </c>
      <c r="K86" s="349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53"/>
      <c r="E90" s="353"/>
      <c r="F90" s="353"/>
      <c r="G90" s="25"/>
      <c r="H90" s="26" t="s">
        <v>10</v>
      </c>
      <c r="I90" s="25"/>
      <c r="J90" s="354">
        <f ca="1">$J$26</f>
        <v>43791</v>
      </c>
      <c r="K90" s="354"/>
      <c r="L90" s="354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50">
        <f>G61+1</f>
        <v>3</v>
      </c>
      <c r="H93" s="351"/>
      <c r="I93" s="352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48">
        <f>IF($H$6 = "", "", $H$6)</f>
        <v>90210</v>
      </c>
      <c r="I102" s="348"/>
      <c r="J102" s="348"/>
      <c r="K102" s="348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49" t="str">
        <f>IF('09-54-01 BIC'!$E$11="","N/A",'09-54-01 BIC'!$E$11)</f>
        <v>N/A</v>
      </c>
      <c r="D106" s="349"/>
      <c r="E106" s="15" t="s">
        <v>6</v>
      </c>
      <c r="F106" s="349" t="str">
        <f>IF('09-54-01 BIC'!$E$12="","N/A",'09-54-01 BIC'!$E$12)</f>
        <v>N/A</v>
      </c>
      <c r="G106" s="349"/>
      <c r="H106" s="349"/>
      <c r="I106" s="15" t="s">
        <v>7</v>
      </c>
      <c r="J106" s="349" t="str">
        <f>IF('09-54-01 BIC'!$E$13="","N/A",'09-54-01 BIC'!$E$13)</f>
        <v>N/A</v>
      </c>
      <c r="K106" s="349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49" t="str">
        <f>IF('09-54-01 BIC'!$E$15="","N/A",'09-54-01 BIC'!$E$15)</f>
        <v>N/A</v>
      </c>
      <c r="D109" s="349"/>
      <c r="E109" s="15" t="s">
        <v>6</v>
      </c>
      <c r="F109" s="349" t="str">
        <f>IF('09-54-01 BIC'!$E$16="","N/A",'09-54-01 BIC'!$E$16)</f>
        <v>N/A</v>
      </c>
      <c r="G109" s="349"/>
      <c r="H109" s="349"/>
      <c r="I109" s="15" t="s">
        <v>7</v>
      </c>
      <c r="J109" s="349" t="str">
        <f>IF('09-54-01 BIC'!$E$17="","N/A",'09-54-01 BIC'!$E$17)</f>
        <v>N/A</v>
      </c>
      <c r="K109" s="349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49" t="str">
        <f>IF('09-54-01 BIC'!$E$19="","N/A",'09-54-01 BIC'!$E$19)</f>
        <v>N/A</v>
      </c>
      <c r="D112" s="349"/>
      <c r="E112" s="15" t="s">
        <v>6</v>
      </c>
      <c r="F112" s="349" t="str">
        <f>IF('09-54-01 BIC'!$E$20="","N/A",'09-54-01 BIC'!$E$20)</f>
        <v>N/A</v>
      </c>
      <c r="G112" s="349"/>
      <c r="H112" s="349"/>
      <c r="I112" s="15" t="s">
        <v>7</v>
      </c>
      <c r="J112" s="349" t="str">
        <f>IF('09-54-01 BIC'!$E$21="","N/A",'09-54-01 BIC'!$E$21)</f>
        <v>N/A</v>
      </c>
      <c r="K112" s="349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49" t="str">
        <f>IF('09-54-01 BIC'!$E$23="","N/A",'09-54-01 BIC'!$E$23)</f>
        <v>N/A</v>
      </c>
      <c r="D115" s="349"/>
      <c r="E115" s="15" t="s">
        <v>6</v>
      </c>
      <c r="F115" s="349" t="str">
        <f>IF('09-54-01 BIC'!$E$24="","N/A",'09-54-01 BIC'!$E$24)</f>
        <v>N/A</v>
      </c>
      <c r="G115" s="349"/>
      <c r="H115" s="349"/>
      <c r="I115" s="15" t="s">
        <v>7</v>
      </c>
      <c r="J115" s="349" t="str">
        <f>IF('09-54-01 BIC'!$E$25="","N/A",'09-54-01 BIC'!$E$25)</f>
        <v>N/A</v>
      </c>
      <c r="K115" s="349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49" t="s">
        <v>231</v>
      </c>
      <c r="D118" s="349"/>
      <c r="E118" s="15" t="s">
        <v>6</v>
      </c>
      <c r="F118" s="349" t="s">
        <v>231</v>
      </c>
      <c r="G118" s="349"/>
      <c r="H118" s="349"/>
      <c r="I118" s="15" t="s">
        <v>7</v>
      </c>
      <c r="J118" s="349" t="s">
        <v>231</v>
      </c>
      <c r="K118" s="349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53"/>
      <c r="E122" s="353"/>
      <c r="F122" s="353"/>
      <c r="G122" s="25"/>
      <c r="H122" s="26" t="s">
        <v>10</v>
      </c>
      <c r="I122" s="25"/>
      <c r="J122" s="354">
        <f ca="1">$J$26</f>
        <v>43791</v>
      </c>
      <c r="K122" s="354"/>
      <c r="L122" s="354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50">
        <f>G93+1</f>
        <v>4</v>
      </c>
      <c r="H125" s="351"/>
      <c r="I125" s="352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48">
        <f>IF($H$6 = "", "", $H$6)</f>
        <v>90210</v>
      </c>
      <c r="I134" s="348"/>
      <c r="J134" s="348"/>
      <c r="K134" s="348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49" t="str">
        <f>IF('09-54-01 BIC'!$F$11="","N/A",'09-54-01 BIC'!$F$11)</f>
        <v>N/A</v>
      </c>
      <c r="D138" s="349"/>
      <c r="E138" s="15" t="s">
        <v>6</v>
      </c>
      <c r="F138" s="349" t="str">
        <f>IF('09-54-01 BIC'!$F$12="","N/A",'09-54-01 BIC'!$F$12)</f>
        <v>N/A</v>
      </c>
      <c r="G138" s="349"/>
      <c r="H138" s="349"/>
      <c r="I138" s="15" t="s">
        <v>7</v>
      </c>
      <c r="J138" s="349" t="str">
        <f>IF('09-54-01 BIC'!$F$13="","N/A",'09-54-01 BIC'!$F$13)</f>
        <v>N/A</v>
      </c>
      <c r="K138" s="349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49" t="str">
        <f>IF('09-54-01 BIC'!$F$15="","N/A",'09-54-01 BIC'!$F$15)</f>
        <v>N/A</v>
      </c>
      <c r="D141" s="349"/>
      <c r="E141" s="15" t="s">
        <v>6</v>
      </c>
      <c r="F141" s="349" t="str">
        <f>IF('09-54-01 BIC'!$F$16="","N/A",'09-54-01 BIC'!$F$16)</f>
        <v>N/A</v>
      </c>
      <c r="G141" s="349"/>
      <c r="H141" s="349"/>
      <c r="I141" s="15" t="s">
        <v>7</v>
      </c>
      <c r="J141" s="349" t="str">
        <f>IF('09-54-01 BIC'!$F$17="","N/A",'09-54-01 BIC'!$F$17)</f>
        <v>N/A</v>
      </c>
      <c r="K141" s="349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49" t="str">
        <f>IF('09-54-01 BIC'!$F$19="","N/A",'09-54-01 BIC'!$F$19)</f>
        <v>N/A</v>
      </c>
      <c r="D144" s="349"/>
      <c r="E144" s="15" t="s">
        <v>6</v>
      </c>
      <c r="F144" s="349" t="str">
        <f>IF('09-54-01 BIC'!$F$20="","N/A",'09-54-01 BIC'!$F$20)</f>
        <v>N/A</v>
      </c>
      <c r="G144" s="349"/>
      <c r="H144" s="349"/>
      <c r="I144" s="15" t="s">
        <v>7</v>
      </c>
      <c r="J144" s="349" t="str">
        <f>IF('09-54-01 BIC'!$F$21="","N/A",'09-54-01 BIC'!$F$21)</f>
        <v>N/A</v>
      </c>
      <c r="K144" s="349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49" t="str">
        <f>IF('09-54-01 BIC'!$F$23="","N/A",'09-54-01 BIC'!$F$23)</f>
        <v>N/A</v>
      </c>
      <c r="D147" s="349"/>
      <c r="E147" s="15" t="s">
        <v>6</v>
      </c>
      <c r="F147" s="349" t="str">
        <f>IF('09-54-01 BIC'!$F$24="","N/A",'09-54-01 BIC'!$F$24)</f>
        <v>N/A</v>
      </c>
      <c r="G147" s="349"/>
      <c r="H147" s="349"/>
      <c r="I147" s="15" t="s">
        <v>7</v>
      </c>
      <c r="J147" s="349" t="str">
        <f>IF('09-54-01 BIC'!$F$25="","N/A",'09-54-01 BIC'!$F$25)</f>
        <v>N/A</v>
      </c>
      <c r="K147" s="349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49" t="s">
        <v>231</v>
      </c>
      <c r="D150" s="349"/>
      <c r="E150" s="15" t="s">
        <v>6</v>
      </c>
      <c r="F150" s="349" t="s">
        <v>231</v>
      </c>
      <c r="G150" s="349"/>
      <c r="H150" s="349"/>
      <c r="I150" s="15" t="s">
        <v>7</v>
      </c>
      <c r="J150" s="349" t="s">
        <v>231</v>
      </c>
      <c r="K150" s="349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53"/>
      <c r="E154" s="353"/>
      <c r="F154" s="353"/>
      <c r="G154" s="25"/>
      <c r="H154" s="26" t="s">
        <v>10</v>
      </c>
      <c r="I154" s="25"/>
      <c r="J154" s="354">
        <f ca="1">$J$26</f>
        <v>43791</v>
      </c>
      <c r="K154" s="354"/>
      <c r="L154" s="354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50">
        <f>G125+1</f>
        <v>5</v>
      </c>
      <c r="H157" s="351"/>
      <c r="I157" s="352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48">
        <f>IF($H$6 = "", "", $H$6)</f>
        <v>90210</v>
      </c>
      <c r="I166" s="348"/>
      <c r="J166" s="348"/>
      <c r="K166" s="348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49" t="str">
        <f>IF('09-54-01 BIC'!$G$11="","N/A",'09-54-01 BIC'!$G$11)</f>
        <v>N/A</v>
      </c>
      <c r="D170" s="349"/>
      <c r="E170" s="15" t="s">
        <v>6</v>
      </c>
      <c r="F170" s="349" t="str">
        <f>IF('09-54-01 BIC'!$G$12="","N/A",'09-54-01 BIC'!$G$12)</f>
        <v>N/A</v>
      </c>
      <c r="G170" s="349"/>
      <c r="H170" s="349"/>
      <c r="I170" s="15" t="s">
        <v>7</v>
      </c>
      <c r="J170" s="349" t="str">
        <f>IF('09-54-01 BIC'!$G$13="","N/A",'09-54-01 BIC'!$G$13)</f>
        <v>N/A</v>
      </c>
      <c r="K170" s="349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49" t="str">
        <f>IF('09-54-01 BIC'!$G$15="","N/A",'09-54-01 BIC'!$G$15)</f>
        <v>N/A</v>
      </c>
      <c r="D173" s="349"/>
      <c r="E173" s="15" t="s">
        <v>6</v>
      </c>
      <c r="F173" s="349" t="str">
        <f>IF('09-54-01 BIC'!$G$16="","N/A",'09-54-01 BIC'!$G$16)</f>
        <v>N/A</v>
      </c>
      <c r="G173" s="349"/>
      <c r="H173" s="349"/>
      <c r="I173" s="15" t="s">
        <v>7</v>
      </c>
      <c r="J173" s="349" t="str">
        <f>IF('09-54-01 BIC'!$G$17="","N/A",'09-54-01 BIC'!$G$17)</f>
        <v>N/A</v>
      </c>
      <c r="K173" s="349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49" t="str">
        <f>IF('09-54-01 BIC'!$G$19="","N/A",'09-54-01 BIC'!$G$19)</f>
        <v>N/A</v>
      </c>
      <c r="D176" s="349"/>
      <c r="E176" s="15" t="s">
        <v>6</v>
      </c>
      <c r="F176" s="349" t="str">
        <f>IF('09-54-01 BIC'!$G$20="","N/A",'09-54-01 BIC'!$G$20)</f>
        <v>N/A</v>
      </c>
      <c r="G176" s="349"/>
      <c r="H176" s="349"/>
      <c r="I176" s="15" t="s">
        <v>7</v>
      </c>
      <c r="J176" s="349" t="str">
        <f>IF('09-54-01 BIC'!$G$21="","N/A",'09-54-01 BIC'!$G$21)</f>
        <v>N/A</v>
      </c>
      <c r="K176" s="349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49" t="str">
        <f>IF('09-54-01 BIC'!$G$23="","N/A",'09-54-01 BIC'!$G$23)</f>
        <v>N/A</v>
      </c>
      <c r="D179" s="349"/>
      <c r="E179" s="15" t="s">
        <v>6</v>
      </c>
      <c r="F179" s="349" t="str">
        <f>IF('09-54-01 BIC'!$G$24="","N/A",'09-54-01 BIC'!$G$24)</f>
        <v>N/A</v>
      </c>
      <c r="G179" s="349"/>
      <c r="H179" s="349"/>
      <c r="I179" s="15" t="s">
        <v>7</v>
      </c>
      <c r="J179" s="349" t="str">
        <f>IF('09-54-01 BIC'!$G$25="","N/A",'09-54-01 BIC'!$G$25)</f>
        <v>N/A</v>
      </c>
      <c r="K179" s="349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49" t="s">
        <v>231</v>
      </c>
      <c r="D182" s="349"/>
      <c r="E182" s="15" t="s">
        <v>6</v>
      </c>
      <c r="F182" s="349" t="s">
        <v>231</v>
      </c>
      <c r="G182" s="349"/>
      <c r="H182" s="349"/>
      <c r="I182" s="15" t="s">
        <v>7</v>
      </c>
      <c r="J182" s="349" t="s">
        <v>231</v>
      </c>
      <c r="K182" s="349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53"/>
      <c r="E186" s="353"/>
      <c r="F186" s="353"/>
      <c r="G186" s="25"/>
      <c r="H186" s="26" t="s">
        <v>10</v>
      </c>
      <c r="I186" s="25"/>
      <c r="J186" s="354">
        <f ca="1">$J$26</f>
        <v>43791</v>
      </c>
      <c r="K186" s="354"/>
      <c r="L186" s="354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50">
        <f>G157+1</f>
        <v>6</v>
      </c>
      <c r="H189" s="351"/>
      <c r="I189" s="352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48">
        <f>IF($H$6 = "", "", $H$6)</f>
        <v>90210</v>
      </c>
      <c r="I198" s="348"/>
      <c r="J198" s="348"/>
      <c r="K198" s="348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49" t="str">
        <f>IF('09-54-01 BIC'!$H$11="","N/A",'09-54-01 BIC'!$H$11)</f>
        <v>N/A</v>
      </c>
      <c r="D202" s="349"/>
      <c r="E202" s="15" t="s">
        <v>6</v>
      </c>
      <c r="F202" s="349" t="str">
        <f>IF('09-54-01 BIC'!$H$12="","N/A",'09-54-01 BIC'!$H$12)</f>
        <v>N/A</v>
      </c>
      <c r="G202" s="349"/>
      <c r="H202" s="349"/>
      <c r="I202" s="15" t="s">
        <v>7</v>
      </c>
      <c r="J202" s="349" t="str">
        <f>IF('09-54-01 BIC'!$H$13="","N/A",'09-54-01 BIC'!$H$13)</f>
        <v>N/A</v>
      </c>
      <c r="K202" s="349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49" t="str">
        <f>IF('09-54-01 BIC'!$H$15="","N/A",'09-54-01 BIC'!$H$15)</f>
        <v>N/A</v>
      </c>
      <c r="D205" s="349"/>
      <c r="E205" s="15" t="s">
        <v>6</v>
      </c>
      <c r="F205" s="349" t="str">
        <f>IF('09-54-01 BIC'!$H$16="","N/A",'09-54-01 BIC'!$H$16)</f>
        <v>N/A</v>
      </c>
      <c r="G205" s="349"/>
      <c r="H205" s="349"/>
      <c r="I205" s="15" t="s">
        <v>7</v>
      </c>
      <c r="J205" s="349" t="str">
        <f>IF('09-54-01 BIC'!$H$17="","N/A",'09-54-01 BIC'!$H$17)</f>
        <v>N/A</v>
      </c>
      <c r="K205" s="349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49" t="str">
        <f>IF('09-54-01 BIC'!$H$19="","N/A",'09-54-01 BIC'!$H$19)</f>
        <v>N/A</v>
      </c>
      <c r="D208" s="349"/>
      <c r="E208" s="15" t="s">
        <v>6</v>
      </c>
      <c r="F208" s="349" t="str">
        <f>IF('09-54-01 BIC'!$H$20="","N/A",'09-54-01 BIC'!$H$20)</f>
        <v>N/A</v>
      </c>
      <c r="G208" s="349"/>
      <c r="H208" s="349"/>
      <c r="I208" s="15" t="s">
        <v>7</v>
      </c>
      <c r="J208" s="349" t="str">
        <f>IF('09-54-01 BIC'!$H$21="","N/A",'09-54-01 BIC'!$H$21)</f>
        <v>N/A</v>
      </c>
      <c r="K208" s="349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49" t="str">
        <f>IF('09-54-01 BIC'!$H$23="","N/A",'09-54-01 BIC'!$H$23)</f>
        <v>N/A</v>
      </c>
      <c r="D211" s="349"/>
      <c r="E211" s="15" t="s">
        <v>6</v>
      </c>
      <c r="F211" s="349" t="str">
        <f>IF('09-54-01 BIC'!$H$24="","N/A",'09-54-01 BIC'!$H$24)</f>
        <v>N/A</v>
      </c>
      <c r="G211" s="349"/>
      <c r="H211" s="349"/>
      <c r="I211" s="15" t="s">
        <v>7</v>
      </c>
      <c r="J211" s="349" t="str">
        <f>IF('09-54-01 BIC'!$H$25="","N/A",'09-54-01 BIC'!$H$25)</f>
        <v>N/A</v>
      </c>
      <c r="K211" s="349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49" t="s">
        <v>231</v>
      </c>
      <c r="D214" s="349"/>
      <c r="E214" s="15" t="s">
        <v>6</v>
      </c>
      <c r="F214" s="349" t="s">
        <v>231</v>
      </c>
      <c r="G214" s="349"/>
      <c r="H214" s="349"/>
      <c r="I214" s="15" t="s">
        <v>7</v>
      </c>
      <c r="J214" s="349" t="s">
        <v>231</v>
      </c>
      <c r="K214" s="349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53"/>
      <c r="E218" s="353"/>
      <c r="F218" s="353"/>
      <c r="G218" s="25"/>
      <c r="H218" s="26" t="s">
        <v>10</v>
      </c>
      <c r="I218" s="25"/>
      <c r="J218" s="354">
        <f ca="1">$J$26</f>
        <v>43791</v>
      </c>
      <c r="K218" s="354"/>
      <c r="L218" s="354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50">
        <f>G189+1</f>
        <v>7</v>
      </c>
      <c r="H221" s="351"/>
      <c r="I221" s="352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48">
        <f>IF($H$6 = "", "", $H$6)</f>
        <v>90210</v>
      </c>
      <c r="I230" s="348"/>
      <c r="J230" s="348"/>
      <c r="K230" s="348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49" t="str">
        <f>IF('09-54-01 BIC'!$I$11="","N/A",'09-54-01 BIC'!$I$11)</f>
        <v>N/A</v>
      </c>
      <c r="D234" s="349"/>
      <c r="E234" s="15" t="s">
        <v>6</v>
      </c>
      <c r="F234" s="349" t="str">
        <f>IF('09-54-01 BIC'!$I$12="","N/A",'09-54-01 BIC'!$I$12)</f>
        <v>N/A</v>
      </c>
      <c r="G234" s="349"/>
      <c r="H234" s="349"/>
      <c r="I234" s="15" t="s">
        <v>7</v>
      </c>
      <c r="J234" s="349" t="str">
        <f>IF('09-54-01 BIC'!$I$13="","N/A",'09-54-01 BIC'!$I$13)</f>
        <v>N/A</v>
      </c>
      <c r="K234" s="349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49" t="str">
        <f>IF('09-54-01 BIC'!$I$15="","N/A",'09-54-01 BIC'!$I$15)</f>
        <v>N/A</v>
      </c>
      <c r="D237" s="349"/>
      <c r="E237" s="15" t="s">
        <v>6</v>
      </c>
      <c r="F237" s="349" t="str">
        <f>IF('09-54-01 BIC'!$I$16="","N/A",'09-54-01 BIC'!$I$16)</f>
        <v>N/A</v>
      </c>
      <c r="G237" s="349"/>
      <c r="H237" s="349"/>
      <c r="I237" s="15" t="s">
        <v>7</v>
      </c>
      <c r="J237" s="349" t="str">
        <f>IF('09-54-01 BIC'!$I$17="","N/A",'09-54-01 BIC'!$I$17)</f>
        <v>N/A</v>
      </c>
      <c r="K237" s="349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49" t="str">
        <f>IF('09-54-01 BIC'!$I$19="","N/A",'09-54-01 BIC'!$I$19)</f>
        <v>N/A</v>
      </c>
      <c r="D240" s="349"/>
      <c r="E240" s="15" t="s">
        <v>6</v>
      </c>
      <c r="F240" s="349" t="str">
        <f>IF('09-54-01 BIC'!$I$20="","N/A",'09-54-01 BIC'!$I$20)</f>
        <v>N/A</v>
      </c>
      <c r="G240" s="349"/>
      <c r="H240" s="349"/>
      <c r="I240" s="15" t="s">
        <v>7</v>
      </c>
      <c r="J240" s="349" t="str">
        <f>IF('09-54-01 BIC'!$I$21="","N/A",'09-54-01 BIC'!$I$21)</f>
        <v>N/A</v>
      </c>
      <c r="K240" s="349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49" t="str">
        <f>IF('09-54-01 BIC'!$I$23="","N/A",'09-54-01 BIC'!$I$23)</f>
        <v>N/A</v>
      </c>
      <c r="D243" s="349"/>
      <c r="E243" s="15" t="s">
        <v>6</v>
      </c>
      <c r="F243" s="349" t="str">
        <f>IF('09-54-01 BIC'!$I$24="","N/A",'09-54-01 BIC'!$I$24)</f>
        <v>N/A</v>
      </c>
      <c r="G243" s="349"/>
      <c r="H243" s="349"/>
      <c r="I243" s="15" t="s">
        <v>7</v>
      </c>
      <c r="J243" s="349" t="str">
        <f>IF('09-54-01 BIC'!$I$25="","N/A",'09-54-01 BIC'!$I$25)</f>
        <v>N/A</v>
      </c>
      <c r="K243" s="349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49" t="s">
        <v>231</v>
      </c>
      <c r="D246" s="349"/>
      <c r="E246" s="15" t="s">
        <v>6</v>
      </c>
      <c r="F246" s="349" t="s">
        <v>231</v>
      </c>
      <c r="G246" s="349"/>
      <c r="H246" s="349"/>
      <c r="I246" s="15" t="s">
        <v>7</v>
      </c>
      <c r="J246" s="349" t="s">
        <v>231</v>
      </c>
      <c r="K246" s="349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53"/>
      <c r="E250" s="353"/>
      <c r="F250" s="353"/>
      <c r="G250" s="25"/>
      <c r="H250" s="26" t="s">
        <v>10</v>
      </c>
      <c r="I250" s="25"/>
      <c r="J250" s="354">
        <f ca="1">$J$26</f>
        <v>43791</v>
      </c>
      <c r="K250" s="354"/>
      <c r="L250" s="354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50">
        <f>G221+1</f>
        <v>8</v>
      </c>
      <c r="H253" s="351"/>
      <c r="I253" s="352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48">
        <f>IF($H$6 = "", "", $H$6)</f>
        <v>90210</v>
      </c>
      <c r="I262" s="348"/>
      <c r="J262" s="348"/>
      <c r="K262" s="348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49" t="str">
        <f>IF('09-54-01 BIC'!$J$11="","N/A",'09-54-01 BIC'!$J$11)</f>
        <v>N/A</v>
      </c>
      <c r="D266" s="349"/>
      <c r="E266" s="15" t="s">
        <v>6</v>
      </c>
      <c r="F266" s="349" t="str">
        <f>IF('09-54-01 BIC'!$J$12="","N/A",'09-54-01 BIC'!$J$12)</f>
        <v>N/A</v>
      </c>
      <c r="G266" s="349"/>
      <c r="H266" s="349"/>
      <c r="I266" s="15" t="s">
        <v>7</v>
      </c>
      <c r="J266" s="349" t="str">
        <f>IF('09-54-01 BIC'!$J$13="","N/A",'09-54-01 BIC'!$J$13)</f>
        <v>N/A</v>
      </c>
      <c r="K266" s="349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49" t="str">
        <f>IF('09-54-01 BIC'!$J$15="","N/A",'09-54-01 BIC'!$J$15)</f>
        <v>N/A</v>
      </c>
      <c r="D269" s="349"/>
      <c r="E269" s="15" t="s">
        <v>6</v>
      </c>
      <c r="F269" s="349" t="str">
        <f>IF('09-54-01 BIC'!$J$16="","N/A",'09-54-01 BIC'!$J$16)</f>
        <v>N/A</v>
      </c>
      <c r="G269" s="349"/>
      <c r="H269" s="349"/>
      <c r="I269" s="15" t="s">
        <v>7</v>
      </c>
      <c r="J269" s="349" t="str">
        <f>IF('09-54-01 BIC'!$J$17="","N/A",'09-54-01 BIC'!$J$17)</f>
        <v>N/A</v>
      </c>
      <c r="K269" s="349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49" t="str">
        <f>IF('09-54-01 BIC'!$J$19="","N/A",'09-54-01 BIC'!$J$19)</f>
        <v>N/A</v>
      </c>
      <c r="D272" s="349"/>
      <c r="E272" s="15" t="s">
        <v>6</v>
      </c>
      <c r="F272" s="349" t="str">
        <f>IF('09-54-01 BIC'!$J$20="","N/A",'09-54-01 BIC'!$J$20)</f>
        <v>N/A</v>
      </c>
      <c r="G272" s="349"/>
      <c r="H272" s="349"/>
      <c r="I272" s="15" t="s">
        <v>7</v>
      </c>
      <c r="J272" s="349" t="str">
        <f>IF('09-54-01 BIC'!$J$21="","N/A",'09-54-01 BIC'!$J$21)</f>
        <v>N/A</v>
      </c>
      <c r="K272" s="349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49" t="str">
        <f>IF('09-54-01 BIC'!$J$23="","N/A",'09-54-01 BIC'!$J$23)</f>
        <v>N/A</v>
      </c>
      <c r="D275" s="349"/>
      <c r="E275" s="15" t="s">
        <v>6</v>
      </c>
      <c r="F275" s="349" t="str">
        <f>IF('09-54-01 BIC'!$J$24="","N/A",'09-54-01 BIC'!$J$24)</f>
        <v>N/A</v>
      </c>
      <c r="G275" s="349"/>
      <c r="H275" s="349"/>
      <c r="I275" s="15" t="s">
        <v>7</v>
      </c>
      <c r="J275" s="349" t="str">
        <f>IF('09-54-01 BIC'!$J$25="","N/A",'09-54-01 BIC'!$J$25)</f>
        <v>N/A</v>
      </c>
      <c r="K275" s="349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49" t="s">
        <v>231</v>
      </c>
      <c r="D278" s="349"/>
      <c r="E278" s="15" t="s">
        <v>6</v>
      </c>
      <c r="F278" s="349" t="s">
        <v>231</v>
      </c>
      <c r="G278" s="349"/>
      <c r="H278" s="349"/>
      <c r="I278" s="15" t="s">
        <v>7</v>
      </c>
      <c r="J278" s="349" t="s">
        <v>231</v>
      </c>
      <c r="K278" s="349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53"/>
      <c r="E282" s="353"/>
      <c r="F282" s="353"/>
      <c r="G282" s="25"/>
      <c r="H282" s="26" t="s">
        <v>10</v>
      </c>
      <c r="I282" s="25"/>
      <c r="J282" s="354">
        <f ca="1">$J$26</f>
        <v>43791</v>
      </c>
      <c r="K282" s="354"/>
      <c r="L282" s="354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50">
        <f>G253+1</f>
        <v>9</v>
      </c>
      <c r="H285" s="351"/>
      <c r="I285" s="352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48">
        <f>IF($H$6 = "", "", $H$6)</f>
        <v>90210</v>
      </c>
      <c r="I294" s="348"/>
      <c r="J294" s="348"/>
      <c r="K294" s="348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49" t="str">
        <f>IF('09-54-01 BIC'!$K$11="","N/A",'09-54-01 BIC'!$K$11)</f>
        <v>N/A</v>
      </c>
      <c r="D298" s="349"/>
      <c r="E298" s="15" t="s">
        <v>6</v>
      </c>
      <c r="F298" s="349" t="str">
        <f>IF('09-54-01 BIC'!$K$12="","N/A",'09-54-01 BIC'!$K$12)</f>
        <v>N/A</v>
      </c>
      <c r="G298" s="349"/>
      <c r="H298" s="349"/>
      <c r="I298" s="15" t="s">
        <v>7</v>
      </c>
      <c r="J298" s="349" t="str">
        <f>IF('09-54-01 BIC'!$K$13="","N/A",'09-54-01 BIC'!$K$13)</f>
        <v>N/A</v>
      </c>
      <c r="K298" s="349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49" t="str">
        <f>IF('09-54-01 BIC'!$K$15="","N/A",'09-54-01 BIC'!$K$15)</f>
        <v>N/A</v>
      </c>
      <c r="D301" s="349"/>
      <c r="E301" s="15" t="s">
        <v>6</v>
      </c>
      <c r="F301" s="349" t="str">
        <f>IF('09-54-01 BIC'!$K$16="","N/A",'09-54-01 BIC'!$K$16)</f>
        <v>N/A</v>
      </c>
      <c r="G301" s="349"/>
      <c r="H301" s="349"/>
      <c r="I301" s="15" t="s">
        <v>7</v>
      </c>
      <c r="J301" s="349" t="str">
        <f>IF('09-54-01 BIC'!$K$17="","N/A",'09-54-01 BIC'!$K$17)</f>
        <v>N/A</v>
      </c>
      <c r="K301" s="349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49" t="str">
        <f>IF('09-54-01 BIC'!$K$19="","N/A",'09-54-01 BIC'!$K$19)</f>
        <v>N/A</v>
      </c>
      <c r="D304" s="349"/>
      <c r="E304" s="15" t="s">
        <v>6</v>
      </c>
      <c r="F304" s="349" t="str">
        <f>IF('09-54-01 BIC'!$K$20="","N/A",'09-54-01 BIC'!$K$20)</f>
        <v>N/A</v>
      </c>
      <c r="G304" s="349"/>
      <c r="H304" s="349"/>
      <c r="I304" s="15" t="s">
        <v>7</v>
      </c>
      <c r="J304" s="349" t="str">
        <f>IF('09-54-01 BIC'!$K$21="","N/A",'09-54-01 BIC'!$K$21)</f>
        <v>N/A</v>
      </c>
      <c r="K304" s="349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49" t="str">
        <f>IF('09-54-01 BIC'!$K$23="","N/A",'09-54-01 BIC'!$K$23)</f>
        <v>N/A</v>
      </c>
      <c r="D307" s="349"/>
      <c r="E307" s="15" t="s">
        <v>6</v>
      </c>
      <c r="F307" s="349" t="str">
        <f>IF('09-54-01 BIC'!$K$24="","N/A",'09-54-01 BIC'!$K$24)</f>
        <v>N/A</v>
      </c>
      <c r="G307" s="349"/>
      <c r="H307" s="349"/>
      <c r="I307" s="15" t="s">
        <v>7</v>
      </c>
      <c r="J307" s="349" t="str">
        <f>IF('09-54-01 BIC'!$K$25="","N/A",'09-54-01 BIC'!$K$25)</f>
        <v>N/A</v>
      </c>
      <c r="K307" s="349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49" t="s">
        <v>231</v>
      </c>
      <c r="D310" s="349"/>
      <c r="E310" s="15" t="s">
        <v>6</v>
      </c>
      <c r="F310" s="349" t="s">
        <v>231</v>
      </c>
      <c r="G310" s="349"/>
      <c r="H310" s="349"/>
      <c r="I310" s="15" t="s">
        <v>7</v>
      </c>
      <c r="J310" s="349" t="s">
        <v>231</v>
      </c>
      <c r="K310" s="349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53"/>
      <c r="E314" s="353"/>
      <c r="F314" s="353"/>
      <c r="G314" s="25"/>
      <c r="H314" s="26" t="s">
        <v>10</v>
      </c>
      <c r="I314" s="25"/>
      <c r="J314" s="354">
        <f ca="1">$J$26</f>
        <v>43791</v>
      </c>
      <c r="K314" s="354"/>
      <c r="L314" s="354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50">
        <f>G285+1</f>
        <v>10</v>
      </c>
      <c r="H317" s="351"/>
      <c r="I317" s="352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48">
        <f>IF($H$6 = "", "", $H$6)</f>
        <v>90210</v>
      </c>
      <c r="I326" s="348"/>
      <c r="J326" s="348"/>
      <c r="K326" s="348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49" t="str">
        <f>IF('09-54-01 BIC'!$L$11="","N/A",'09-54-01 BIC'!$L$11)</f>
        <v>N/A</v>
      </c>
      <c r="D330" s="349"/>
      <c r="E330" s="15" t="s">
        <v>6</v>
      </c>
      <c r="F330" s="349" t="str">
        <f>IF('09-54-01 BIC'!$L$12="","N/A",'09-54-01 BIC'!$L$12)</f>
        <v>N/A</v>
      </c>
      <c r="G330" s="349"/>
      <c r="H330" s="349"/>
      <c r="I330" s="15" t="s">
        <v>7</v>
      </c>
      <c r="J330" s="349" t="str">
        <f>IF('09-54-01 BIC'!$L$13="","N/A",'09-54-01 BIC'!$L$13)</f>
        <v>N/A</v>
      </c>
      <c r="K330" s="349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49" t="str">
        <f>IF('09-54-01 BIC'!$L$15="","N/A",'09-54-01 BIC'!$L$15)</f>
        <v>N/A</v>
      </c>
      <c r="D333" s="349"/>
      <c r="E333" s="15" t="s">
        <v>6</v>
      </c>
      <c r="F333" s="349" t="str">
        <f>IF('09-54-01 BIC'!$L$16="","N/A",'09-54-01 BIC'!$L$16)</f>
        <v>N/A</v>
      </c>
      <c r="G333" s="349"/>
      <c r="H333" s="349"/>
      <c r="I333" s="15" t="s">
        <v>7</v>
      </c>
      <c r="J333" s="349" t="str">
        <f>IF('09-54-01 BIC'!$L$17="","N/A",'09-54-01 BIC'!$L$17)</f>
        <v>N/A</v>
      </c>
      <c r="K333" s="349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49" t="str">
        <f>IF('09-54-01 BIC'!$L$19="","N/A",'09-54-01 BIC'!$L$19)</f>
        <v>N/A</v>
      </c>
      <c r="D336" s="349"/>
      <c r="E336" s="15" t="s">
        <v>6</v>
      </c>
      <c r="F336" s="349" t="str">
        <f>IF('09-54-01 BIC'!$L$20="","N/A",'09-54-01 BIC'!$L$20)</f>
        <v>N/A</v>
      </c>
      <c r="G336" s="349"/>
      <c r="H336" s="349"/>
      <c r="I336" s="15" t="s">
        <v>7</v>
      </c>
      <c r="J336" s="349" t="str">
        <f>IF('09-54-01 BIC'!$L$21="","N/A",'09-54-01 BIC'!$L$21)</f>
        <v>N/A</v>
      </c>
      <c r="K336" s="349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49" t="str">
        <f>IF('09-54-01 BIC'!$L$23="","N/A",'09-54-01 BIC'!$L$23)</f>
        <v>N/A</v>
      </c>
      <c r="D339" s="349"/>
      <c r="E339" s="15" t="s">
        <v>6</v>
      </c>
      <c r="F339" s="349" t="str">
        <f>IF('09-54-01 BIC'!$L$24="","N/A",'09-54-01 BIC'!$L$24)</f>
        <v>N/A</v>
      </c>
      <c r="G339" s="349"/>
      <c r="H339" s="349"/>
      <c r="I339" s="15" t="s">
        <v>7</v>
      </c>
      <c r="J339" s="349" t="str">
        <f>IF('09-54-01 BIC'!$L$25="","N/A",'09-54-01 BIC'!$L$25)</f>
        <v>N/A</v>
      </c>
      <c r="K339" s="349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49" t="s">
        <v>231</v>
      </c>
      <c r="D342" s="349"/>
      <c r="E342" s="15" t="s">
        <v>6</v>
      </c>
      <c r="F342" s="349" t="s">
        <v>231</v>
      </c>
      <c r="G342" s="349"/>
      <c r="H342" s="349"/>
      <c r="I342" s="15" t="s">
        <v>7</v>
      </c>
      <c r="J342" s="349" t="s">
        <v>231</v>
      </c>
      <c r="K342" s="349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53"/>
      <c r="E346" s="353"/>
      <c r="F346" s="353"/>
      <c r="G346" s="25"/>
      <c r="H346" s="26" t="s">
        <v>10</v>
      </c>
      <c r="I346" s="25"/>
      <c r="J346" s="354">
        <f ca="1">$J$26</f>
        <v>43791</v>
      </c>
      <c r="K346" s="354"/>
      <c r="L346" s="354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50">
        <f>G317+1</f>
        <v>11</v>
      </c>
      <c r="H349" s="351"/>
      <c r="I349" s="352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48">
        <f>IF($H$6 = "", "", $H$6)</f>
        <v>90210</v>
      </c>
      <c r="I358" s="348"/>
      <c r="J358" s="348"/>
      <c r="K358" s="348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49" t="str">
        <f>IF('09-54-01 BIC'!$M$11="","N/A",'09-54-01 BIC'!$M$11)</f>
        <v>N/A</v>
      </c>
      <c r="D362" s="349"/>
      <c r="E362" s="15" t="s">
        <v>6</v>
      </c>
      <c r="F362" s="349" t="str">
        <f>IF('09-54-01 BIC'!$M$12="","N/A",'09-54-01 BIC'!$M$12)</f>
        <v>N/A</v>
      </c>
      <c r="G362" s="349"/>
      <c r="H362" s="349"/>
      <c r="I362" s="15" t="s">
        <v>7</v>
      </c>
      <c r="J362" s="349" t="str">
        <f>IF('09-54-01 BIC'!$M$13="","N/A",'09-54-01 BIC'!$M$13)</f>
        <v>N/A</v>
      </c>
      <c r="K362" s="349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49" t="str">
        <f>IF('09-54-01 BIC'!$M$15="","N/A",'09-54-01 BIC'!$M$15)</f>
        <v>N/A</v>
      </c>
      <c r="D365" s="349"/>
      <c r="E365" s="15" t="s">
        <v>6</v>
      </c>
      <c r="F365" s="349" t="str">
        <f>IF('09-54-01 BIC'!$M$16="","N/A",'09-54-01 BIC'!$M$16)</f>
        <v>N/A</v>
      </c>
      <c r="G365" s="349"/>
      <c r="H365" s="349"/>
      <c r="I365" s="15" t="s">
        <v>7</v>
      </c>
      <c r="J365" s="349" t="str">
        <f>IF('09-54-01 BIC'!$M$17="","N/A",'09-54-01 BIC'!$M$17)</f>
        <v>N/A</v>
      </c>
      <c r="K365" s="349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49" t="str">
        <f>IF('09-54-01 BIC'!$M$19="","N/A",'09-54-01 BIC'!$M$19)</f>
        <v>N/A</v>
      </c>
      <c r="D368" s="349"/>
      <c r="E368" s="15" t="s">
        <v>6</v>
      </c>
      <c r="F368" s="349" t="str">
        <f>IF('09-54-01 BIC'!$M$20="","N/A",'09-54-01 BIC'!$M$20)</f>
        <v>N/A</v>
      </c>
      <c r="G368" s="349"/>
      <c r="H368" s="349"/>
      <c r="I368" s="15" t="s">
        <v>7</v>
      </c>
      <c r="J368" s="349" t="str">
        <f>IF('09-54-01 BIC'!$M$21="","N/A",'09-54-01 BIC'!$M$21)</f>
        <v>N/A</v>
      </c>
      <c r="K368" s="349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49" t="str">
        <f>IF('09-54-01 BIC'!$M$23="","N/A",'09-54-01 BIC'!$M$23)</f>
        <v>N/A</v>
      </c>
      <c r="D371" s="349"/>
      <c r="E371" s="15" t="s">
        <v>6</v>
      </c>
      <c r="F371" s="349" t="str">
        <f>IF('09-54-01 BIC'!$M$24="","N/A",'09-54-01 BIC'!$M$24)</f>
        <v>N/A</v>
      </c>
      <c r="G371" s="349"/>
      <c r="H371" s="349"/>
      <c r="I371" s="15" t="s">
        <v>7</v>
      </c>
      <c r="J371" s="349" t="str">
        <f>IF('09-54-01 BIC'!$M$25="","N/A",'09-54-01 BIC'!$M$25)</f>
        <v>N/A</v>
      </c>
      <c r="K371" s="349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49" t="s">
        <v>231</v>
      </c>
      <c r="D374" s="349"/>
      <c r="E374" s="15" t="s">
        <v>6</v>
      </c>
      <c r="F374" s="349" t="s">
        <v>231</v>
      </c>
      <c r="G374" s="349"/>
      <c r="H374" s="349"/>
      <c r="I374" s="15" t="s">
        <v>7</v>
      </c>
      <c r="J374" s="349" t="s">
        <v>231</v>
      </c>
      <c r="K374" s="349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53"/>
      <c r="E378" s="353"/>
      <c r="F378" s="353"/>
      <c r="G378" s="25"/>
      <c r="H378" s="26" t="s">
        <v>10</v>
      </c>
      <c r="I378" s="25"/>
      <c r="J378" s="354">
        <f ca="1">$J$26</f>
        <v>43791</v>
      </c>
      <c r="K378" s="354"/>
      <c r="L378" s="354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50">
        <f>G349+1</f>
        <v>12</v>
      </c>
      <c r="H381" s="351"/>
      <c r="I381" s="352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63"/>
  <sheetViews>
    <sheetView zoomScale="75" zoomScaleNormal="75" zoomScaleSheetLayoutView="75" workbookViewId="0">
      <selection activeCell="V8" sqref="V8"/>
    </sheetView>
  </sheetViews>
  <sheetFormatPr defaultRowHeight="12.75"/>
  <cols>
    <col min="19" max="21" width="9" style="203"/>
    <col min="25" max="25" width="9" style="203"/>
  </cols>
  <sheetData>
    <row r="1" spans="1:26" s="32" customFormat="1" ht="18.75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S1" s="306"/>
      <c r="T1" s="306"/>
      <c r="U1" s="306"/>
      <c r="Y1" s="306"/>
    </row>
    <row r="2" spans="1:26" ht="147" thickBot="1">
      <c r="A2" s="33" t="s">
        <v>15</v>
      </c>
      <c r="H2" s="356">
        <f>INDEX(V:V,MATCH($P$4,Y:Y,0))</f>
        <v>281</v>
      </c>
      <c r="I2" s="356"/>
      <c r="J2" s="356"/>
      <c r="K2" s="356"/>
      <c r="L2" s="356"/>
      <c r="M2" s="356"/>
      <c r="N2" s="356"/>
      <c r="O2" s="356"/>
    </row>
    <row r="3" spans="1:26" ht="42" customHeight="1">
      <c r="A3" s="34"/>
    </row>
    <row r="4" spans="1:26" ht="147" thickBot="1">
      <c r="A4" s="33" t="s">
        <v>16</v>
      </c>
      <c r="H4" s="356">
        <f>INDEX(W:W,MATCH($P$4,Y:Y,0))</f>
        <v>1920915</v>
      </c>
      <c r="I4" s="356"/>
      <c r="J4" s="356"/>
      <c r="K4" s="356"/>
      <c r="L4" s="356"/>
      <c r="M4" s="356"/>
      <c r="N4" s="356"/>
      <c r="O4" s="356"/>
      <c r="P4" s="310">
        <v>2</v>
      </c>
    </row>
    <row r="5" spans="1:26" ht="42" customHeight="1"/>
    <row r="6" spans="1:26" ht="147" thickBot="1">
      <c r="A6" s="33" t="s">
        <v>7</v>
      </c>
      <c r="H6" s="356">
        <f>INDEX(X:X,MATCH($P$4,Y:Y,0))</f>
        <v>34</v>
      </c>
      <c r="I6" s="356"/>
      <c r="J6" s="356"/>
      <c r="K6" s="356"/>
      <c r="L6" s="356"/>
      <c r="M6" s="356"/>
      <c r="N6" s="356"/>
      <c r="O6" s="356"/>
    </row>
    <row r="10" spans="1:26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6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7" t="s">
        <v>19</v>
      </c>
      <c r="N14" s="358"/>
      <c r="O14" s="358"/>
      <c r="P14" s="358"/>
    </row>
    <row r="15" spans="1:26">
      <c r="V15">
        <v>281</v>
      </c>
      <c r="W15" s="309">
        <v>1920915</v>
      </c>
      <c r="X15">
        <v>24</v>
      </c>
      <c r="Y15" s="203">
        <f>IF(X15&lt;&gt;"",1,"")</f>
        <v>1</v>
      </c>
    </row>
    <row r="16" spans="1:26">
      <c r="S16" s="203">
        <f>'09-54-01 BIC'!$B$11</f>
        <v>7830</v>
      </c>
      <c r="T16" s="203">
        <f>'09-54-01 BIC'!$B$12</f>
        <v>1920883</v>
      </c>
      <c r="U16" s="203">
        <f>'09-54-01 BIC'!$B$13</f>
        <v>40</v>
      </c>
      <c r="V16">
        <v>281</v>
      </c>
      <c r="W16" s="299">
        <v>1920915</v>
      </c>
      <c r="X16">
        <v>34</v>
      </c>
      <c r="Y16" s="203">
        <f t="shared" ref="Y16:Y62" si="0">IF(X16&lt;&gt;"",$Y15+1,"")</f>
        <v>2</v>
      </c>
      <c r="Z16" s="309"/>
    </row>
    <row r="17" spans="19:26">
      <c r="S17" s="203" t="str">
        <f>'09-54-01 BIC'!$B$15</f>
        <v/>
      </c>
      <c r="T17" s="203">
        <f>'09-54-01 BIC'!$B$16</f>
        <v>0</v>
      </c>
      <c r="U17" s="203" t="str">
        <f>'09-54-01 BIC'!$B$17</f>
        <v/>
      </c>
      <c r="V17">
        <v>7830</v>
      </c>
      <c r="W17" s="309">
        <v>1920883</v>
      </c>
      <c r="X17">
        <v>40</v>
      </c>
      <c r="Y17" s="203">
        <f t="shared" si="0"/>
        <v>3</v>
      </c>
      <c r="Z17" s="309"/>
    </row>
    <row r="18" spans="19:26">
      <c r="S18" s="203" t="str">
        <f>'09-54-01 BIC'!$B$19</f>
        <v/>
      </c>
      <c r="T18" s="203">
        <f>'09-54-01 BIC'!$B$20</f>
        <v>0</v>
      </c>
      <c r="U18" s="203" t="str">
        <f>'09-54-01 BIC'!$B$21</f>
        <v/>
      </c>
      <c r="V18" t="s">
        <v>595</v>
      </c>
      <c r="W18">
        <v>0</v>
      </c>
      <c r="X18" t="s">
        <v>595</v>
      </c>
      <c r="Y18" s="203" t="str">
        <f t="shared" si="0"/>
        <v/>
      </c>
      <c r="Z18" s="309"/>
    </row>
    <row r="19" spans="19:26">
      <c r="S19" s="203" t="str">
        <f>'09-54-01 BIC'!$B$23</f>
        <v/>
      </c>
      <c r="T19" s="203">
        <f>'09-54-01 BIC'!$B$24</f>
        <v>0</v>
      </c>
      <c r="U19" s="203" t="str">
        <f>'09-54-01 BIC'!$B$25</f>
        <v/>
      </c>
      <c r="Y19" s="203" t="str">
        <f t="shared" si="0"/>
        <v/>
      </c>
    </row>
    <row r="20" spans="19:26">
      <c r="S20" s="203">
        <f>'09-54-01 BIC'!$C$11</f>
        <v>281</v>
      </c>
      <c r="T20" s="203">
        <f>'09-54-01 BIC'!$C$12</f>
        <v>1920915</v>
      </c>
      <c r="U20" s="203">
        <f>'09-54-01 BIC'!$C$13</f>
        <v>24</v>
      </c>
      <c r="Y20" s="203" t="str">
        <f t="shared" si="0"/>
        <v/>
      </c>
    </row>
    <row r="21" spans="19:26">
      <c r="S21" s="203" t="str">
        <f>'09-54-01 BIC'!$C$15</f>
        <v/>
      </c>
      <c r="T21" s="203">
        <f>'09-54-01 BIC'!$C$16</f>
        <v>0</v>
      </c>
      <c r="U21" s="203" t="str">
        <f>'09-54-01 BIC'!$C$17</f>
        <v/>
      </c>
      <c r="Y21" s="203" t="str">
        <f t="shared" si="0"/>
        <v/>
      </c>
    </row>
    <row r="22" spans="19:26">
      <c r="S22" s="203" t="str">
        <f>'09-54-01 BIC'!$C$19</f>
        <v/>
      </c>
      <c r="T22" s="203">
        <f>'09-54-01 BIC'!$C$20</f>
        <v>0</v>
      </c>
      <c r="U22" s="203" t="str">
        <f>'09-54-01 BIC'!$C$21</f>
        <v/>
      </c>
      <c r="Y22" s="203" t="str">
        <f t="shared" si="0"/>
        <v/>
      </c>
    </row>
    <row r="23" spans="19:26">
      <c r="S23" s="203" t="str">
        <f>'09-54-01 BIC'!$C$23</f>
        <v/>
      </c>
      <c r="T23" s="203">
        <f>'09-54-01 BIC'!$C$24</f>
        <v>0</v>
      </c>
      <c r="U23" s="203" t="str">
        <f>'09-54-01 BIC'!$C$25</f>
        <v/>
      </c>
      <c r="Y23" s="203" t="str">
        <f t="shared" si="0"/>
        <v/>
      </c>
    </row>
    <row r="24" spans="19:26">
      <c r="S24" s="203">
        <f>'09-54-01 BIC'!$D$11</f>
        <v>281</v>
      </c>
      <c r="T24" s="203">
        <f>'09-54-01 BIC'!$D$12</f>
        <v>1920915</v>
      </c>
      <c r="U24" s="203">
        <f>'09-54-01 BIC'!$D$13</f>
        <v>34</v>
      </c>
      <c r="Y24" s="203" t="str">
        <f t="shared" si="0"/>
        <v/>
      </c>
    </row>
    <row r="25" spans="19:26">
      <c r="S25" s="203" t="str">
        <f>'09-54-01 BIC'!$D$15</f>
        <v/>
      </c>
      <c r="T25" s="203">
        <f>'09-54-01 BIC'!$D$16</f>
        <v>0</v>
      </c>
      <c r="U25" s="203" t="str">
        <f>'09-54-01 BIC'!$D$17</f>
        <v/>
      </c>
      <c r="Y25" s="203" t="str">
        <f t="shared" si="0"/>
        <v/>
      </c>
    </row>
    <row r="26" spans="19:26">
      <c r="S26" s="203" t="str">
        <f>'09-54-01 BIC'!$D$19</f>
        <v/>
      </c>
      <c r="T26" s="203">
        <f>'09-54-01 BIC'!$D$20</f>
        <v>0</v>
      </c>
      <c r="U26" s="203" t="str">
        <f>'09-54-01 BIC'!$D$21</f>
        <v/>
      </c>
      <c r="Y26" s="203" t="str">
        <f t="shared" si="0"/>
        <v/>
      </c>
    </row>
    <row r="27" spans="19:26">
      <c r="S27" s="203" t="str">
        <f>'09-54-01 BIC'!$D$23</f>
        <v/>
      </c>
      <c r="T27" s="203">
        <f>'09-54-01 BIC'!$D$24</f>
        <v>0</v>
      </c>
      <c r="U27" s="203" t="str">
        <f>'09-54-01 BIC'!$D$25</f>
        <v/>
      </c>
      <c r="Y27" s="203" t="str">
        <f t="shared" si="0"/>
        <v/>
      </c>
    </row>
    <row r="28" spans="19:26">
      <c r="S28" s="203" t="str">
        <f>'09-54-01 BIC'!$E$11</f>
        <v/>
      </c>
      <c r="T28" s="203">
        <f>'09-54-01 BIC'!$E$12</f>
        <v>0</v>
      </c>
      <c r="U28" s="203" t="str">
        <f>'09-54-01 BIC'!$E$13</f>
        <v/>
      </c>
      <c r="Y28" s="203" t="str">
        <f t="shared" si="0"/>
        <v/>
      </c>
    </row>
    <row r="29" spans="19:26">
      <c r="S29" s="203" t="str">
        <f>'09-54-01 BIC'!$E$15</f>
        <v/>
      </c>
      <c r="T29" s="203">
        <f>'09-54-01 BIC'!$E$16</f>
        <v>0</v>
      </c>
      <c r="U29" s="203" t="str">
        <f>'09-54-01 BIC'!$E$17</f>
        <v/>
      </c>
      <c r="Y29" s="203" t="str">
        <f t="shared" si="0"/>
        <v/>
      </c>
    </row>
    <row r="30" spans="19:26">
      <c r="S30" s="203" t="str">
        <f>'09-54-01 BIC'!$E$19</f>
        <v/>
      </c>
      <c r="T30" s="203">
        <f>'09-54-01 BIC'!$E$20</f>
        <v>0</v>
      </c>
      <c r="U30" s="203" t="str">
        <f>'09-54-01 BIC'!$E$21</f>
        <v/>
      </c>
      <c r="Y30" s="203" t="str">
        <f t="shared" si="0"/>
        <v/>
      </c>
    </row>
    <row r="31" spans="19:26">
      <c r="S31" s="203" t="str">
        <f>'09-54-01 BIC'!$E$23</f>
        <v/>
      </c>
      <c r="T31" s="203">
        <f>'09-54-01 BIC'!$E$24</f>
        <v>0</v>
      </c>
      <c r="U31" s="203" t="str">
        <f>'09-54-01 BIC'!$E$25</f>
        <v/>
      </c>
      <c r="Y31" s="203" t="str">
        <f t="shared" si="0"/>
        <v/>
      </c>
    </row>
    <row r="32" spans="19:26">
      <c r="S32" s="203" t="str">
        <f>'09-54-01 BIC'!$F$11</f>
        <v/>
      </c>
      <c r="T32" s="203">
        <f>'09-54-01 BIC'!$F$12</f>
        <v>0</v>
      </c>
      <c r="U32" s="203" t="str">
        <f>'09-54-01 BIC'!$F$13</f>
        <v/>
      </c>
      <c r="Y32" s="203" t="str">
        <f t="shared" si="0"/>
        <v/>
      </c>
    </row>
    <row r="33" spans="19:25">
      <c r="S33" s="203" t="str">
        <f>'09-54-01 BIC'!$F$15</f>
        <v/>
      </c>
      <c r="T33" s="203">
        <f>'09-54-01 BIC'!$F$16</f>
        <v>0</v>
      </c>
      <c r="U33" s="203" t="str">
        <f>'09-54-01 BIC'!$F$17</f>
        <v/>
      </c>
      <c r="Y33" s="203" t="str">
        <f t="shared" si="0"/>
        <v/>
      </c>
    </row>
    <row r="34" spans="19:25">
      <c r="S34" s="203" t="str">
        <f>'09-54-01 BIC'!$F$19</f>
        <v/>
      </c>
      <c r="T34" s="203">
        <f>'09-54-01 BIC'!$F$20</f>
        <v>0</v>
      </c>
      <c r="U34" s="203" t="str">
        <f>'09-54-01 BIC'!$F$21</f>
        <v/>
      </c>
      <c r="Y34" s="203" t="str">
        <f t="shared" si="0"/>
        <v/>
      </c>
    </row>
    <row r="35" spans="19:25">
      <c r="S35" s="203" t="str">
        <f>'09-54-01 BIC'!$F$23</f>
        <v/>
      </c>
      <c r="T35" s="203">
        <f>'09-54-01 BIC'!$F$24</f>
        <v>0</v>
      </c>
      <c r="U35" s="203" t="str">
        <f>'09-54-01 BIC'!$F$25</f>
        <v/>
      </c>
      <c r="Y35" s="203" t="str">
        <f t="shared" si="0"/>
        <v/>
      </c>
    </row>
    <row r="36" spans="19:25">
      <c r="S36" s="203" t="str">
        <f>'09-54-01 BIC'!$G$11</f>
        <v/>
      </c>
      <c r="T36" s="203">
        <f>'09-54-01 BIC'!$G$12</f>
        <v>0</v>
      </c>
      <c r="U36" s="203" t="str">
        <f>'09-54-01 BIC'!$G$13</f>
        <v/>
      </c>
      <c r="Y36" s="203" t="str">
        <f t="shared" si="0"/>
        <v/>
      </c>
    </row>
    <row r="37" spans="19:25">
      <c r="S37" s="203" t="str">
        <f>'09-54-01 BIC'!$G$15</f>
        <v/>
      </c>
      <c r="T37" s="203">
        <f>'09-54-01 BIC'!$G$16</f>
        <v>0</v>
      </c>
      <c r="U37" s="203" t="str">
        <f>'09-54-01 BIC'!$G$17</f>
        <v/>
      </c>
      <c r="Y37" s="203" t="str">
        <f t="shared" si="0"/>
        <v/>
      </c>
    </row>
    <row r="38" spans="19:25">
      <c r="S38" s="203" t="str">
        <f>'09-54-01 BIC'!$G$19</f>
        <v/>
      </c>
      <c r="T38" s="203">
        <f>'09-54-01 BIC'!$G$20</f>
        <v>0</v>
      </c>
      <c r="U38" s="203" t="str">
        <f>'09-54-01 BIC'!$G$21</f>
        <v/>
      </c>
      <c r="Y38" s="203" t="str">
        <f t="shared" si="0"/>
        <v/>
      </c>
    </row>
    <row r="39" spans="19:25">
      <c r="S39" s="203" t="str">
        <f>'09-54-01 BIC'!$G$23</f>
        <v/>
      </c>
      <c r="T39" s="203">
        <f>'09-54-01 BIC'!$G$24</f>
        <v>0</v>
      </c>
      <c r="U39" s="203" t="str">
        <f>'09-54-01 BIC'!$G$25</f>
        <v/>
      </c>
      <c r="Y39" s="203" t="str">
        <f t="shared" si="0"/>
        <v/>
      </c>
    </row>
    <row r="40" spans="19:25">
      <c r="S40" s="203" t="str">
        <f>'09-54-01 BIC'!$H$11</f>
        <v/>
      </c>
      <c r="T40" s="203">
        <f>'09-54-01 BIC'!$H$12</f>
        <v>0</v>
      </c>
      <c r="U40" s="203" t="str">
        <f>'09-54-01 BIC'!$H$13</f>
        <v/>
      </c>
      <c r="Y40" s="203" t="str">
        <f t="shared" si="0"/>
        <v/>
      </c>
    </row>
    <row r="41" spans="19:25">
      <c r="S41" s="203" t="str">
        <f>'09-54-01 BIC'!$H$15</f>
        <v/>
      </c>
      <c r="T41" s="203">
        <f>'09-54-01 BIC'!$H$16</f>
        <v>0</v>
      </c>
      <c r="U41" s="203" t="str">
        <f>'09-54-01 BIC'!$H$17</f>
        <v/>
      </c>
      <c r="Y41" s="203" t="str">
        <f t="shared" si="0"/>
        <v/>
      </c>
    </row>
    <row r="42" spans="19:25">
      <c r="S42" s="203" t="str">
        <f>'09-54-01 BIC'!$H$19</f>
        <v/>
      </c>
      <c r="T42" s="203">
        <f>'09-54-01 BIC'!$H$20</f>
        <v>0</v>
      </c>
      <c r="U42" s="203" t="str">
        <f>'09-54-01 BIC'!$H$21</f>
        <v/>
      </c>
      <c r="Y42" s="203" t="str">
        <f t="shared" si="0"/>
        <v/>
      </c>
    </row>
    <row r="43" spans="19:25">
      <c r="S43" s="203" t="str">
        <f>'09-54-01 BIC'!$H$23</f>
        <v/>
      </c>
      <c r="T43" s="203">
        <f>'09-54-01 BIC'!$H$24</f>
        <v>0</v>
      </c>
      <c r="U43" s="203" t="str">
        <f>'09-54-01 BIC'!$H$25</f>
        <v/>
      </c>
      <c r="Y43" s="203" t="str">
        <f t="shared" si="0"/>
        <v/>
      </c>
    </row>
    <row r="44" spans="19:25">
      <c r="S44" s="203" t="str">
        <f>'09-54-01 BIC'!$I$11</f>
        <v/>
      </c>
      <c r="T44" s="203">
        <f>'09-54-01 BIC'!$I$12</f>
        <v>0</v>
      </c>
      <c r="U44" s="203" t="str">
        <f>'09-54-01 BIC'!$I$13</f>
        <v/>
      </c>
      <c r="Y44" s="203" t="str">
        <f t="shared" si="0"/>
        <v/>
      </c>
    </row>
    <row r="45" spans="19:25">
      <c r="S45" s="203" t="str">
        <f>'09-54-01 BIC'!$I$15</f>
        <v/>
      </c>
      <c r="T45" s="203">
        <f>'09-54-01 BIC'!$I$16</f>
        <v>0</v>
      </c>
      <c r="U45" s="203" t="str">
        <f>'09-54-01 BIC'!$I$17</f>
        <v/>
      </c>
      <c r="Y45" s="203" t="str">
        <f t="shared" si="0"/>
        <v/>
      </c>
    </row>
    <row r="46" spans="19:25">
      <c r="S46" s="203" t="str">
        <f>'09-54-01 BIC'!$I$19</f>
        <v/>
      </c>
      <c r="T46" s="203">
        <f>'09-54-01 BIC'!$I$20</f>
        <v>0</v>
      </c>
      <c r="U46" s="203" t="str">
        <f>'09-54-01 BIC'!$I$21</f>
        <v/>
      </c>
      <c r="Y46" s="203" t="str">
        <f t="shared" si="0"/>
        <v/>
      </c>
    </row>
    <row r="47" spans="19:25">
      <c r="S47" s="203" t="str">
        <f>'09-54-01 BIC'!$I$23</f>
        <v/>
      </c>
      <c r="T47" s="203">
        <f>'09-54-01 BIC'!$I$24</f>
        <v>0</v>
      </c>
      <c r="U47" s="203" t="str">
        <f>'09-54-01 BIC'!$I$25</f>
        <v/>
      </c>
      <c r="Y47" s="203" t="str">
        <f t="shared" si="0"/>
        <v/>
      </c>
    </row>
    <row r="48" spans="19:25">
      <c r="S48" s="203" t="str">
        <f>'09-54-01 BIC'!$J$11</f>
        <v/>
      </c>
      <c r="T48" s="203">
        <f>'09-54-01 BIC'!$J$12</f>
        <v>0</v>
      </c>
      <c r="U48" s="203" t="str">
        <f>'09-54-01 BIC'!$J$13</f>
        <v/>
      </c>
      <c r="Y48" s="203" t="str">
        <f t="shared" si="0"/>
        <v/>
      </c>
    </row>
    <row r="49" spans="19:25">
      <c r="S49" s="203" t="str">
        <f>'09-54-01 BIC'!$J$15</f>
        <v/>
      </c>
      <c r="T49" s="203">
        <f>'09-54-01 BIC'!$J$16</f>
        <v>0</v>
      </c>
      <c r="U49" s="203" t="str">
        <f>'09-54-01 BIC'!$J$17</f>
        <v/>
      </c>
      <c r="Y49" s="203" t="str">
        <f t="shared" si="0"/>
        <v/>
      </c>
    </row>
    <row r="50" spans="19:25">
      <c r="S50" s="203" t="str">
        <f>'09-54-01 BIC'!$J$19</f>
        <v/>
      </c>
      <c r="T50" s="203">
        <f>'09-54-01 BIC'!$J$20</f>
        <v>0</v>
      </c>
      <c r="U50" s="203" t="str">
        <f>'09-54-01 BIC'!$J$21</f>
        <v/>
      </c>
      <c r="Y50" s="203" t="str">
        <f t="shared" si="0"/>
        <v/>
      </c>
    </row>
    <row r="51" spans="19:25">
      <c r="S51" s="203" t="str">
        <f>'09-54-01 BIC'!$J$23</f>
        <v/>
      </c>
      <c r="T51" s="203">
        <f>'09-54-01 BIC'!$J$24</f>
        <v>0</v>
      </c>
      <c r="U51" s="203" t="str">
        <f>'09-54-01 BIC'!$J$25</f>
        <v/>
      </c>
      <c r="Y51" s="203" t="str">
        <f t="shared" si="0"/>
        <v/>
      </c>
    </row>
    <row r="52" spans="19:25">
      <c r="S52" s="203" t="str">
        <f>'09-54-01 BIC'!$K$11</f>
        <v/>
      </c>
      <c r="T52" s="203">
        <f>'09-54-01 BIC'!$K$12</f>
        <v>0</v>
      </c>
      <c r="U52" s="203" t="str">
        <f>'09-54-01 BIC'!$K$13</f>
        <v/>
      </c>
      <c r="Y52" s="203" t="str">
        <f t="shared" si="0"/>
        <v/>
      </c>
    </row>
    <row r="53" spans="19:25">
      <c r="S53" s="203" t="str">
        <f>'09-54-01 BIC'!$K$15</f>
        <v/>
      </c>
      <c r="T53" s="203">
        <f>'09-54-01 BIC'!$K$16</f>
        <v>0</v>
      </c>
      <c r="U53" s="203" t="str">
        <f>'09-54-01 BIC'!$K$17</f>
        <v/>
      </c>
      <c r="Y53" s="203" t="str">
        <f t="shared" si="0"/>
        <v/>
      </c>
    </row>
    <row r="54" spans="19:25">
      <c r="S54" s="203" t="str">
        <f>'09-54-01 BIC'!$K$19</f>
        <v/>
      </c>
      <c r="T54" s="203">
        <f>'09-54-01 BIC'!$K$20</f>
        <v>0</v>
      </c>
      <c r="U54" s="203" t="str">
        <f>'09-54-01 BIC'!$K$21</f>
        <v/>
      </c>
      <c r="Y54" s="203" t="str">
        <f t="shared" si="0"/>
        <v/>
      </c>
    </row>
    <row r="55" spans="19:25">
      <c r="S55" s="203" t="str">
        <f>'09-54-01 BIC'!$K$23</f>
        <v/>
      </c>
      <c r="T55" s="203">
        <f>'09-54-01 BIC'!$K$24</f>
        <v>0</v>
      </c>
      <c r="U55" s="203" t="str">
        <f>'09-54-01 BIC'!$K$25</f>
        <v/>
      </c>
      <c r="Y55" s="203" t="str">
        <f t="shared" si="0"/>
        <v/>
      </c>
    </row>
    <row r="56" spans="19:25">
      <c r="S56" s="203" t="str">
        <f>'09-54-01 BIC'!$L$11</f>
        <v/>
      </c>
      <c r="T56" s="203">
        <f>'09-54-01 BIC'!$L$12</f>
        <v>0</v>
      </c>
      <c r="U56" s="203" t="str">
        <f>'09-54-01 BIC'!$L$13</f>
        <v/>
      </c>
      <c r="Y56" s="203" t="str">
        <f t="shared" si="0"/>
        <v/>
      </c>
    </row>
    <row r="57" spans="19:25">
      <c r="S57" s="203" t="str">
        <f>'09-54-01 BIC'!$L$15</f>
        <v/>
      </c>
      <c r="T57" s="203">
        <f>'09-54-01 BIC'!$L$16</f>
        <v>0</v>
      </c>
      <c r="U57" s="203" t="str">
        <f>'09-54-01 BIC'!$L$17</f>
        <v/>
      </c>
      <c r="Y57" s="203" t="str">
        <f t="shared" si="0"/>
        <v/>
      </c>
    </row>
    <row r="58" spans="19:25">
      <c r="S58" s="203" t="str">
        <f>'09-54-01 BIC'!$L$19</f>
        <v/>
      </c>
      <c r="T58" s="203">
        <f>'09-54-01 BIC'!$L$20</f>
        <v>0</v>
      </c>
      <c r="U58" s="203" t="str">
        <f>'09-54-01 BIC'!$L$21</f>
        <v/>
      </c>
      <c r="Y58" s="203" t="str">
        <f t="shared" si="0"/>
        <v/>
      </c>
    </row>
    <row r="59" spans="19:25">
      <c r="S59" s="203" t="str">
        <f>'09-54-01 BIC'!$L$23</f>
        <v/>
      </c>
      <c r="T59" s="203">
        <f>'09-54-01 BIC'!$L$24</f>
        <v>0</v>
      </c>
      <c r="U59" s="203" t="str">
        <f>'09-54-01 BIC'!$L$25</f>
        <v/>
      </c>
      <c r="Y59" s="203" t="str">
        <f t="shared" si="0"/>
        <v/>
      </c>
    </row>
    <row r="60" spans="19:25">
      <c r="S60" s="203" t="str">
        <f>'09-54-01 BIC'!$M$11</f>
        <v/>
      </c>
      <c r="T60" s="203">
        <f>'09-54-01 BIC'!$M$12</f>
        <v>0</v>
      </c>
      <c r="U60" s="203" t="str">
        <f>'09-54-01 BIC'!$M$13</f>
        <v/>
      </c>
      <c r="Y60" s="203" t="str">
        <f t="shared" si="0"/>
        <v/>
      </c>
    </row>
    <row r="61" spans="19:25">
      <c r="S61" s="203" t="str">
        <f>'09-54-01 BIC'!$M$15</f>
        <v/>
      </c>
      <c r="T61" s="203">
        <f>'09-54-01 BIC'!$M$16</f>
        <v>0</v>
      </c>
      <c r="U61" s="203" t="str">
        <f>'09-54-01 BIC'!$M$17</f>
        <v/>
      </c>
      <c r="Y61" s="203" t="str">
        <f t="shared" si="0"/>
        <v/>
      </c>
    </row>
    <row r="62" spans="19:25">
      <c r="S62" s="203" t="str">
        <f>'09-54-01 BIC'!$M$19</f>
        <v/>
      </c>
      <c r="T62" s="203">
        <f>'09-54-01 BIC'!$M$20</f>
        <v>0</v>
      </c>
      <c r="U62" s="203" t="str">
        <f>'09-54-01 BIC'!$M$21</f>
        <v/>
      </c>
      <c r="Y62" s="203" t="str">
        <f t="shared" si="0"/>
        <v/>
      </c>
    </row>
    <row r="63" spans="19:25">
      <c r="S63" s="203" t="str">
        <f>'09-54-01 BIC'!$M$23</f>
        <v/>
      </c>
      <c r="T63" s="203">
        <f>'09-54-01 BIC'!$M$24</f>
        <v>0</v>
      </c>
      <c r="U63" s="203" t="str">
        <f>'09-54-01 BIC'!$M$25</f>
        <v/>
      </c>
    </row>
  </sheetData>
  <sortState ref="V15:X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2">
    <dataValidation showInputMessage="1" showErrorMessage="1" sqref="H4:O4"/>
    <dataValidation type="list" allowBlank="1" showInputMessage="1" showErrorMessage="1" sqref="P4">
      <formula1>$Y$15:$Y$17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59" t="s">
        <v>78</v>
      </c>
      <c r="C2" s="360"/>
      <c r="D2" s="360"/>
      <c r="E2" s="360"/>
      <c r="F2" s="360"/>
      <c r="G2" s="360"/>
      <c r="H2" s="360"/>
      <c r="I2" s="360"/>
      <c r="J2" s="360"/>
      <c r="K2" s="361"/>
      <c r="M2" s="393"/>
      <c r="N2" s="393"/>
      <c r="O2" s="393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3"/>
      <c r="N3" s="393"/>
      <c r="O3" s="393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3"/>
      <c r="N4" s="393"/>
      <c r="O4" s="393"/>
    </row>
    <row r="5" spans="2:17" ht="14.25">
      <c r="B5" s="362" t="s">
        <v>79</v>
      </c>
      <c r="C5" s="363"/>
      <c r="D5" s="363"/>
      <c r="E5" s="364" t="s">
        <v>250</v>
      </c>
      <c r="F5" s="364"/>
      <c r="G5" s="205"/>
      <c r="H5" s="206" t="s">
        <v>80</v>
      </c>
      <c r="I5" s="205"/>
      <c r="J5" s="364" t="str">
        <f>IF('09-54-01 BIC'!$M$33="","",'09-54-01 BIC'!$M$33)</f>
        <v/>
      </c>
      <c r="K5" s="365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66" t="s">
        <v>81</v>
      </c>
      <c r="C8" s="360"/>
      <c r="D8" s="361"/>
      <c r="E8" s="367" t="s">
        <v>82</v>
      </c>
      <c r="F8" s="367"/>
      <c r="G8" s="92"/>
      <c r="H8" s="367" t="s">
        <v>81</v>
      </c>
      <c r="I8" s="367"/>
      <c r="J8" s="367" t="s">
        <v>82</v>
      </c>
      <c r="K8" s="367"/>
      <c r="O8" s="203">
        <f>'09-54-01 BIC'!$B$12</f>
        <v>1920883</v>
      </c>
      <c r="Q8"/>
    </row>
    <row r="9" spans="2:17" ht="14.25">
      <c r="B9" s="368" t="str">
        <f>IF(OR(Q7="",Q7=0),"",Q7)</f>
        <v/>
      </c>
      <c r="C9" s="369"/>
      <c r="D9" s="370"/>
      <c r="E9" s="368" t="str">
        <f>IF(ISNA(INDEX(Schedule!O:O,MATCH('10-08-01'!B9,Schedule!T:T,0))),"",INDEX(Schedule!O:O,MATCH('10-08-01'!B9,Schedule!T:T,0)))</f>
        <v/>
      </c>
      <c r="F9" s="370"/>
      <c r="G9" s="201"/>
      <c r="H9" s="371" t="str">
        <f>IF(OR(Q17="",Q17=0),"",Q17)</f>
        <v/>
      </c>
      <c r="I9" s="371"/>
      <c r="J9" s="371" t="str">
        <f>IF(ISNA(INDEX(Schedule!O:O,MATCH('10-08-01'!H9,Schedule!T:T,0))),"",INDEX(Schedule!O:O,MATCH('10-08-01'!H9,Schedule!T:T,0)))</f>
        <v/>
      </c>
      <c r="K9" s="371"/>
      <c r="O9" s="203">
        <f>'09-54-01 BIC'!$B$16</f>
        <v>0</v>
      </c>
      <c r="Q9"/>
    </row>
    <row r="10" spans="2:17" ht="14.25">
      <c r="B10" s="368" t="str">
        <f t="shared" ref="B10:B18" si="0">IF(OR(Q8="",Q8=0),"",Q8)</f>
        <v/>
      </c>
      <c r="C10" s="369"/>
      <c r="D10" s="370"/>
      <c r="E10" s="368" t="str">
        <f>IF(ISNA(INDEX(Schedule!O:O,MATCH('10-08-01'!B10,Schedule!T:T,0))),"",INDEX(Schedule!O:O,MATCH('10-08-01'!B10,Schedule!T:T,0)))</f>
        <v/>
      </c>
      <c r="F10" s="370"/>
      <c r="G10" s="201"/>
      <c r="H10" s="371" t="str">
        <f t="shared" ref="H10:H18" si="1">IF(OR(Q18="",Q18=0),"",Q18)</f>
        <v/>
      </c>
      <c r="I10" s="371"/>
      <c r="J10" s="371" t="str">
        <f>IF(ISNA(INDEX(Schedule!O:O,MATCH('10-08-01'!H10,Schedule!T:T,0))),"",INDEX(Schedule!O:O,MATCH('10-08-01'!H10,Schedule!T:T,0)))</f>
        <v/>
      </c>
      <c r="K10" s="371"/>
      <c r="O10" s="203">
        <f>'09-54-01 BIC'!$B$20</f>
        <v>0</v>
      </c>
      <c r="Q10"/>
    </row>
    <row r="11" spans="2:17" ht="14.25">
      <c r="B11" s="368" t="str">
        <f t="shared" si="0"/>
        <v/>
      </c>
      <c r="C11" s="369"/>
      <c r="D11" s="370"/>
      <c r="E11" s="368" t="str">
        <f>IF(ISNA(INDEX(Schedule!O:O,MATCH('10-08-01'!B11,Schedule!T:T,0))),"",INDEX(Schedule!O:O,MATCH('10-08-01'!B11,Schedule!T:T,0)))</f>
        <v/>
      </c>
      <c r="F11" s="370"/>
      <c r="G11" s="201"/>
      <c r="H11" s="371" t="str">
        <f t="shared" si="1"/>
        <v/>
      </c>
      <c r="I11" s="371"/>
      <c r="J11" s="371" t="str">
        <f>IF(ISNA(INDEX(Schedule!O:O,MATCH('10-08-01'!H11,Schedule!T:T,0))),"",INDEX(Schedule!O:O,MATCH('10-08-01'!H11,Schedule!T:T,0)))</f>
        <v/>
      </c>
      <c r="K11" s="371"/>
      <c r="O11" s="203">
        <f>'09-54-01 BIC'!$B$24</f>
        <v>0</v>
      </c>
      <c r="Q11"/>
    </row>
    <row r="12" spans="2:17" ht="14.25">
      <c r="B12" s="368" t="str">
        <f t="shared" si="0"/>
        <v/>
      </c>
      <c r="C12" s="369"/>
      <c r="D12" s="370"/>
      <c r="E12" s="368" t="str">
        <f>IF(ISNA(INDEX(Schedule!O:O,MATCH('10-08-01'!B12,Schedule!T:T,0))),"",INDEX(Schedule!O:O,MATCH('10-08-01'!B12,Schedule!T:T,0)))</f>
        <v/>
      </c>
      <c r="F12" s="370"/>
      <c r="G12" s="201"/>
      <c r="H12" s="371" t="str">
        <f t="shared" si="1"/>
        <v/>
      </c>
      <c r="I12" s="371"/>
      <c r="J12" s="371" t="str">
        <f>IF(ISNA(INDEX(Schedule!O:O,MATCH('10-08-01'!H12,Schedule!T:T,0))),"",INDEX(Schedule!O:O,MATCH('10-08-01'!H12,Schedule!T:T,0)))</f>
        <v/>
      </c>
      <c r="K12" s="371"/>
      <c r="O12" s="203">
        <f>'09-54-01 BIC'!$C$12</f>
        <v>1920915</v>
      </c>
      <c r="Q12"/>
    </row>
    <row r="13" spans="2:17" ht="14.25">
      <c r="B13" s="368" t="str">
        <f t="shared" si="0"/>
        <v/>
      </c>
      <c r="C13" s="369"/>
      <c r="D13" s="370"/>
      <c r="E13" s="368" t="str">
        <f>IF(ISNA(INDEX(Schedule!O:O,MATCH('10-08-01'!B13,Schedule!T:T,0))),"",INDEX(Schedule!O:O,MATCH('10-08-01'!B13,Schedule!T:T,0)))</f>
        <v/>
      </c>
      <c r="F13" s="370"/>
      <c r="G13" s="201"/>
      <c r="H13" s="371" t="str">
        <f t="shared" si="1"/>
        <v/>
      </c>
      <c r="I13" s="371"/>
      <c r="J13" s="371" t="str">
        <f>IF(ISNA(INDEX(Schedule!O:O,MATCH('10-08-01'!H13,Schedule!T:T,0))),"",INDEX(Schedule!O:O,MATCH('10-08-01'!H13,Schedule!T:T,0)))</f>
        <v/>
      </c>
      <c r="K13" s="371"/>
      <c r="O13" s="203">
        <f>'09-54-01 BIC'!$C$16</f>
        <v>0</v>
      </c>
      <c r="Q13"/>
    </row>
    <row r="14" spans="2:17" ht="14.25">
      <c r="B14" s="368" t="str">
        <f t="shared" si="0"/>
        <v/>
      </c>
      <c r="C14" s="369"/>
      <c r="D14" s="370"/>
      <c r="E14" s="368" t="str">
        <f>IF(ISNA(INDEX(Schedule!O:O,MATCH('10-08-01'!B14,Schedule!T:T,0))),"",INDEX(Schedule!O:O,MATCH('10-08-01'!B14,Schedule!T:T,0)))</f>
        <v/>
      </c>
      <c r="F14" s="370"/>
      <c r="G14" s="201"/>
      <c r="H14" s="371" t="str">
        <f t="shared" si="1"/>
        <v/>
      </c>
      <c r="I14" s="371"/>
      <c r="J14" s="371" t="str">
        <f>IF(ISNA(INDEX(Schedule!O:O,MATCH('10-08-01'!H14,Schedule!T:T,0))),"",INDEX(Schedule!O:O,MATCH('10-08-01'!H14,Schedule!T:T,0)))</f>
        <v/>
      </c>
      <c r="K14" s="371"/>
      <c r="O14" s="203">
        <f>'09-54-01 BIC'!$C$20</f>
        <v>0</v>
      </c>
      <c r="Q14"/>
    </row>
    <row r="15" spans="2:17" ht="14.25">
      <c r="B15" s="368" t="str">
        <f t="shared" si="0"/>
        <v/>
      </c>
      <c r="C15" s="369"/>
      <c r="D15" s="370"/>
      <c r="E15" s="368" t="str">
        <f>IF(ISNA(INDEX(Schedule!O:O,MATCH('10-08-01'!B15,Schedule!T:T,0))),"",INDEX(Schedule!O:O,MATCH('10-08-01'!B15,Schedule!T:T,0)))</f>
        <v/>
      </c>
      <c r="F15" s="370"/>
      <c r="G15" s="201"/>
      <c r="H15" s="371" t="str">
        <f t="shared" si="1"/>
        <v/>
      </c>
      <c r="I15" s="371"/>
      <c r="J15" s="371" t="str">
        <f>IF(ISNA(INDEX(Schedule!O:O,MATCH('10-08-01'!H15,Schedule!T:T,0))),"",INDEX(Schedule!O:O,MATCH('10-08-01'!H15,Schedule!T:T,0)))</f>
        <v/>
      </c>
      <c r="K15" s="371"/>
      <c r="O15" s="203">
        <f>'09-54-01 BIC'!$C$24</f>
        <v>0</v>
      </c>
      <c r="Q15"/>
    </row>
    <row r="16" spans="2:17" ht="14.25">
      <c r="B16" s="368" t="str">
        <f t="shared" si="0"/>
        <v/>
      </c>
      <c r="C16" s="369"/>
      <c r="D16" s="370"/>
      <c r="E16" s="368" t="str">
        <f>IF(ISNA(INDEX(Schedule!O:O,MATCH('10-08-01'!B16,Schedule!T:T,0))),"",INDEX(Schedule!O:O,MATCH('10-08-01'!B16,Schedule!T:T,0)))</f>
        <v/>
      </c>
      <c r="F16" s="370"/>
      <c r="G16" s="201"/>
      <c r="H16" s="371" t="str">
        <f t="shared" si="1"/>
        <v/>
      </c>
      <c r="I16" s="371"/>
      <c r="J16" s="371" t="str">
        <f>IF(ISNA(INDEX(Schedule!O:O,MATCH('10-08-01'!H16,Schedule!T:T,0))),"",INDEX(Schedule!O:O,MATCH('10-08-01'!H16,Schedule!T:T,0)))</f>
        <v/>
      </c>
      <c r="K16" s="371"/>
      <c r="O16" s="203">
        <f>'09-54-01 BIC'!$D$12</f>
        <v>1920915</v>
      </c>
      <c r="Q16"/>
    </row>
    <row r="17" spans="1:17" ht="14.25">
      <c r="B17" s="368" t="str">
        <f t="shared" si="0"/>
        <v/>
      </c>
      <c r="C17" s="369"/>
      <c r="D17" s="370"/>
      <c r="E17" s="368" t="str">
        <f>IF(ISNA(INDEX(Schedule!O:O,MATCH('10-08-01'!B17,Schedule!T:T,0))),"",INDEX(Schedule!O:O,MATCH('10-08-01'!B17,Schedule!T:T,0)))</f>
        <v/>
      </c>
      <c r="F17" s="370"/>
      <c r="G17" s="201"/>
      <c r="H17" s="371" t="str">
        <f t="shared" si="1"/>
        <v/>
      </c>
      <c r="I17" s="371"/>
      <c r="J17" s="371" t="str">
        <f>IF(ISNA(INDEX(Schedule!O:O,MATCH('10-08-01'!H17,Schedule!T:T,0))),"",INDEX(Schedule!O:O,MATCH('10-08-01'!H17,Schedule!T:T,0)))</f>
        <v/>
      </c>
      <c r="K17" s="371"/>
      <c r="O17" s="203">
        <f>'09-54-01 BIC'!$D$16</f>
        <v>0</v>
      </c>
      <c r="Q17"/>
    </row>
    <row r="18" spans="1:17" ht="14.25">
      <c r="B18" s="368" t="str">
        <f t="shared" si="0"/>
        <v/>
      </c>
      <c r="C18" s="369"/>
      <c r="D18" s="370"/>
      <c r="E18" s="368" t="str">
        <f>IF(ISNA(INDEX(Schedule!O:O,MATCH('10-08-01'!B18,Schedule!T:T,0))),"",INDEX(Schedule!O:O,MATCH('10-08-01'!B18,Schedule!T:T,0)))</f>
        <v/>
      </c>
      <c r="F18" s="370"/>
      <c r="G18" s="201"/>
      <c r="H18" s="371" t="str">
        <f t="shared" si="1"/>
        <v/>
      </c>
      <c r="I18" s="371"/>
      <c r="J18" s="371" t="str">
        <f>IF(ISNA(INDEX(Schedule!O:O,MATCH('10-08-01'!H18,Schedule!T:T,0))),"",INDEX(Schedule!O:O,MATCH('10-08-01'!H18,Schedule!T:T,0)))</f>
        <v/>
      </c>
      <c r="K18" s="371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72" t="s">
        <v>83</v>
      </c>
      <c r="C21" s="373"/>
      <c r="D21" s="373"/>
      <c r="E21" s="373"/>
      <c r="F21" s="373"/>
      <c r="G21" s="373"/>
      <c r="H21" s="373"/>
      <c r="I21" s="373"/>
      <c r="J21" s="373"/>
      <c r="K21" s="373"/>
      <c r="O21" s="203">
        <f>'09-54-01 BIC'!$E$16</f>
        <v>0</v>
      </c>
      <c r="Q21"/>
    </row>
    <row r="22" spans="1:17">
      <c r="B22" s="374" t="s">
        <v>84</v>
      </c>
      <c r="C22" s="375"/>
      <c r="D22" s="375"/>
      <c r="E22" s="376"/>
      <c r="F22" s="380" t="s">
        <v>85</v>
      </c>
      <c r="G22" s="381"/>
      <c r="H22" s="380" t="s">
        <v>86</v>
      </c>
      <c r="I22" s="376"/>
      <c r="J22" s="389" t="s">
        <v>87</v>
      </c>
      <c r="K22" s="390"/>
      <c r="O22" s="203">
        <f>'09-54-01 BIC'!$E$20</f>
        <v>0</v>
      </c>
      <c r="Q22"/>
    </row>
    <row r="23" spans="1:17">
      <c r="B23" s="377"/>
      <c r="C23" s="378"/>
      <c r="D23" s="378"/>
      <c r="E23" s="379"/>
      <c r="F23" s="382"/>
      <c r="G23" s="383"/>
      <c r="H23" s="377"/>
      <c r="I23" s="379"/>
      <c r="J23" s="391"/>
      <c r="K23" s="392"/>
      <c r="O23" s="203">
        <f>'09-54-01 BIC'!$E$24</f>
        <v>0</v>
      </c>
      <c r="Q23"/>
    </row>
    <row r="24" spans="1:17">
      <c r="A24" s="38"/>
      <c r="B24" s="384" t="s">
        <v>88</v>
      </c>
      <c r="C24" s="385"/>
      <c r="D24" s="385"/>
      <c r="E24" s="386"/>
      <c r="F24" s="387"/>
      <c r="G24" s="388"/>
      <c r="H24" s="387"/>
      <c r="I24" s="388"/>
      <c r="J24" s="387"/>
      <c r="K24" s="388"/>
      <c r="O24" s="203">
        <f>'09-54-01 BIC'!$F$12</f>
        <v>0</v>
      </c>
      <c r="Q24"/>
    </row>
    <row r="25" spans="1:17">
      <c r="A25" s="38"/>
      <c r="B25" s="384" t="s">
        <v>89</v>
      </c>
      <c r="C25" s="385"/>
      <c r="D25" s="385"/>
      <c r="E25" s="386"/>
      <c r="F25" s="387"/>
      <c r="G25" s="388"/>
      <c r="H25" s="387"/>
      <c r="I25" s="388"/>
      <c r="J25" s="387"/>
      <c r="K25" s="388"/>
      <c r="O25" s="203">
        <f>'09-54-01 BIC'!$F$16</f>
        <v>0</v>
      </c>
      <c r="Q25"/>
    </row>
    <row r="26" spans="1:17">
      <c r="A26" s="38"/>
      <c r="B26" s="384" t="s">
        <v>90</v>
      </c>
      <c r="C26" s="385"/>
      <c r="D26" s="385"/>
      <c r="E26" s="386"/>
      <c r="F26" s="387"/>
      <c r="G26" s="388"/>
      <c r="H26" s="387"/>
      <c r="I26" s="388"/>
      <c r="J26" s="387"/>
      <c r="K26" s="388"/>
      <c r="O26" s="203">
        <f>'09-54-01 BIC'!$F$20</f>
        <v>0</v>
      </c>
      <c r="Q26"/>
    </row>
    <row r="27" spans="1:17">
      <c r="A27" s="38"/>
      <c r="B27" s="384" t="s">
        <v>91</v>
      </c>
      <c r="C27" s="385"/>
      <c r="D27" s="385"/>
      <c r="E27" s="386"/>
      <c r="F27" s="387"/>
      <c r="G27" s="388"/>
      <c r="H27" s="387"/>
      <c r="I27" s="388"/>
      <c r="J27" s="387"/>
      <c r="K27" s="388"/>
      <c r="O27" s="203">
        <f>'09-54-01 BIC'!$F$24</f>
        <v>0</v>
      </c>
      <c r="Q27"/>
    </row>
    <row r="28" spans="1:17">
      <c r="A28" s="38"/>
      <c r="B28" s="384" t="s">
        <v>92</v>
      </c>
      <c r="C28" s="385"/>
      <c r="D28" s="385"/>
      <c r="E28" s="386"/>
      <c r="F28" s="387"/>
      <c r="G28" s="388"/>
      <c r="H28" s="387"/>
      <c r="I28" s="388"/>
      <c r="J28" s="387"/>
      <c r="K28" s="388"/>
      <c r="O28" s="203">
        <f>'09-54-01 BIC'!$G$12</f>
        <v>0</v>
      </c>
      <c r="Q28"/>
    </row>
    <row r="29" spans="1:17">
      <c r="A29" s="38"/>
      <c r="B29" s="384" t="s">
        <v>93</v>
      </c>
      <c r="C29" s="385"/>
      <c r="D29" s="385"/>
      <c r="E29" s="386"/>
      <c r="F29" s="387"/>
      <c r="G29" s="388"/>
      <c r="H29" s="387"/>
      <c r="I29" s="388"/>
      <c r="J29" s="387"/>
      <c r="K29" s="388"/>
      <c r="O29" s="203">
        <f>'09-54-01 BIC'!$G$16</f>
        <v>0</v>
      </c>
      <c r="Q29"/>
    </row>
    <row r="30" spans="1:17">
      <c r="A30" s="38"/>
      <c r="B30" s="384" t="s">
        <v>94</v>
      </c>
      <c r="C30" s="385"/>
      <c r="D30" s="385"/>
      <c r="E30" s="386"/>
      <c r="F30" s="387"/>
      <c r="G30" s="388"/>
      <c r="H30" s="387"/>
      <c r="I30" s="388"/>
      <c r="J30" s="387"/>
      <c r="K30" s="388"/>
      <c r="O30" s="203">
        <f>'09-54-01 BIC'!$G$20</f>
        <v>0</v>
      </c>
      <c r="Q30"/>
    </row>
    <row r="31" spans="1:17">
      <c r="A31" s="38"/>
      <c r="B31" s="384" t="s">
        <v>95</v>
      </c>
      <c r="C31" s="385"/>
      <c r="D31" s="385"/>
      <c r="E31" s="386"/>
      <c r="F31" s="400"/>
      <c r="G31" s="401"/>
      <c r="H31" s="387"/>
      <c r="I31" s="388"/>
      <c r="J31" s="387"/>
      <c r="K31" s="388"/>
      <c r="O31" s="203">
        <f>'09-54-01 BIC'!$G$24</f>
        <v>0</v>
      </c>
      <c r="Q31"/>
    </row>
    <row r="32" spans="1:17">
      <c r="A32" s="38"/>
      <c r="B32" s="384" t="s">
        <v>96</v>
      </c>
      <c r="C32" s="385"/>
      <c r="D32" s="385"/>
      <c r="E32" s="386"/>
      <c r="F32" s="387"/>
      <c r="G32" s="388"/>
      <c r="H32" s="387"/>
      <c r="I32" s="388"/>
      <c r="J32" s="387"/>
      <c r="K32" s="388"/>
      <c r="O32" s="203">
        <f>'09-54-01 BIC'!$H$12</f>
        <v>0</v>
      </c>
      <c r="Q32"/>
    </row>
    <row r="33" spans="1:17">
      <c r="A33" s="38"/>
      <c r="B33" s="384" t="s">
        <v>96</v>
      </c>
      <c r="C33" s="385"/>
      <c r="D33" s="385"/>
      <c r="E33" s="386"/>
      <c r="F33" s="387"/>
      <c r="G33" s="388"/>
      <c r="H33" s="387"/>
      <c r="I33" s="388"/>
      <c r="J33" s="387"/>
      <c r="K33" s="388"/>
      <c r="O33" s="203">
        <f>'09-54-01 BIC'!$H$16</f>
        <v>0</v>
      </c>
      <c r="Q33"/>
    </row>
    <row r="34" spans="1:17">
      <c r="A34" s="38"/>
      <c r="B34" s="384" t="s">
        <v>97</v>
      </c>
      <c r="C34" s="385"/>
      <c r="D34" s="385"/>
      <c r="E34" s="386"/>
      <c r="F34" s="387"/>
      <c r="G34" s="388"/>
      <c r="H34" s="387"/>
      <c r="I34" s="388"/>
      <c r="J34" s="387"/>
      <c r="K34" s="388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94" t="s">
        <v>103</v>
      </c>
      <c r="H43" s="399"/>
      <c r="I43" s="399"/>
      <c r="J43" s="399"/>
      <c r="K43" s="396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94" t="s">
        <v>105</v>
      </c>
      <c r="H46" s="395"/>
      <c r="I46" s="395"/>
      <c r="J46" s="395"/>
      <c r="K46" s="396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97" t="s">
        <v>106</v>
      </c>
      <c r="D49" s="398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59" t="s">
        <v>78</v>
      </c>
      <c r="C51" s="360"/>
      <c r="D51" s="360"/>
      <c r="E51" s="360"/>
      <c r="F51" s="360"/>
      <c r="G51" s="360"/>
      <c r="H51" s="360"/>
      <c r="I51" s="360"/>
      <c r="J51" s="360"/>
      <c r="K51" s="361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62" t="s">
        <v>79</v>
      </c>
      <c r="C54" s="363"/>
      <c r="D54" s="363"/>
      <c r="E54" s="364" t="str">
        <f>$E$5</f>
        <v>E90210</v>
      </c>
      <c r="F54" s="364"/>
      <c r="G54" s="205"/>
      <c r="H54" s="206" t="s">
        <v>80</v>
      </c>
      <c r="I54" s="205"/>
      <c r="J54" s="364" t="str">
        <f>$J$5</f>
        <v/>
      </c>
      <c r="K54" s="365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66" t="s">
        <v>81</v>
      </c>
      <c r="C57" s="360"/>
      <c r="D57" s="361"/>
      <c r="E57" s="367" t="s">
        <v>82</v>
      </c>
      <c r="F57" s="367"/>
      <c r="G57" s="92"/>
      <c r="H57" s="367" t="s">
        <v>81</v>
      </c>
      <c r="I57" s="367"/>
      <c r="J57" s="367" t="s">
        <v>82</v>
      </c>
      <c r="K57" s="367"/>
    </row>
    <row r="58" spans="2:17" ht="14.25">
      <c r="B58" s="368" t="str">
        <f>IF(OR(Q27="",Q27=0),"",Q27)</f>
        <v/>
      </c>
      <c r="C58" s="369"/>
      <c r="D58" s="370"/>
      <c r="E58" s="368" t="str">
        <f>IF(ISNA(INDEX(Schedule!O:O,MATCH('10-08-01'!B58,Schedule!T:T,0))),"",INDEX(Schedule!O:O,MATCH('10-08-01'!B58,Schedule!T:T,0)))</f>
        <v/>
      </c>
      <c r="F58" s="370"/>
      <c r="G58" s="201"/>
      <c r="H58" s="371" t="str">
        <f>IF(OR(Q37="",Q37=0),"",Q37)</f>
        <v/>
      </c>
      <c r="I58" s="371"/>
      <c r="J58" s="371" t="str">
        <f>IF(ISNA(INDEX(Schedule!O:O,MATCH('10-08-01'!H58,Schedule!T:T,0))),"",INDEX(Schedule!O:O,MATCH('10-08-01'!H58,Schedule!T:T,0)))</f>
        <v/>
      </c>
      <c r="K58" s="371"/>
    </row>
    <row r="59" spans="2:17" ht="14.25">
      <c r="B59" s="368" t="str">
        <f>IF(OR(Q28="",Q28=0),"",Q28)</f>
        <v/>
      </c>
      <c r="C59" s="369"/>
      <c r="D59" s="370"/>
      <c r="E59" s="368" t="str">
        <f>IF(ISNA(INDEX(Schedule!O:O,MATCH('10-08-01'!B59,Schedule!T:T,0))),"",INDEX(Schedule!O:O,MATCH('10-08-01'!B59,Schedule!T:T,0)))</f>
        <v/>
      </c>
      <c r="F59" s="370"/>
      <c r="G59" s="201"/>
      <c r="H59" s="371" t="str">
        <f>IF(OR(Q38="",Q38=0),"",Q38)</f>
        <v/>
      </c>
      <c r="I59" s="371"/>
      <c r="J59" s="371" t="str">
        <f>IF(ISNA(INDEX(Schedule!O:O,MATCH('10-08-01'!H59,Schedule!T:T,0))),"",INDEX(Schedule!O:O,MATCH('10-08-01'!H59,Schedule!T:T,0)))</f>
        <v/>
      </c>
      <c r="K59" s="371"/>
    </row>
    <row r="60" spans="2:17" ht="14.25">
      <c r="B60" s="368" t="str">
        <f t="shared" ref="B60:B67" si="2">IF(OR(Q29="",Q29=0),"",Q29)</f>
        <v/>
      </c>
      <c r="C60" s="369"/>
      <c r="D60" s="370"/>
      <c r="E60" s="368" t="str">
        <f>IF(ISNA(INDEX(Schedule!O:O,MATCH('10-08-01'!B60,Schedule!T:T,0))),"",INDEX(Schedule!O:O,MATCH('10-08-01'!B60,Schedule!T:T,0)))</f>
        <v/>
      </c>
      <c r="F60" s="370"/>
      <c r="G60" s="201"/>
      <c r="H60" s="371" t="str">
        <f t="shared" ref="H60:H67" si="3">IF(OR(Q39="",Q39=0),"",Q39)</f>
        <v/>
      </c>
      <c r="I60" s="371"/>
      <c r="J60" s="371" t="str">
        <f>IF(ISNA(INDEX(Schedule!O:O,MATCH('10-08-01'!H60,Schedule!T:T,0))),"",INDEX(Schedule!O:O,MATCH('10-08-01'!H60,Schedule!T:T,0)))</f>
        <v/>
      </c>
      <c r="K60" s="371"/>
    </row>
    <row r="61" spans="2:17" ht="14.25">
      <c r="B61" s="368" t="str">
        <f t="shared" si="2"/>
        <v/>
      </c>
      <c r="C61" s="369"/>
      <c r="D61" s="370"/>
      <c r="E61" s="368" t="str">
        <f>IF(ISNA(INDEX(Schedule!O:O,MATCH('10-08-01'!B61,Schedule!T:T,0))),"",INDEX(Schedule!O:O,MATCH('10-08-01'!B61,Schedule!T:T,0)))</f>
        <v/>
      </c>
      <c r="F61" s="370"/>
      <c r="G61" s="201"/>
      <c r="H61" s="371" t="str">
        <f t="shared" si="3"/>
        <v/>
      </c>
      <c r="I61" s="371"/>
      <c r="J61" s="371" t="str">
        <f>IF(ISNA(INDEX(Schedule!O:O,MATCH('10-08-01'!H61,Schedule!T:T,0))),"",INDEX(Schedule!O:O,MATCH('10-08-01'!H61,Schedule!T:T,0)))</f>
        <v/>
      </c>
      <c r="K61" s="371"/>
    </row>
    <row r="62" spans="2:17" ht="14.25">
      <c r="B62" s="368" t="str">
        <f t="shared" si="2"/>
        <v/>
      </c>
      <c r="C62" s="369"/>
      <c r="D62" s="370"/>
      <c r="E62" s="368" t="str">
        <f>IF(ISNA(INDEX(Schedule!O:O,MATCH('10-08-01'!B62,Schedule!T:T,0))),"",INDEX(Schedule!O:O,MATCH('10-08-01'!B62,Schedule!T:T,0)))</f>
        <v/>
      </c>
      <c r="F62" s="370"/>
      <c r="G62" s="201"/>
      <c r="H62" s="371" t="str">
        <f t="shared" si="3"/>
        <v/>
      </c>
      <c r="I62" s="371"/>
      <c r="J62" s="371" t="str">
        <f>IF(ISNA(INDEX(Schedule!O:O,MATCH('10-08-01'!H62,Schedule!T:T,0))),"",INDEX(Schedule!O:O,MATCH('10-08-01'!H62,Schedule!T:T,0)))</f>
        <v/>
      </c>
      <c r="K62" s="371"/>
    </row>
    <row r="63" spans="2:17" ht="14.25">
      <c r="B63" s="368" t="str">
        <f t="shared" si="2"/>
        <v/>
      </c>
      <c r="C63" s="369"/>
      <c r="D63" s="370"/>
      <c r="E63" s="368" t="str">
        <f>IF(ISNA(INDEX(Schedule!O:O,MATCH('10-08-01'!B63,Schedule!T:T,0))),"",INDEX(Schedule!O:O,MATCH('10-08-01'!B63,Schedule!T:T,0)))</f>
        <v/>
      </c>
      <c r="F63" s="370"/>
      <c r="G63" s="201"/>
      <c r="H63" s="371" t="str">
        <f t="shared" si="3"/>
        <v/>
      </c>
      <c r="I63" s="371"/>
      <c r="J63" s="371" t="str">
        <f>IF(ISNA(INDEX(Schedule!O:O,MATCH('10-08-01'!H63,Schedule!T:T,0))),"",INDEX(Schedule!O:O,MATCH('10-08-01'!H63,Schedule!T:T,0)))</f>
        <v/>
      </c>
      <c r="K63" s="371"/>
    </row>
    <row r="64" spans="2:17" ht="14.25">
      <c r="B64" s="368" t="str">
        <f t="shared" si="2"/>
        <v/>
      </c>
      <c r="C64" s="369"/>
      <c r="D64" s="370"/>
      <c r="E64" s="368" t="str">
        <f>IF(ISNA(INDEX(Schedule!O:O,MATCH('10-08-01'!B64,Schedule!T:T,0))),"",INDEX(Schedule!O:O,MATCH('10-08-01'!B64,Schedule!T:T,0)))</f>
        <v/>
      </c>
      <c r="F64" s="370"/>
      <c r="G64" s="201"/>
      <c r="H64" s="371" t="str">
        <f t="shared" si="3"/>
        <v/>
      </c>
      <c r="I64" s="371"/>
      <c r="J64" s="371" t="str">
        <f>IF(ISNA(INDEX(Schedule!O:O,MATCH('10-08-01'!H64,Schedule!T:T,0))),"",INDEX(Schedule!O:O,MATCH('10-08-01'!H64,Schedule!T:T,0)))</f>
        <v/>
      </c>
      <c r="K64" s="371"/>
    </row>
    <row r="65" spans="2:11" ht="14.25">
      <c r="B65" s="368" t="str">
        <f t="shared" si="2"/>
        <v/>
      </c>
      <c r="C65" s="369"/>
      <c r="D65" s="370"/>
      <c r="E65" s="368" t="str">
        <f>IF(ISNA(INDEX(Schedule!O:O,MATCH('10-08-01'!B65,Schedule!T:T,0))),"",INDEX(Schedule!O:O,MATCH('10-08-01'!B65,Schedule!T:T,0)))</f>
        <v/>
      </c>
      <c r="F65" s="370"/>
      <c r="G65" s="201"/>
      <c r="H65" s="371" t="str">
        <f t="shared" si="3"/>
        <v/>
      </c>
      <c r="I65" s="371"/>
      <c r="J65" s="371" t="str">
        <f>IF(ISNA(INDEX(Schedule!O:O,MATCH('10-08-01'!H65,Schedule!T:T,0))),"",INDEX(Schedule!O:O,MATCH('10-08-01'!H65,Schedule!T:T,0)))</f>
        <v/>
      </c>
      <c r="K65" s="371"/>
    </row>
    <row r="66" spans="2:11" ht="14.25">
      <c r="B66" s="368" t="str">
        <f t="shared" si="2"/>
        <v/>
      </c>
      <c r="C66" s="369"/>
      <c r="D66" s="370"/>
      <c r="E66" s="368" t="str">
        <f>IF(ISNA(INDEX(Schedule!O:O,MATCH('10-08-01'!B66,Schedule!T:T,0))),"",INDEX(Schedule!O:O,MATCH('10-08-01'!B66,Schedule!T:T,0)))</f>
        <v/>
      </c>
      <c r="F66" s="370"/>
      <c r="G66" s="201"/>
      <c r="H66" s="371" t="str">
        <f t="shared" si="3"/>
        <v/>
      </c>
      <c r="I66" s="371"/>
      <c r="J66" s="371" t="str">
        <f>IF(ISNA(INDEX(Schedule!O:O,MATCH('10-08-01'!H66,Schedule!T:T,0))),"",INDEX(Schedule!O:O,MATCH('10-08-01'!H66,Schedule!T:T,0)))</f>
        <v/>
      </c>
      <c r="K66" s="371"/>
    </row>
    <row r="67" spans="2:11" ht="14.25">
      <c r="B67" s="368" t="str">
        <f t="shared" si="2"/>
        <v/>
      </c>
      <c r="C67" s="369"/>
      <c r="D67" s="370"/>
      <c r="E67" s="368" t="str">
        <f>IF(ISNA(INDEX(Schedule!O:O,MATCH('10-08-01'!B67,Schedule!T:T,0))),"",INDEX(Schedule!O:O,MATCH('10-08-01'!B67,Schedule!T:T,0)))</f>
        <v/>
      </c>
      <c r="F67" s="370"/>
      <c r="G67" s="201"/>
      <c r="H67" s="371" t="str">
        <f t="shared" si="3"/>
        <v/>
      </c>
      <c r="I67" s="371"/>
      <c r="J67" s="371" t="str">
        <f>IF(ISNA(INDEX(Schedule!O:O,MATCH('10-08-01'!H67,Schedule!T:T,0))),"",INDEX(Schedule!O:O,MATCH('10-08-01'!H67,Schedule!T:T,0)))</f>
        <v/>
      </c>
      <c r="K67" s="371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72" t="s">
        <v>83</v>
      </c>
      <c r="C70" s="373"/>
      <c r="D70" s="373"/>
      <c r="E70" s="373"/>
      <c r="F70" s="373"/>
      <c r="G70" s="373"/>
      <c r="H70" s="373"/>
      <c r="I70" s="373"/>
      <c r="J70" s="373"/>
      <c r="K70" s="373"/>
    </row>
    <row r="71" spans="2:11">
      <c r="B71" s="374" t="s">
        <v>84</v>
      </c>
      <c r="C71" s="375"/>
      <c r="D71" s="375"/>
      <c r="E71" s="376"/>
      <c r="F71" s="380" t="s">
        <v>85</v>
      </c>
      <c r="G71" s="381"/>
      <c r="H71" s="380" t="s">
        <v>86</v>
      </c>
      <c r="I71" s="376"/>
      <c r="J71" s="389" t="s">
        <v>87</v>
      </c>
      <c r="K71" s="390"/>
    </row>
    <row r="72" spans="2:11">
      <c r="B72" s="377"/>
      <c r="C72" s="378"/>
      <c r="D72" s="378"/>
      <c r="E72" s="379"/>
      <c r="F72" s="382"/>
      <c r="G72" s="383"/>
      <c r="H72" s="377"/>
      <c r="I72" s="379"/>
      <c r="J72" s="391"/>
      <c r="K72" s="392"/>
    </row>
    <row r="73" spans="2:11">
      <c r="B73" s="384" t="s">
        <v>88</v>
      </c>
      <c r="C73" s="385"/>
      <c r="D73" s="385"/>
      <c r="E73" s="386"/>
      <c r="F73" s="387"/>
      <c r="G73" s="388"/>
      <c r="H73" s="387"/>
      <c r="I73" s="388"/>
      <c r="J73" s="387"/>
      <c r="K73" s="388"/>
    </row>
    <row r="74" spans="2:11">
      <c r="B74" s="384" t="s">
        <v>89</v>
      </c>
      <c r="C74" s="385"/>
      <c r="D74" s="385"/>
      <c r="E74" s="386"/>
      <c r="F74" s="387"/>
      <c r="G74" s="388"/>
      <c r="H74" s="387"/>
      <c r="I74" s="388"/>
      <c r="J74" s="387"/>
      <c r="K74" s="388"/>
    </row>
    <row r="75" spans="2:11">
      <c r="B75" s="384" t="s">
        <v>90</v>
      </c>
      <c r="C75" s="385"/>
      <c r="D75" s="385"/>
      <c r="E75" s="386"/>
      <c r="F75" s="387"/>
      <c r="G75" s="388"/>
      <c r="H75" s="387"/>
      <c r="I75" s="388"/>
      <c r="J75" s="387"/>
      <c r="K75" s="388"/>
    </row>
    <row r="76" spans="2:11">
      <c r="B76" s="384" t="s">
        <v>91</v>
      </c>
      <c r="C76" s="385"/>
      <c r="D76" s="385"/>
      <c r="E76" s="386"/>
      <c r="F76" s="387"/>
      <c r="G76" s="388"/>
      <c r="H76" s="387"/>
      <c r="I76" s="388"/>
      <c r="J76" s="387"/>
      <c r="K76" s="388"/>
    </row>
    <row r="77" spans="2:11">
      <c r="B77" s="384" t="s">
        <v>92</v>
      </c>
      <c r="C77" s="385"/>
      <c r="D77" s="385"/>
      <c r="E77" s="386"/>
      <c r="F77" s="387"/>
      <c r="G77" s="388"/>
      <c r="H77" s="387"/>
      <c r="I77" s="388"/>
      <c r="J77" s="387"/>
      <c r="K77" s="388"/>
    </row>
    <row r="78" spans="2:11">
      <c r="B78" s="384" t="s">
        <v>93</v>
      </c>
      <c r="C78" s="385"/>
      <c r="D78" s="385"/>
      <c r="E78" s="386"/>
      <c r="F78" s="387"/>
      <c r="G78" s="388"/>
      <c r="H78" s="387"/>
      <c r="I78" s="388"/>
      <c r="J78" s="387"/>
      <c r="K78" s="388"/>
    </row>
    <row r="79" spans="2:11">
      <c r="B79" s="384" t="s">
        <v>94</v>
      </c>
      <c r="C79" s="385"/>
      <c r="D79" s="385"/>
      <c r="E79" s="386"/>
      <c r="F79" s="387"/>
      <c r="G79" s="388"/>
      <c r="H79" s="387"/>
      <c r="I79" s="388"/>
      <c r="J79" s="387"/>
      <c r="K79" s="388"/>
    </row>
    <row r="80" spans="2:11">
      <c r="B80" s="384" t="s">
        <v>95</v>
      </c>
      <c r="C80" s="385"/>
      <c r="D80" s="385"/>
      <c r="E80" s="386"/>
      <c r="F80" s="400"/>
      <c r="G80" s="401"/>
      <c r="H80" s="387"/>
      <c r="I80" s="388"/>
      <c r="J80" s="387"/>
      <c r="K80" s="388"/>
    </row>
    <row r="81" spans="2:11">
      <c r="B81" s="384" t="s">
        <v>96</v>
      </c>
      <c r="C81" s="385"/>
      <c r="D81" s="385"/>
      <c r="E81" s="386"/>
      <c r="F81" s="387"/>
      <c r="G81" s="388"/>
      <c r="H81" s="387"/>
      <c r="I81" s="388"/>
      <c r="J81" s="387"/>
      <c r="K81" s="388"/>
    </row>
    <row r="82" spans="2:11">
      <c r="B82" s="384" t="s">
        <v>96</v>
      </c>
      <c r="C82" s="385"/>
      <c r="D82" s="385"/>
      <c r="E82" s="386"/>
      <c r="F82" s="387"/>
      <c r="G82" s="388"/>
      <c r="H82" s="387"/>
      <c r="I82" s="388"/>
      <c r="J82" s="387"/>
      <c r="K82" s="388"/>
    </row>
    <row r="83" spans="2:11">
      <c r="B83" s="384" t="s">
        <v>97</v>
      </c>
      <c r="C83" s="385"/>
      <c r="D83" s="385"/>
      <c r="E83" s="386"/>
      <c r="F83" s="387"/>
      <c r="G83" s="388"/>
      <c r="H83" s="387"/>
      <c r="I83" s="388"/>
      <c r="J83" s="387"/>
      <c r="K83" s="388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94" t="s">
        <v>103</v>
      </c>
      <c r="H92" s="399"/>
      <c r="I92" s="399"/>
      <c r="J92" s="399"/>
      <c r="K92" s="396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94" t="s">
        <v>105</v>
      </c>
      <c r="H95" s="395"/>
      <c r="I95" s="395"/>
      <c r="J95" s="395"/>
      <c r="K95" s="396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97" t="s">
        <v>106</v>
      </c>
      <c r="D98" s="398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59" t="s">
        <v>78</v>
      </c>
      <c r="C100" s="360"/>
      <c r="D100" s="360"/>
      <c r="E100" s="360"/>
      <c r="F100" s="360"/>
      <c r="G100" s="360"/>
      <c r="H100" s="360"/>
      <c r="I100" s="360"/>
      <c r="J100" s="360"/>
      <c r="K100" s="361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62" t="s">
        <v>79</v>
      </c>
      <c r="C103" s="363"/>
      <c r="D103" s="363"/>
      <c r="E103" s="364" t="str">
        <f>$E$5</f>
        <v>E90210</v>
      </c>
      <c r="F103" s="364"/>
      <c r="G103" s="205"/>
      <c r="H103" s="206" t="s">
        <v>80</v>
      </c>
      <c r="I103" s="205"/>
      <c r="J103" s="364" t="str">
        <f>$J$5</f>
        <v/>
      </c>
      <c r="K103" s="365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66" t="s">
        <v>81</v>
      </c>
      <c r="C106" s="360"/>
      <c r="D106" s="361"/>
      <c r="E106" s="367" t="s">
        <v>82</v>
      </c>
      <c r="F106" s="367"/>
      <c r="G106" s="92"/>
      <c r="H106" s="367" t="s">
        <v>81</v>
      </c>
      <c r="I106" s="367"/>
      <c r="J106" s="367" t="s">
        <v>82</v>
      </c>
      <c r="K106" s="367"/>
    </row>
    <row r="107" spans="2:11" ht="14.25">
      <c r="B107" s="368" t="str">
        <f>IF(OR(Q47="",Q47=0),"",Q47)</f>
        <v/>
      </c>
      <c r="C107" s="369"/>
      <c r="D107" s="370"/>
      <c r="E107" s="368" t="str">
        <f>IF(ISNA(INDEX(Schedule!O:O,MATCH('10-08-01'!B107,Schedule!T:T,0))),"",INDEX(Schedule!O:O,MATCH('10-08-01'!B107,Schedule!T:T,0)))</f>
        <v/>
      </c>
      <c r="F107" s="370"/>
      <c r="G107" s="201"/>
      <c r="H107" s="371"/>
      <c r="I107" s="371"/>
      <c r="J107" s="371" t="str">
        <f>IF(ISNA(INDEX(Schedule!O:O,MATCH('10-08-01'!H107,Schedule!T:T,0))),"",INDEX(Schedule!O:O,MATCH('10-08-01'!H107,Schedule!T:T,0)))</f>
        <v/>
      </c>
      <c r="K107" s="371"/>
    </row>
    <row r="108" spans="2:11" ht="14.25">
      <c r="B108" s="368" t="str">
        <f t="shared" ref="B108:B116" si="4">IF(OR(Q48="",Q48=0),"",Q48)</f>
        <v/>
      </c>
      <c r="C108" s="369"/>
      <c r="D108" s="370"/>
      <c r="E108" s="368" t="str">
        <f>IF(ISNA(INDEX(Schedule!O:O,MATCH('10-08-01'!B108,Schedule!T:T,0))),"",INDEX(Schedule!O:O,MATCH('10-08-01'!B108,Schedule!T:T,0)))</f>
        <v/>
      </c>
      <c r="F108" s="370"/>
      <c r="G108" s="201"/>
      <c r="H108" s="371"/>
      <c r="I108" s="371"/>
      <c r="J108" s="371" t="str">
        <f>IF(ISNA(INDEX(Schedule!O:O,MATCH('10-08-01'!H108,Schedule!T:T,0))),"",INDEX(Schedule!O:O,MATCH('10-08-01'!H108,Schedule!T:T,0)))</f>
        <v/>
      </c>
      <c r="K108" s="371"/>
    </row>
    <row r="109" spans="2:11" ht="14.25">
      <c r="B109" s="368" t="str">
        <f t="shared" si="4"/>
        <v/>
      </c>
      <c r="C109" s="369"/>
      <c r="D109" s="370"/>
      <c r="E109" s="368" t="str">
        <f>IF(ISNA(INDEX(Schedule!O:O,MATCH('10-08-01'!B109,Schedule!T:T,0))),"",INDEX(Schedule!O:O,MATCH('10-08-01'!B109,Schedule!T:T,0)))</f>
        <v/>
      </c>
      <c r="F109" s="370"/>
      <c r="G109" s="201"/>
      <c r="H109" s="371"/>
      <c r="I109" s="371"/>
      <c r="J109" s="371" t="str">
        <f>IF(ISNA(INDEX(Schedule!O:O,MATCH('10-08-01'!H109,Schedule!T:T,0))),"",INDEX(Schedule!O:O,MATCH('10-08-01'!H109,Schedule!T:T,0)))</f>
        <v/>
      </c>
      <c r="K109" s="371"/>
    </row>
    <row r="110" spans="2:11" ht="14.25">
      <c r="B110" s="368" t="str">
        <f t="shared" si="4"/>
        <v/>
      </c>
      <c r="C110" s="369"/>
      <c r="D110" s="370"/>
      <c r="E110" s="368" t="str">
        <f>IF(ISNA(INDEX(Schedule!O:O,MATCH('10-08-01'!B110,Schedule!T:T,0))),"",INDEX(Schedule!O:O,MATCH('10-08-01'!B110,Schedule!T:T,0)))</f>
        <v/>
      </c>
      <c r="F110" s="370"/>
      <c r="G110" s="201"/>
      <c r="H110" s="371"/>
      <c r="I110" s="371"/>
      <c r="J110" s="371" t="str">
        <f>IF(ISNA(INDEX(Schedule!O:O,MATCH('10-08-01'!H110,Schedule!T:T,0))),"",INDEX(Schedule!O:O,MATCH('10-08-01'!H110,Schedule!T:T,0)))</f>
        <v/>
      </c>
      <c r="K110" s="371"/>
    </row>
    <row r="111" spans="2:11" ht="14.25">
      <c r="B111" s="368" t="str">
        <f t="shared" si="4"/>
        <v/>
      </c>
      <c r="C111" s="369"/>
      <c r="D111" s="370"/>
      <c r="E111" s="368" t="str">
        <f>IF(ISNA(INDEX(Schedule!O:O,MATCH('10-08-01'!B111,Schedule!T:T,0))),"",INDEX(Schedule!O:O,MATCH('10-08-01'!B111,Schedule!T:T,0)))</f>
        <v/>
      </c>
      <c r="F111" s="370"/>
      <c r="G111" s="201"/>
      <c r="H111" s="371"/>
      <c r="I111" s="371"/>
      <c r="J111" s="371" t="str">
        <f>IF(ISNA(INDEX(Schedule!O:O,MATCH('10-08-01'!H111,Schedule!T:T,0))),"",INDEX(Schedule!O:O,MATCH('10-08-01'!H111,Schedule!T:T,0)))</f>
        <v/>
      </c>
      <c r="K111" s="371"/>
    </row>
    <row r="112" spans="2:11" ht="14.25">
      <c r="B112" s="368" t="str">
        <f t="shared" si="4"/>
        <v/>
      </c>
      <c r="C112" s="369"/>
      <c r="D112" s="370"/>
      <c r="E112" s="368" t="str">
        <f>IF(ISNA(INDEX(Schedule!O:O,MATCH('10-08-01'!B112,Schedule!T:T,0))),"",INDEX(Schedule!O:O,MATCH('10-08-01'!B112,Schedule!T:T,0)))</f>
        <v/>
      </c>
      <c r="F112" s="370"/>
      <c r="G112" s="201"/>
      <c r="H112" s="371"/>
      <c r="I112" s="371"/>
      <c r="J112" s="371" t="str">
        <f>IF(ISNA(INDEX(Schedule!O:O,MATCH('10-08-01'!H112,Schedule!T:T,0))),"",INDEX(Schedule!O:O,MATCH('10-08-01'!H112,Schedule!T:T,0)))</f>
        <v/>
      </c>
      <c r="K112" s="371"/>
    </row>
    <row r="113" spans="2:11" ht="14.25">
      <c r="B113" s="368" t="str">
        <f t="shared" si="4"/>
        <v/>
      </c>
      <c r="C113" s="369"/>
      <c r="D113" s="370"/>
      <c r="E113" s="368" t="str">
        <f>IF(ISNA(INDEX(Schedule!O:O,MATCH('10-08-01'!B113,Schedule!T:T,0))),"",INDEX(Schedule!O:O,MATCH('10-08-01'!B113,Schedule!T:T,0)))</f>
        <v/>
      </c>
      <c r="F113" s="370"/>
      <c r="G113" s="201"/>
      <c r="H113" s="371"/>
      <c r="I113" s="371"/>
      <c r="J113" s="371" t="str">
        <f>IF(ISNA(INDEX(Schedule!O:O,MATCH('10-08-01'!H113,Schedule!T:T,0))),"",INDEX(Schedule!O:O,MATCH('10-08-01'!H113,Schedule!T:T,0)))</f>
        <v/>
      </c>
      <c r="K113" s="371"/>
    </row>
    <row r="114" spans="2:11" ht="14.25">
      <c r="B114" s="368" t="str">
        <f t="shared" si="4"/>
        <v/>
      </c>
      <c r="C114" s="369"/>
      <c r="D114" s="370"/>
      <c r="E114" s="368" t="str">
        <f>IF(ISNA(INDEX(Schedule!O:O,MATCH('10-08-01'!B114,Schedule!T:T,0))),"",INDEX(Schedule!O:O,MATCH('10-08-01'!B114,Schedule!T:T,0)))</f>
        <v/>
      </c>
      <c r="F114" s="370"/>
      <c r="G114" s="201"/>
      <c r="H114" s="371"/>
      <c r="I114" s="371"/>
      <c r="J114" s="371" t="str">
        <f>IF(ISNA(INDEX(Schedule!O:O,MATCH('10-08-01'!H114,Schedule!T:T,0))),"",INDEX(Schedule!O:O,MATCH('10-08-01'!H114,Schedule!T:T,0)))</f>
        <v/>
      </c>
      <c r="K114" s="371"/>
    </row>
    <row r="115" spans="2:11" ht="14.25">
      <c r="B115" s="368" t="str">
        <f t="shared" si="4"/>
        <v/>
      </c>
      <c r="C115" s="369"/>
      <c r="D115" s="370"/>
      <c r="E115" s="368" t="str">
        <f>IF(ISNA(INDEX(Schedule!O:O,MATCH('10-08-01'!B115,Schedule!T:T,0))),"",INDEX(Schedule!O:O,MATCH('10-08-01'!B115,Schedule!T:T,0)))</f>
        <v/>
      </c>
      <c r="F115" s="370"/>
      <c r="G115" s="201"/>
      <c r="H115" s="371"/>
      <c r="I115" s="371"/>
      <c r="J115" s="371" t="str">
        <f>IF(ISNA(INDEX(Schedule!O:O,MATCH('10-08-01'!H115,Schedule!T:T,0))),"",INDEX(Schedule!O:O,MATCH('10-08-01'!H115,Schedule!T:T,0)))</f>
        <v/>
      </c>
      <c r="K115" s="371"/>
    </row>
    <row r="116" spans="2:11" ht="14.25">
      <c r="B116" s="368" t="str">
        <f t="shared" si="4"/>
        <v/>
      </c>
      <c r="C116" s="369"/>
      <c r="D116" s="370"/>
      <c r="E116" s="368" t="str">
        <f>IF(ISNA(INDEX(Schedule!O:O,MATCH('10-08-01'!B116,Schedule!T:T,0))),"",INDEX(Schedule!O:O,MATCH('10-08-01'!B116,Schedule!T:T,0)))</f>
        <v/>
      </c>
      <c r="F116" s="370"/>
      <c r="G116" s="201"/>
      <c r="H116" s="371"/>
      <c r="I116" s="371"/>
      <c r="J116" s="371" t="str">
        <f>IF(ISNA(INDEX(Schedule!O:O,MATCH('10-08-01'!H116,Schedule!T:T,0))),"",INDEX(Schedule!O:O,MATCH('10-08-01'!H116,Schedule!T:T,0)))</f>
        <v/>
      </c>
      <c r="K116" s="371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72" t="s">
        <v>83</v>
      </c>
      <c r="C119" s="373"/>
      <c r="D119" s="373"/>
      <c r="E119" s="373"/>
      <c r="F119" s="373"/>
      <c r="G119" s="373"/>
      <c r="H119" s="373"/>
      <c r="I119" s="373"/>
      <c r="J119" s="373"/>
      <c r="K119" s="373"/>
    </row>
    <row r="120" spans="2:11">
      <c r="B120" s="374" t="s">
        <v>84</v>
      </c>
      <c r="C120" s="375"/>
      <c r="D120" s="375"/>
      <c r="E120" s="376"/>
      <c r="F120" s="380" t="s">
        <v>85</v>
      </c>
      <c r="G120" s="381"/>
      <c r="H120" s="380" t="s">
        <v>86</v>
      </c>
      <c r="I120" s="376"/>
      <c r="J120" s="389" t="s">
        <v>87</v>
      </c>
      <c r="K120" s="390"/>
    </row>
    <row r="121" spans="2:11">
      <c r="B121" s="377"/>
      <c r="C121" s="378"/>
      <c r="D121" s="378"/>
      <c r="E121" s="379"/>
      <c r="F121" s="382"/>
      <c r="G121" s="383"/>
      <c r="H121" s="377"/>
      <c r="I121" s="379"/>
      <c r="J121" s="391"/>
      <c r="K121" s="392"/>
    </row>
    <row r="122" spans="2:11">
      <c r="B122" s="384" t="s">
        <v>88</v>
      </c>
      <c r="C122" s="385"/>
      <c r="D122" s="385"/>
      <c r="E122" s="386"/>
      <c r="F122" s="387"/>
      <c r="G122" s="388"/>
      <c r="H122" s="387"/>
      <c r="I122" s="388"/>
      <c r="J122" s="387"/>
      <c r="K122" s="388"/>
    </row>
    <row r="123" spans="2:11">
      <c r="B123" s="384" t="s">
        <v>89</v>
      </c>
      <c r="C123" s="385"/>
      <c r="D123" s="385"/>
      <c r="E123" s="386"/>
      <c r="F123" s="387"/>
      <c r="G123" s="388"/>
      <c r="H123" s="387"/>
      <c r="I123" s="388"/>
      <c r="J123" s="387"/>
      <c r="K123" s="388"/>
    </row>
    <row r="124" spans="2:11">
      <c r="B124" s="384" t="s">
        <v>90</v>
      </c>
      <c r="C124" s="385"/>
      <c r="D124" s="385"/>
      <c r="E124" s="386"/>
      <c r="F124" s="387"/>
      <c r="G124" s="388"/>
      <c r="H124" s="387"/>
      <c r="I124" s="388"/>
      <c r="J124" s="387"/>
      <c r="K124" s="388"/>
    </row>
    <row r="125" spans="2:11">
      <c r="B125" s="384" t="s">
        <v>91</v>
      </c>
      <c r="C125" s="385"/>
      <c r="D125" s="385"/>
      <c r="E125" s="386"/>
      <c r="F125" s="387"/>
      <c r="G125" s="388"/>
      <c r="H125" s="387"/>
      <c r="I125" s="388"/>
      <c r="J125" s="387"/>
      <c r="K125" s="388"/>
    </row>
    <row r="126" spans="2:11">
      <c r="B126" s="384" t="s">
        <v>92</v>
      </c>
      <c r="C126" s="385"/>
      <c r="D126" s="385"/>
      <c r="E126" s="386"/>
      <c r="F126" s="387"/>
      <c r="G126" s="388"/>
      <c r="H126" s="387"/>
      <c r="I126" s="388"/>
      <c r="J126" s="387"/>
      <c r="K126" s="388"/>
    </row>
    <row r="127" spans="2:11">
      <c r="B127" s="384" t="s">
        <v>93</v>
      </c>
      <c r="C127" s="385"/>
      <c r="D127" s="385"/>
      <c r="E127" s="386"/>
      <c r="F127" s="387"/>
      <c r="G127" s="388"/>
      <c r="H127" s="387"/>
      <c r="I127" s="388"/>
      <c r="J127" s="387"/>
      <c r="K127" s="388"/>
    </row>
    <row r="128" spans="2:11">
      <c r="B128" s="384" t="s">
        <v>94</v>
      </c>
      <c r="C128" s="385"/>
      <c r="D128" s="385"/>
      <c r="E128" s="386"/>
      <c r="F128" s="387"/>
      <c r="G128" s="388"/>
      <c r="H128" s="387"/>
      <c r="I128" s="388"/>
      <c r="J128" s="387"/>
      <c r="K128" s="388"/>
    </row>
    <row r="129" spans="2:11">
      <c r="B129" s="384" t="s">
        <v>95</v>
      </c>
      <c r="C129" s="385"/>
      <c r="D129" s="385"/>
      <c r="E129" s="386"/>
      <c r="F129" s="400"/>
      <c r="G129" s="401"/>
      <c r="H129" s="387"/>
      <c r="I129" s="388"/>
      <c r="J129" s="387"/>
      <c r="K129" s="388"/>
    </row>
    <row r="130" spans="2:11">
      <c r="B130" s="384" t="s">
        <v>96</v>
      </c>
      <c r="C130" s="385"/>
      <c r="D130" s="385"/>
      <c r="E130" s="386"/>
      <c r="F130" s="387"/>
      <c r="G130" s="388"/>
      <c r="H130" s="387"/>
      <c r="I130" s="388"/>
      <c r="J130" s="387"/>
      <c r="K130" s="388"/>
    </row>
    <row r="131" spans="2:11">
      <c r="B131" s="384" t="s">
        <v>96</v>
      </c>
      <c r="C131" s="385"/>
      <c r="D131" s="385"/>
      <c r="E131" s="386"/>
      <c r="F131" s="387"/>
      <c r="G131" s="388"/>
      <c r="H131" s="387"/>
      <c r="I131" s="388"/>
      <c r="J131" s="387"/>
      <c r="K131" s="388"/>
    </row>
    <row r="132" spans="2:11">
      <c r="B132" s="384" t="s">
        <v>97</v>
      </c>
      <c r="C132" s="385"/>
      <c r="D132" s="385"/>
      <c r="E132" s="386"/>
      <c r="F132" s="387"/>
      <c r="G132" s="388"/>
      <c r="H132" s="387"/>
      <c r="I132" s="388"/>
      <c r="J132" s="387"/>
      <c r="K132" s="388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94" t="s">
        <v>103</v>
      </c>
      <c r="H141" s="399"/>
      <c r="I141" s="399"/>
      <c r="J141" s="399"/>
      <c r="K141" s="396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94" t="s">
        <v>105</v>
      </c>
      <c r="H144" s="395"/>
      <c r="I144" s="395"/>
      <c r="J144" s="395"/>
      <c r="K144" s="396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97" t="s">
        <v>106</v>
      </c>
      <c r="D147" s="398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02" t="s">
        <v>131</v>
      </c>
      <c r="C7" s="403"/>
      <c r="D7" s="403"/>
      <c r="E7" s="403"/>
      <c r="F7" s="403"/>
      <c r="G7" s="403"/>
      <c r="H7" s="403"/>
      <c r="I7" s="403"/>
      <c r="J7" s="403"/>
      <c r="K7" s="403"/>
      <c r="L7" s="403"/>
      <c r="M7" s="403"/>
      <c r="N7" s="403"/>
      <c r="O7" s="403"/>
      <c r="P7" s="403"/>
      <c r="Q7" s="403"/>
      <c r="R7" s="403"/>
      <c r="S7" s="404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05" t="s">
        <v>108</v>
      </c>
      <c r="C13" s="406"/>
      <c r="D13" s="406"/>
      <c r="E13" s="406"/>
      <c r="F13" s="406"/>
      <c r="G13" s="406"/>
      <c r="H13" s="406"/>
      <c r="I13" s="406"/>
      <c r="J13" s="406"/>
      <c r="K13" s="406"/>
      <c r="L13" s="406"/>
      <c r="M13" s="406"/>
      <c r="N13" s="406"/>
      <c r="O13" s="406"/>
      <c r="P13" s="406"/>
      <c r="Q13" s="406"/>
      <c r="R13" s="406"/>
      <c r="S13" s="407"/>
    </row>
    <row r="14" spans="1:19" ht="20.45" customHeight="1">
      <c r="A14" s="168"/>
      <c r="B14" s="408" t="s">
        <v>84</v>
      </c>
      <c r="C14" s="409"/>
      <c r="D14" s="410" t="s">
        <v>85</v>
      </c>
      <c r="E14" s="411"/>
      <c r="F14" s="410" t="s">
        <v>109</v>
      </c>
      <c r="G14" s="411"/>
      <c r="H14" s="410" t="s">
        <v>110</v>
      </c>
      <c r="I14" s="412"/>
      <c r="J14" s="412"/>
      <c r="K14" s="412"/>
      <c r="L14" s="412"/>
      <c r="M14" s="412"/>
      <c r="N14" s="411"/>
      <c r="O14" s="415" t="s">
        <v>111</v>
      </c>
      <c r="P14" s="415" t="s">
        <v>112</v>
      </c>
      <c r="Q14" s="415" t="s">
        <v>113</v>
      </c>
      <c r="R14" s="415" t="s">
        <v>114</v>
      </c>
      <c r="S14" s="413" t="s">
        <v>112</v>
      </c>
    </row>
    <row r="15" spans="1:19" ht="26.25" customHeight="1" thickBot="1">
      <c r="A15" s="168"/>
      <c r="B15" s="408"/>
      <c r="C15" s="409"/>
      <c r="D15" s="410"/>
      <c r="E15" s="411"/>
      <c r="F15" s="410"/>
      <c r="G15" s="411"/>
      <c r="H15" s="410"/>
      <c r="I15" s="412"/>
      <c r="J15" s="412"/>
      <c r="K15" s="412"/>
      <c r="L15" s="412"/>
      <c r="M15" s="412"/>
      <c r="N15" s="411"/>
      <c r="O15" s="417"/>
      <c r="P15" s="417"/>
      <c r="Q15" s="418"/>
      <c r="R15" s="416"/>
      <c r="S15" s="414"/>
    </row>
    <row r="16" spans="1:19" ht="77.25" customHeight="1">
      <c r="A16" s="168"/>
      <c r="B16" s="431" t="s">
        <v>115</v>
      </c>
      <c r="C16" s="128" t="s">
        <v>116</v>
      </c>
      <c r="D16" s="428"/>
      <c r="E16" s="428"/>
      <c r="F16" s="419"/>
      <c r="G16" s="419"/>
      <c r="H16" s="419"/>
      <c r="I16" s="419"/>
      <c r="J16" s="419"/>
      <c r="K16" s="419"/>
      <c r="L16" s="419"/>
      <c r="M16" s="419"/>
      <c r="N16" s="419"/>
      <c r="O16" s="129"/>
      <c r="P16" s="129"/>
      <c r="Q16" s="130"/>
      <c r="R16" s="131"/>
      <c r="S16" s="132"/>
    </row>
    <row r="17" spans="1:19" ht="64.150000000000006" customHeight="1">
      <c r="A17" s="168"/>
      <c r="B17" s="426"/>
      <c r="C17" s="133" t="s">
        <v>117</v>
      </c>
      <c r="D17" s="420"/>
      <c r="E17" s="420"/>
      <c r="F17" s="421"/>
      <c r="G17" s="421"/>
      <c r="H17" s="421"/>
      <c r="I17" s="421"/>
      <c r="J17" s="421"/>
      <c r="K17" s="421"/>
      <c r="L17" s="421"/>
      <c r="M17" s="421"/>
      <c r="N17" s="421"/>
      <c r="O17" s="134"/>
      <c r="P17" s="134"/>
      <c r="Q17" s="135"/>
      <c r="R17" s="136"/>
      <c r="S17" s="137"/>
    </row>
    <row r="18" spans="1:19" ht="132" customHeight="1" thickBot="1">
      <c r="A18" s="147"/>
      <c r="B18" s="427"/>
      <c r="C18" s="138" t="s">
        <v>118</v>
      </c>
      <c r="D18" s="422"/>
      <c r="E18" s="422"/>
      <c r="F18" s="423"/>
      <c r="G18" s="423"/>
      <c r="H18" s="424"/>
      <c r="I18" s="424"/>
      <c r="J18" s="424"/>
      <c r="K18" s="424"/>
      <c r="L18" s="424"/>
      <c r="M18" s="424"/>
      <c r="N18" s="424"/>
      <c r="O18" s="139"/>
      <c r="P18" s="139"/>
      <c r="Q18" s="139"/>
      <c r="R18" s="139"/>
      <c r="S18" s="140"/>
    </row>
    <row r="19" spans="1:19" ht="102" customHeight="1">
      <c r="A19" s="168"/>
      <c r="B19" s="426" t="s">
        <v>119</v>
      </c>
      <c r="C19" s="141" t="s">
        <v>120</v>
      </c>
      <c r="D19" s="428"/>
      <c r="E19" s="428"/>
      <c r="F19" s="419"/>
      <c r="G19" s="419"/>
      <c r="H19" s="429"/>
      <c r="I19" s="429"/>
      <c r="J19" s="429"/>
      <c r="K19" s="429"/>
      <c r="L19" s="429"/>
      <c r="M19" s="429"/>
      <c r="N19" s="429"/>
      <c r="O19" s="129"/>
      <c r="P19" s="129"/>
      <c r="Q19" s="130"/>
      <c r="R19" s="131"/>
      <c r="S19" s="132"/>
    </row>
    <row r="20" spans="1:19" ht="45" customHeight="1">
      <c r="A20" s="147"/>
      <c r="B20" s="426"/>
      <c r="C20" s="142" t="s">
        <v>121</v>
      </c>
      <c r="D20" s="420"/>
      <c r="E20" s="420"/>
      <c r="F20" s="421"/>
      <c r="G20" s="421"/>
      <c r="H20" s="430"/>
      <c r="I20" s="430"/>
      <c r="J20" s="430"/>
      <c r="K20" s="430"/>
      <c r="L20" s="430"/>
      <c r="M20" s="430"/>
      <c r="N20" s="430"/>
      <c r="O20" s="143"/>
      <c r="P20" s="143"/>
      <c r="Q20" s="143"/>
      <c r="R20" s="143"/>
      <c r="S20" s="144"/>
    </row>
    <row r="21" spans="1:19" ht="37.9" customHeight="1" thickBot="1">
      <c r="A21" s="147"/>
      <c r="B21" s="427"/>
      <c r="C21" s="145" t="s">
        <v>88</v>
      </c>
      <c r="D21" s="422"/>
      <c r="E21" s="422"/>
      <c r="F21" s="423"/>
      <c r="G21" s="423"/>
      <c r="H21" s="424"/>
      <c r="I21" s="424"/>
      <c r="J21" s="424"/>
      <c r="K21" s="424"/>
      <c r="L21" s="424"/>
      <c r="M21" s="424"/>
      <c r="N21" s="424"/>
      <c r="O21" s="139"/>
      <c r="P21" s="139"/>
      <c r="Q21" s="139"/>
      <c r="R21" s="139"/>
      <c r="S21" s="140"/>
    </row>
    <row r="22" spans="1:19" ht="24.95" customHeight="1">
      <c r="A22" s="147"/>
      <c r="B22" s="425" t="s">
        <v>98</v>
      </c>
      <c r="C22" s="425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  <mergeCell ref="F16:G16"/>
    <mergeCell ref="H16:N16"/>
    <mergeCell ref="D17:E17"/>
    <mergeCell ref="F17:G17"/>
    <mergeCell ref="H17:N17"/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40" t="s">
        <v>20</v>
      </c>
      <c r="B1" s="360"/>
      <c r="C1" s="360"/>
    </row>
    <row r="2" spans="1:12" ht="25.15" customHeight="1">
      <c r="A2" s="441" t="s">
        <v>47</v>
      </c>
      <c r="B2" s="441"/>
      <c r="C2" s="441"/>
      <c r="D2" s="441"/>
      <c r="E2" s="441"/>
      <c r="F2" s="441"/>
      <c r="G2" s="441"/>
      <c r="H2" s="441"/>
      <c r="I2" s="441"/>
      <c r="J2" s="441"/>
      <c r="K2" s="441"/>
      <c r="L2" s="441"/>
    </row>
    <row r="3" spans="1:12">
      <c r="A3" s="169"/>
      <c r="B3" s="170"/>
    </row>
    <row r="4" spans="1:12" ht="22.15" customHeight="1">
      <c r="A4" s="170"/>
      <c r="B4" s="170"/>
      <c r="F4" s="442" t="s">
        <v>143</v>
      </c>
      <c r="G4" s="443"/>
      <c r="H4" s="226" t="s">
        <v>250</v>
      </c>
      <c r="I4" s="94"/>
    </row>
    <row r="5" spans="1:12" ht="15.75" thickBot="1">
      <c r="A5" s="171"/>
      <c r="B5" s="172"/>
    </row>
    <row r="6" spans="1:12" ht="18">
      <c r="A6" s="444" t="s">
        <v>144</v>
      </c>
      <c r="B6" s="445"/>
      <c r="C6" s="445"/>
      <c r="D6" s="445"/>
      <c r="E6" s="445"/>
      <c r="F6" s="446"/>
      <c r="G6" s="444" t="s">
        <v>145</v>
      </c>
      <c r="H6" s="447"/>
      <c r="I6" s="447"/>
      <c r="J6" s="447"/>
      <c r="K6" s="447"/>
      <c r="L6" s="448"/>
    </row>
    <row r="7" spans="1:12" ht="48" customHeight="1">
      <c r="A7" s="432" t="s">
        <v>146</v>
      </c>
      <c r="B7" s="433"/>
      <c r="C7" s="434" t="s">
        <v>147</v>
      </c>
      <c r="D7" s="435"/>
      <c r="E7" s="434" t="s">
        <v>148</v>
      </c>
      <c r="F7" s="436"/>
      <c r="G7" s="173" t="s">
        <v>149</v>
      </c>
      <c r="H7" s="174" t="s">
        <v>150</v>
      </c>
      <c r="I7" s="437" t="s">
        <v>151</v>
      </c>
      <c r="J7" s="438"/>
      <c r="K7" s="438"/>
      <c r="L7" s="439"/>
    </row>
    <row r="8" spans="1:12" ht="25.15" customHeight="1">
      <c r="A8" s="449" t="str">
        <f>IF('10-08-01'!$B9="","",'10-08-01'!$B9)</f>
        <v/>
      </c>
      <c r="B8" s="450"/>
      <c r="C8" s="451" t="str">
        <f>IF(ISNA(INDEX(Schedule!$O:$O,MATCH($A8,Schedule!T:T,0))),"",INDEX(Schedule!$O:$O,MATCH($A8,Schedule!T:T,0)))</f>
        <v/>
      </c>
      <c r="D8" s="450"/>
      <c r="E8" s="451" t="str">
        <f>IF(ISNA(INDEX(Schedule!$V:$V,MATCH($A8,Schedule!T:T,0))),"",INDEX(Schedule!$V:$V,MATCH($A8,Schedule!T:T,0)))</f>
        <v/>
      </c>
      <c r="F8" s="450"/>
      <c r="G8" s="175"/>
      <c r="H8" s="176"/>
      <c r="I8" s="452"/>
      <c r="J8" s="452"/>
      <c r="K8" s="452"/>
      <c r="L8" s="453"/>
    </row>
    <row r="9" spans="1:12" ht="25.15" customHeight="1">
      <c r="A9" s="449" t="str">
        <f>IF('10-08-01'!$B10="","",'10-08-01'!$B10)</f>
        <v/>
      </c>
      <c r="B9" s="450"/>
      <c r="C9" s="451" t="str">
        <f>IF(ISNA(INDEX(Schedule!$O:$O,MATCH($A9,Schedule!T:T,0))),"",INDEX(Schedule!$O:$O,MATCH($A9,Schedule!T:T,0)))</f>
        <v/>
      </c>
      <c r="D9" s="450"/>
      <c r="E9" s="451" t="str">
        <f>IF(ISNA(INDEX(Schedule!$V:$V,MATCH($A9,Schedule!T:T,0))),"",INDEX(Schedule!$V:$V,MATCH($A9,Schedule!T:T,0)))</f>
        <v/>
      </c>
      <c r="F9" s="450"/>
      <c r="G9" s="177"/>
      <c r="H9" s="176"/>
      <c r="I9" s="452"/>
      <c r="J9" s="452"/>
      <c r="K9" s="452"/>
      <c r="L9" s="453"/>
    </row>
    <row r="10" spans="1:12" ht="25.15" customHeight="1">
      <c r="A10" s="449" t="str">
        <f>IF('10-08-01'!$B11="","",'10-08-01'!$B11)</f>
        <v/>
      </c>
      <c r="B10" s="450"/>
      <c r="C10" s="451" t="str">
        <f>IF(ISNA(INDEX(Schedule!$O:$O,MATCH($A10,Schedule!T:T,0))),"",INDEX(Schedule!$O:$O,MATCH($A10,Schedule!T:T,0)))</f>
        <v/>
      </c>
      <c r="D10" s="450"/>
      <c r="E10" s="451" t="str">
        <f>IF(ISNA(INDEX(Schedule!$V:$V,MATCH($A10,Schedule!T:T,0))),"",INDEX(Schedule!$V:$V,MATCH($A10,Schedule!T:T,0)))</f>
        <v/>
      </c>
      <c r="F10" s="450"/>
      <c r="G10" s="177"/>
      <c r="H10" s="176"/>
      <c r="I10" s="452"/>
      <c r="J10" s="452"/>
      <c r="K10" s="452"/>
      <c r="L10" s="453"/>
    </row>
    <row r="11" spans="1:12" ht="25.15" customHeight="1">
      <c r="A11" s="449" t="str">
        <f>IF('10-08-01'!$B12="","",'10-08-01'!$B12)</f>
        <v/>
      </c>
      <c r="B11" s="450"/>
      <c r="C11" s="451" t="str">
        <f>IF(ISNA(INDEX(Schedule!$O:$O,MATCH($A11,Schedule!T:T,0))),"",INDEX(Schedule!$O:$O,MATCH($A11,Schedule!T:T,0)))</f>
        <v/>
      </c>
      <c r="D11" s="450"/>
      <c r="E11" s="451" t="str">
        <f>IF(ISNA(INDEX(Schedule!$V:$V,MATCH($A11,Schedule!T:T,0))),"",INDEX(Schedule!$V:$V,MATCH($A11,Schedule!T:T,0)))</f>
        <v/>
      </c>
      <c r="F11" s="450"/>
      <c r="G11" s="177"/>
      <c r="H11" s="176"/>
      <c r="I11" s="454"/>
      <c r="J11" s="454"/>
      <c r="K11" s="454"/>
      <c r="L11" s="455"/>
    </row>
    <row r="12" spans="1:12" ht="25.15" customHeight="1">
      <c r="A12" s="449" t="str">
        <f>IF('10-08-01'!$B13="","",'10-08-01'!$B13)</f>
        <v/>
      </c>
      <c r="B12" s="450"/>
      <c r="C12" s="451" t="str">
        <f>IF(ISNA(INDEX(Schedule!$O:$O,MATCH($A12,Schedule!T:T,0))),"",INDEX(Schedule!$O:$O,MATCH($A12,Schedule!T:T,0)))</f>
        <v/>
      </c>
      <c r="D12" s="450"/>
      <c r="E12" s="451" t="str">
        <f>IF(ISNA(INDEX(Schedule!$V:$V,MATCH($A12,Schedule!T:T,0))),"",INDEX(Schedule!$V:$V,MATCH($A12,Schedule!T:T,0)))</f>
        <v/>
      </c>
      <c r="F12" s="450"/>
      <c r="G12" s="177"/>
      <c r="H12" s="176"/>
      <c r="I12" s="452"/>
      <c r="J12" s="452"/>
      <c r="K12" s="452"/>
      <c r="L12" s="453"/>
    </row>
    <row r="13" spans="1:12" ht="25.15" customHeight="1">
      <c r="A13" s="449" t="str">
        <f>IF('10-08-01'!$B14="","",'10-08-01'!$B14)</f>
        <v/>
      </c>
      <c r="B13" s="450"/>
      <c r="C13" s="451" t="str">
        <f>IF(ISNA(INDEX(Schedule!$O:$O,MATCH($A13,Schedule!T:T,0))),"",INDEX(Schedule!$O:$O,MATCH($A13,Schedule!T:T,0)))</f>
        <v/>
      </c>
      <c r="D13" s="450"/>
      <c r="E13" s="451" t="str">
        <f>IF(ISNA(INDEX(Schedule!$V:$V,MATCH($A13,Schedule!T:T,0))),"",INDEX(Schedule!$V:$V,MATCH($A13,Schedule!T:T,0)))</f>
        <v/>
      </c>
      <c r="F13" s="450"/>
      <c r="G13" s="177"/>
      <c r="H13" s="178"/>
      <c r="I13" s="452"/>
      <c r="J13" s="452"/>
      <c r="K13" s="452"/>
      <c r="L13" s="453"/>
    </row>
    <row r="14" spans="1:12" ht="25.15" customHeight="1">
      <c r="A14" s="449" t="str">
        <f>IF('10-08-01'!$B15="","",'10-08-01'!$B15)</f>
        <v/>
      </c>
      <c r="B14" s="450"/>
      <c r="C14" s="451" t="str">
        <f>IF(ISNA(INDEX(Schedule!$O:$O,MATCH($A14,Schedule!T:T,0))),"",INDEX(Schedule!$O:$O,MATCH($A14,Schedule!T:T,0)))</f>
        <v/>
      </c>
      <c r="D14" s="450"/>
      <c r="E14" s="451" t="str">
        <f>IF(ISNA(INDEX(Schedule!$V:$V,MATCH($A14,Schedule!T:T,0))),"",INDEX(Schedule!$V:$V,MATCH($A14,Schedule!T:T,0)))</f>
        <v/>
      </c>
      <c r="F14" s="450"/>
      <c r="G14" s="177"/>
      <c r="H14" s="176"/>
      <c r="I14" s="452"/>
      <c r="J14" s="452"/>
      <c r="K14" s="452"/>
      <c r="L14" s="453"/>
    </row>
    <row r="15" spans="1:12" ht="25.15" customHeight="1">
      <c r="A15" s="449" t="str">
        <f>IF('10-08-01'!$B16="","",'10-08-01'!$B16)</f>
        <v/>
      </c>
      <c r="B15" s="450"/>
      <c r="C15" s="451" t="str">
        <f>IF(ISNA(INDEX(Schedule!$O:$O,MATCH($A15,Schedule!T:T,0))),"",INDEX(Schedule!$O:$O,MATCH($A15,Schedule!T:T,0)))</f>
        <v/>
      </c>
      <c r="D15" s="450"/>
      <c r="E15" s="451" t="str">
        <f>IF(ISNA(INDEX(Schedule!$V:$V,MATCH($A15,Schedule!T:T,0))),"",INDEX(Schedule!$V:$V,MATCH($A15,Schedule!T:T,0)))</f>
        <v/>
      </c>
      <c r="F15" s="450"/>
      <c r="G15" s="177"/>
      <c r="H15" s="176"/>
      <c r="I15" s="452"/>
      <c r="J15" s="452"/>
      <c r="K15" s="452"/>
      <c r="L15" s="453"/>
    </row>
    <row r="16" spans="1:12" ht="25.15" customHeight="1">
      <c r="A16" s="449" t="str">
        <f>IF('10-08-01'!$B17="","",'10-08-01'!$B17)</f>
        <v/>
      </c>
      <c r="B16" s="450"/>
      <c r="C16" s="451" t="str">
        <f>IF(ISNA(INDEX(Schedule!$O:$O,MATCH($A16,Schedule!T:T,0))),"",INDEX(Schedule!$O:$O,MATCH($A16,Schedule!T:T,0)))</f>
        <v/>
      </c>
      <c r="D16" s="450"/>
      <c r="E16" s="451" t="str">
        <f>IF(ISNA(INDEX(Schedule!$V:$V,MATCH($A16,Schedule!T:T,0))),"",INDEX(Schedule!$V:$V,MATCH($A16,Schedule!T:T,0)))</f>
        <v/>
      </c>
      <c r="F16" s="450"/>
      <c r="G16" s="177"/>
      <c r="H16" s="176"/>
      <c r="I16" s="452"/>
      <c r="J16" s="452"/>
      <c r="K16" s="452"/>
      <c r="L16" s="453"/>
    </row>
    <row r="17" spans="1:12" ht="25.15" customHeight="1">
      <c r="A17" s="449" t="str">
        <f>IF('10-08-01'!$B18="","",'10-08-01'!$B18)</f>
        <v/>
      </c>
      <c r="B17" s="450"/>
      <c r="C17" s="451" t="str">
        <f>IF(ISNA(INDEX(Schedule!$O:$O,MATCH($A17,Schedule!T:T,0))),"",INDEX(Schedule!$O:$O,MATCH($A17,Schedule!T:T,0)))</f>
        <v/>
      </c>
      <c r="D17" s="450"/>
      <c r="E17" s="451" t="str">
        <f>IF(ISNA(INDEX(Schedule!$V:$V,MATCH($A17,Schedule!T:T,0))),"",INDEX(Schedule!$V:$V,MATCH($A17,Schedule!T:T,0)))</f>
        <v/>
      </c>
      <c r="F17" s="450"/>
      <c r="G17" s="177"/>
      <c r="H17" s="176"/>
      <c r="I17" s="452"/>
      <c r="J17" s="452"/>
      <c r="K17" s="452"/>
      <c r="L17" s="453"/>
    </row>
    <row r="18" spans="1:12" ht="25.15" customHeight="1">
      <c r="A18" s="449" t="str">
        <f>IF('10-08-01'!$H9="","",'10-08-01'!$H9)</f>
        <v/>
      </c>
      <c r="B18" s="450"/>
      <c r="C18" s="451" t="str">
        <f>IF(ISNA(INDEX(Schedule!$O:$O,MATCH($A18,Schedule!T:T,0))),"",INDEX(Schedule!$O:$O,MATCH($A18,Schedule!T:T,0)))</f>
        <v/>
      </c>
      <c r="D18" s="450"/>
      <c r="E18" s="451" t="str">
        <f>IF(ISNA(INDEX(Schedule!$V:$V,MATCH($A18,Schedule!T:T,0))),"",INDEX(Schedule!$V:$V,MATCH($A18,Schedule!T:T,0)))</f>
        <v/>
      </c>
      <c r="F18" s="450"/>
      <c r="G18" s="177"/>
      <c r="H18" s="176"/>
      <c r="I18" s="452"/>
      <c r="J18" s="452"/>
      <c r="K18" s="452"/>
      <c r="L18" s="453"/>
    </row>
    <row r="19" spans="1:12" ht="25.15" customHeight="1">
      <c r="A19" s="449" t="str">
        <f>IF('10-08-01'!$H10="","",'10-08-01'!$H10)</f>
        <v/>
      </c>
      <c r="B19" s="450"/>
      <c r="C19" s="451" t="str">
        <f>IF(ISNA(INDEX(Schedule!$O:$O,MATCH($A19,Schedule!T:T,0))),"",INDEX(Schedule!$O:$O,MATCH($A19,Schedule!T:T,0)))</f>
        <v/>
      </c>
      <c r="D19" s="450"/>
      <c r="E19" s="451" t="str">
        <f>IF(ISNA(INDEX(Schedule!$V:$V,MATCH($A19,Schedule!T:T,0))),"",INDEX(Schedule!$V:$V,MATCH($A19,Schedule!T:T,0)))</f>
        <v/>
      </c>
      <c r="F19" s="450"/>
      <c r="G19" s="177"/>
      <c r="H19" s="176"/>
      <c r="I19" s="452"/>
      <c r="J19" s="452"/>
      <c r="K19" s="452"/>
      <c r="L19" s="453"/>
    </row>
    <row r="20" spans="1:12" ht="25.15" customHeight="1">
      <c r="A20" s="449" t="str">
        <f>IF('10-08-01'!$H11="","",'10-08-01'!$H11)</f>
        <v/>
      </c>
      <c r="B20" s="450"/>
      <c r="C20" s="451" t="str">
        <f>IF(ISNA(INDEX(Schedule!$O:$O,MATCH($A20,Schedule!T:T,0))),"",INDEX(Schedule!$O:$O,MATCH($A20,Schedule!T:T,0)))</f>
        <v/>
      </c>
      <c r="D20" s="450"/>
      <c r="E20" s="451" t="str">
        <f>IF(ISNA(INDEX(Schedule!$V:$V,MATCH($A20,Schedule!T:T,0))),"",INDEX(Schedule!$V:$V,MATCH($A20,Schedule!T:T,0)))</f>
        <v/>
      </c>
      <c r="F20" s="450"/>
      <c r="G20" s="177"/>
      <c r="H20" s="176"/>
      <c r="I20" s="452"/>
      <c r="J20" s="452"/>
      <c r="K20" s="452"/>
      <c r="L20" s="453"/>
    </row>
    <row r="21" spans="1:12" ht="25.15" customHeight="1">
      <c r="A21" s="449" t="str">
        <f>IF('10-08-01'!$H12="","",'10-08-01'!$H12)</f>
        <v/>
      </c>
      <c r="B21" s="450"/>
      <c r="C21" s="451" t="str">
        <f>IF(ISNA(INDEX(Schedule!$O:$O,MATCH($A21,Schedule!T:T,0))),"",INDEX(Schedule!$O:$O,MATCH($A21,Schedule!T:T,0)))</f>
        <v/>
      </c>
      <c r="D21" s="450"/>
      <c r="E21" s="451" t="str">
        <f>IF(ISNA(INDEX(Schedule!$V:$V,MATCH($A21,Schedule!T:T,0))),"",INDEX(Schedule!$V:$V,MATCH($A21,Schedule!T:T,0)))</f>
        <v/>
      </c>
      <c r="F21" s="450"/>
      <c r="G21" s="177"/>
      <c r="H21" s="176"/>
      <c r="I21" s="452"/>
      <c r="J21" s="452"/>
      <c r="K21" s="452"/>
      <c r="L21" s="453"/>
    </row>
    <row r="22" spans="1:12" ht="25.15" customHeight="1">
      <c r="A22" s="449" t="str">
        <f>IF('10-08-01'!$H13="","",'10-08-01'!$H13)</f>
        <v/>
      </c>
      <c r="B22" s="450"/>
      <c r="C22" s="451" t="str">
        <f>IF(ISNA(INDEX(Schedule!$O:$O,MATCH($A22,Schedule!T:T,0))),"",INDEX(Schedule!$O:$O,MATCH($A22,Schedule!T:T,0)))</f>
        <v/>
      </c>
      <c r="D22" s="450"/>
      <c r="E22" s="451" t="str">
        <f>IF(ISNA(INDEX(Schedule!$V:$V,MATCH($A22,Schedule!T:T,0))),"",INDEX(Schedule!$V:$V,MATCH($A22,Schedule!T:T,0)))</f>
        <v/>
      </c>
      <c r="F22" s="450"/>
      <c r="G22" s="177"/>
      <c r="H22" s="176"/>
      <c r="I22" s="452"/>
      <c r="J22" s="452"/>
      <c r="K22" s="452"/>
      <c r="L22" s="453"/>
    </row>
    <row r="23" spans="1:12" ht="25.15" customHeight="1">
      <c r="A23" s="449" t="str">
        <f>IF('10-08-01'!$H14="","",'10-08-01'!$H14)</f>
        <v/>
      </c>
      <c r="B23" s="450"/>
      <c r="C23" s="451" t="str">
        <f>IF(ISNA(INDEX(Schedule!$O:$O,MATCH($A23,Schedule!T:T,0))),"",INDEX(Schedule!$O:$O,MATCH($A23,Schedule!T:T,0)))</f>
        <v/>
      </c>
      <c r="D23" s="450"/>
      <c r="E23" s="451" t="str">
        <f>IF(ISNA(INDEX(Schedule!$V:$V,MATCH($A23,Schedule!T:T,0))),"",INDEX(Schedule!$V:$V,MATCH($A23,Schedule!T:T,0)))</f>
        <v/>
      </c>
      <c r="F23" s="450"/>
      <c r="G23" s="177"/>
      <c r="H23" s="176"/>
      <c r="I23" s="452"/>
      <c r="J23" s="452"/>
      <c r="K23" s="452"/>
      <c r="L23" s="453"/>
    </row>
    <row r="24" spans="1:12" ht="25.15" customHeight="1">
      <c r="A24" s="449" t="str">
        <f>IF('10-08-01'!$H15="","",'10-08-01'!$H15)</f>
        <v/>
      </c>
      <c r="B24" s="450"/>
      <c r="C24" s="451" t="str">
        <f>IF(ISNA(INDEX(Schedule!$O:$O,MATCH($A24,Schedule!T:T,0))),"",INDEX(Schedule!$O:$O,MATCH($A24,Schedule!T:T,0)))</f>
        <v/>
      </c>
      <c r="D24" s="450"/>
      <c r="E24" s="451" t="str">
        <f>IF(ISNA(INDEX(Schedule!$V:$V,MATCH($A24,Schedule!T:T,0))),"",INDEX(Schedule!$V:$V,MATCH($A24,Schedule!T:T,0)))</f>
        <v/>
      </c>
      <c r="F24" s="450"/>
      <c r="G24" s="177"/>
      <c r="H24" s="176"/>
      <c r="I24" s="452"/>
      <c r="J24" s="452"/>
      <c r="K24" s="452"/>
      <c r="L24" s="453"/>
    </row>
    <row r="25" spans="1:12" ht="25.15" customHeight="1">
      <c r="A25" s="449" t="str">
        <f>IF('10-08-01'!$H16="","",'10-08-01'!$H16)</f>
        <v/>
      </c>
      <c r="B25" s="450"/>
      <c r="C25" s="451" t="str">
        <f>IF(ISNA(INDEX(Schedule!$O:$O,MATCH($A25,Schedule!T:T,0))),"",INDEX(Schedule!$O:$O,MATCH($A25,Schedule!T:T,0)))</f>
        <v/>
      </c>
      <c r="D25" s="450"/>
      <c r="E25" s="451" t="str">
        <f>IF(ISNA(INDEX(Schedule!$V:$V,MATCH($A25,Schedule!T:T,0))),"",INDEX(Schedule!$V:$V,MATCH($A25,Schedule!T:T,0)))</f>
        <v/>
      </c>
      <c r="F25" s="450"/>
      <c r="G25" s="177"/>
      <c r="H25" s="176"/>
      <c r="I25" s="452"/>
      <c r="J25" s="452"/>
      <c r="K25" s="452"/>
      <c r="L25" s="453"/>
    </row>
    <row r="26" spans="1:12" ht="25.15" customHeight="1">
      <c r="A26" s="449" t="str">
        <f>IF('10-08-01'!$H17="","",'10-08-01'!$H17)</f>
        <v/>
      </c>
      <c r="B26" s="450"/>
      <c r="C26" s="451" t="str">
        <f>IF(ISNA(INDEX(Schedule!$O:$O,MATCH($A26,Schedule!T:T,0))),"",INDEX(Schedule!$O:$O,MATCH($A26,Schedule!T:T,0)))</f>
        <v/>
      </c>
      <c r="D26" s="450"/>
      <c r="E26" s="451" t="str">
        <f>IF(ISNA(INDEX(Schedule!$V:$V,MATCH($A26,Schedule!T:T,0))),"",INDEX(Schedule!$V:$V,MATCH($A26,Schedule!T:T,0)))</f>
        <v/>
      </c>
      <c r="F26" s="450"/>
      <c r="G26" s="177"/>
      <c r="H26" s="176"/>
      <c r="I26" s="452"/>
      <c r="J26" s="452"/>
      <c r="K26" s="452"/>
      <c r="L26" s="453"/>
    </row>
    <row r="27" spans="1:12" ht="25.15" customHeight="1" thickBot="1">
      <c r="A27" s="449" t="str">
        <f>IF('10-08-01'!$H18="","",'10-08-01'!$H18)</f>
        <v/>
      </c>
      <c r="B27" s="450"/>
      <c r="C27" s="451" t="str">
        <f>IF(ISNA(INDEX(Schedule!$O:$O,MATCH($A27,Schedule!T:T,0))),"",INDEX(Schedule!$O:$O,MATCH($A27,Schedule!T:T,0)))</f>
        <v/>
      </c>
      <c r="D27" s="450"/>
      <c r="E27" s="451" t="str">
        <f>IF(ISNA(INDEX(Schedule!$V:$V,MATCH($A27,Schedule!T:T,0))),"",INDEX(Schedule!$V:$V,MATCH($A27,Schedule!T:T,0)))</f>
        <v/>
      </c>
      <c r="F27" s="450"/>
      <c r="G27" s="177"/>
      <c r="H27" s="179"/>
      <c r="I27" s="456"/>
      <c r="J27" s="456"/>
      <c r="K27" s="456"/>
      <c r="L27" s="457"/>
    </row>
    <row r="28" spans="1:12" ht="13.5" thickBot="1">
      <c r="A28" s="458"/>
      <c r="B28" s="459"/>
      <c r="C28" s="459"/>
      <c r="D28" s="459"/>
      <c r="E28" s="459"/>
      <c r="F28" s="459"/>
      <c r="G28" s="459"/>
      <c r="H28" s="459"/>
      <c r="I28" s="459"/>
      <c r="J28" s="459"/>
      <c r="K28" s="459"/>
      <c r="L28" s="460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61" t="s">
        <v>154</v>
      </c>
      <c r="B32" s="462"/>
      <c r="C32" s="463"/>
      <c r="D32" s="463"/>
      <c r="E32" s="463"/>
      <c r="F32" s="463"/>
      <c r="G32" s="463"/>
      <c r="H32" s="463"/>
    </row>
    <row r="33" spans="1:12">
      <c r="A33" s="170"/>
      <c r="B33" s="170"/>
      <c r="C33" s="464" t="s">
        <v>155</v>
      </c>
      <c r="D33" s="399"/>
      <c r="E33" s="399"/>
      <c r="F33" s="399"/>
      <c r="G33" s="399"/>
      <c r="H33" s="399"/>
    </row>
    <row r="34" spans="1:12">
      <c r="A34" s="184" t="s">
        <v>156</v>
      </c>
      <c r="B34" s="170"/>
    </row>
    <row r="35" spans="1:12" s="299" customFormat="1" ht="57.75">
      <c r="A35" s="440" t="s">
        <v>20</v>
      </c>
      <c r="B35" s="360"/>
      <c r="C35" s="360"/>
    </row>
    <row r="36" spans="1:12" s="299" customFormat="1" ht="25.15" customHeight="1">
      <c r="A36" s="441" t="s">
        <v>47</v>
      </c>
      <c r="B36" s="441"/>
      <c r="C36" s="441"/>
      <c r="D36" s="441"/>
      <c r="E36" s="441"/>
      <c r="F36" s="441"/>
      <c r="G36" s="441"/>
      <c r="H36" s="441"/>
      <c r="I36" s="441"/>
      <c r="J36" s="441"/>
      <c r="K36" s="441"/>
      <c r="L36" s="441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2" t="s">
        <v>143</v>
      </c>
      <c r="G38" s="443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44" t="s">
        <v>144</v>
      </c>
      <c r="B40" s="445"/>
      <c r="C40" s="445"/>
      <c r="D40" s="445"/>
      <c r="E40" s="445"/>
      <c r="F40" s="446"/>
      <c r="G40" s="444" t="s">
        <v>145</v>
      </c>
      <c r="H40" s="447"/>
      <c r="I40" s="447"/>
      <c r="J40" s="447"/>
      <c r="K40" s="447"/>
      <c r="L40" s="448"/>
    </row>
    <row r="41" spans="1:12" s="299" customFormat="1" ht="48" customHeight="1">
      <c r="A41" s="432" t="s">
        <v>146</v>
      </c>
      <c r="B41" s="433"/>
      <c r="C41" s="434" t="s">
        <v>147</v>
      </c>
      <c r="D41" s="435"/>
      <c r="E41" s="434" t="s">
        <v>148</v>
      </c>
      <c r="F41" s="436"/>
      <c r="G41" s="173" t="s">
        <v>149</v>
      </c>
      <c r="H41" s="174" t="s">
        <v>150</v>
      </c>
      <c r="I41" s="437" t="s">
        <v>151</v>
      </c>
      <c r="J41" s="438"/>
      <c r="K41" s="438"/>
      <c r="L41" s="439"/>
    </row>
    <row r="42" spans="1:12" s="299" customFormat="1" ht="25.15" customHeight="1">
      <c r="A42" s="465" t="str">
        <f>IF('10-08-01'!$B58="","",'10-08-01'!$B58)</f>
        <v/>
      </c>
      <c r="B42" s="466"/>
      <c r="C42" s="451" t="str">
        <f>IF(ISNA(INDEX(Schedule!$O:$O,MATCH($A42,Schedule!T:T,0))),"",INDEX(Schedule!$O:$O,MATCH($A42,Schedule!T:T,0)))</f>
        <v/>
      </c>
      <c r="D42" s="450"/>
      <c r="E42" s="451" t="str">
        <f>IF(ISNA(INDEX(Schedule!$V:$V,MATCH($A42,Schedule!T:T,0))),"",INDEX(Schedule!$V:$V,MATCH($A42,Schedule!T:T,0)))</f>
        <v/>
      </c>
      <c r="F42" s="450"/>
      <c r="G42" s="175"/>
      <c r="H42" s="301"/>
      <c r="I42" s="452"/>
      <c r="J42" s="452"/>
      <c r="K42" s="452"/>
      <c r="L42" s="453"/>
    </row>
    <row r="43" spans="1:12" s="299" customFormat="1" ht="25.15" customHeight="1">
      <c r="A43" s="465" t="str">
        <f>IF('10-08-01'!$B59="","",'10-08-01'!$B59)</f>
        <v/>
      </c>
      <c r="B43" s="466"/>
      <c r="C43" s="451" t="str">
        <f>IF(ISNA(INDEX(Schedule!$O:$O,MATCH($A43,Schedule!T:T,0))),"",INDEX(Schedule!$O:$O,MATCH($A43,Schedule!T:T,0)))</f>
        <v/>
      </c>
      <c r="D43" s="450"/>
      <c r="E43" s="451" t="str">
        <f>IF(ISNA(INDEX(Schedule!$V:$V,MATCH($A43,Schedule!T:T,0))),"",INDEX(Schedule!$V:$V,MATCH($A43,Schedule!T:T,0)))</f>
        <v/>
      </c>
      <c r="F43" s="450"/>
      <c r="G43" s="177"/>
      <c r="H43" s="301"/>
      <c r="I43" s="452"/>
      <c r="J43" s="452"/>
      <c r="K43" s="452"/>
      <c r="L43" s="453"/>
    </row>
    <row r="44" spans="1:12" s="299" customFormat="1" ht="25.15" customHeight="1">
      <c r="A44" s="465" t="str">
        <f>IF('10-08-01'!$B60="","",'10-08-01'!$B60)</f>
        <v/>
      </c>
      <c r="B44" s="466"/>
      <c r="C44" s="451" t="str">
        <f>IF(ISNA(INDEX(Schedule!$O:$O,MATCH($A44,Schedule!T:T,0))),"",INDEX(Schedule!$O:$O,MATCH($A44,Schedule!T:T,0)))</f>
        <v/>
      </c>
      <c r="D44" s="450"/>
      <c r="E44" s="451" t="str">
        <f>IF(ISNA(INDEX(Schedule!$V:$V,MATCH($A44,Schedule!T:T,0))),"",INDEX(Schedule!$V:$V,MATCH($A44,Schedule!T:T,0)))</f>
        <v/>
      </c>
      <c r="F44" s="450"/>
      <c r="G44" s="177"/>
      <c r="H44" s="301"/>
      <c r="I44" s="452"/>
      <c r="J44" s="452"/>
      <c r="K44" s="452"/>
      <c r="L44" s="453"/>
    </row>
    <row r="45" spans="1:12" s="299" customFormat="1" ht="25.15" customHeight="1">
      <c r="A45" s="465" t="str">
        <f>IF('10-08-01'!$B61="","",'10-08-01'!$B61)</f>
        <v/>
      </c>
      <c r="B45" s="466"/>
      <c r="C45" s="451" t="str">
        <f>IF(ISNA(INDEX(Schedule!$O:$O,MATCH($A45,Schedule!T:T,0))),"",INDEX(Schedule!$O:$O,MATCH($A45,Schedule!T:T,0)))</f>
        <v/>
      </c>
      <c r="D45" s="450"/>
      <c r="E45" s="451" t="str">
        <f>IF(ISNA(INDEX(Schedule!$V:$V,MATCH($A45,Schedule!T:T,0))),"",INDEX(Schedule!$V:$V,MATCH($A45,Schedule!T:T,0)))</f>
        <v/>
      </c>
      <c r="F45" s="450"/>
      <c r="G45" s="177"/>
      <c r="H45" s="301"/>
      <c r="I45" s="454"/>
      <c r="J45" s="454"/>
      <c r="K45" s="454"/>
      <c r="L45" s="455"/>
    </row>
    <row r="46" spans="1:12" s="299" customFormat="1" ht="25.15" customHeight="1">
      <c r="A46" s="465" t="str">
        <f>IF('10-08-01'!$B62="","",'10-08-01'!$B62)</f>
        <v/>
      </c>
      <c r="B46" s="466"/>
      <c r="C46" s="451" t="str">
        <f>IF(ISNA(INDEX(Schedule!$O:$O,MATCH($A46,Schedule!T:T,0))),"",INDEX(Schedule!$O:$O,MATCH($A46,Schedule!T:T,0)))</f>
        <v/>
      </c>
      <c r="D46" s="450"/>
      <c r="E46" s="451" t="str">
        <f>IF(ISNA(INDEX(Schedule!$V:$V,MATCH($A46,Schedule!T:T,0))),"",INDEX(Schedule!$V:$V,MATCH($A46,Schedule!T:T,0)))</f>
        <v/>
      </c>
      <c r="F46" s="450"/>
      <c r="G46" s="177"/>
      <c r="H46" s="301"/>
      <c r="I46" s="452"/>
      <c r="J46" s="452"/>
      <c r="K46" s="452"/>
      <c r="L46" s="453"/>
    </row>
    <row r="47" spans="1:12" s="299" customFormat="1" ht="25.15" customHeight="1">
      <c r="A47" s="465" t="str">
        <f>IF('10-08-01'!$B63="","",'10-08-01'!$B63)</f>
        <v/>
      </c>
      <c r="B47" s="466"/>
      <c r="C47" s="451" t="str">
        <f>IF(ISNA(INDEX(Schedule!$O:$O,MATCH($A47,Schedule!T:T,0))),"",INDEX(Schedule!$O:$O,MATCH($A47,Schedule!T:T,0)))</f>
        <v/>
      </c>
      <c r="D47" s="450"/>
      <c r="E47" s="451" t="str">
        <f>IF(ISNA(INDEX(Schedule!$V:$V,MATCH($A47,Schedule!T:T,0))),"",INDEX(Schedule!$V:$V,MATCH($A47,Schedule!T:T,0)))</f>
        <v/>
      </c>
      <c r="F47" s="450"/>
      <c r="G47" s="177"/>
      <c r="H47" s="178"/>
      <c r="I47" s="452"/>
      <c r="J47" s="452"/>
      <c r="K47" s="452"/>
      <c r="L47" s="453"/>
    </row>
    <row r="48" spans="1:12" s="299" customFormat="1" ht="25.15" customHeight="1">
      <c r="A48" s="465" t="str">
        <f>IF('10-08-01'!$B64="","",'10-08-01'!$B64)</f>
        <v/>
      </c>
      <c r="B48" s="466"/>
      <c r="C48" s="451" t="str">
        <f>IF(ISNA(INDEX(Schedule!$O:$O,MATCH($A48,Schedule!T:T,0))),"",INDEX(Schedule!$O:$O,MATCH($A48,Schedule!T:T,0)))</f>
        <v/>
      </c>
      <c r="D48" s="450"/>
      <c r="E48" s="451" t="str">
        <f>IF(ISNA(INDEX(Schedule!$V:$V,MATCH($A48,Schedule!T:T,0))),"",INDEX(Schedule!$V:$V,MATCH($A48,Schedule!T:T,0)))</f>
        <v/>
      </c>
      <c r="F48" s="450"/>
      <c r="G48" s="177"/>
      <c r="H48" s="301"/>
      <c r="I48" s="452"/>
      <c r="J48" s="452"/>
      <c r="K48" s="452"/>
      <c r="L48" s="453"/>
    </row>
    <row r="49" spans="1:12" s="299" customFormat="1" ht="25.15" customHeight="1">
      <c r="A49" s="465" t="str">
        <f>IF('10-08-01'!$B65="","",'10-08-01'!$B65)</f>
        <v/>
      </c>
      <c r="B49" s="466"/>
      <c r="C49" s="451" t="str">
        <f>IF(ISNA(INDEX(Schedule!$O:$O,MATCH($A49,Schedule!T:T,0))),"",INDEX(Schedule!$O:$O,MATCH($A49,Schedule!T:T,0)))</f>
        <v/>
      </c>
      <c r="D49" s="450"/>
      <c r="E49" s="451" t="str">
        <f>IF(ISNA(INDEX(Schedule!$V:$V,MATCH($A49,Schedule!T:T,0))),"",INDEX(Schedule!$V:$V,MATCH($A49,Schedule!T:T,0)))</f>
        <v/>
      </c>
      <c r="F49" s="450"/>
      <c r="G49" s="177"/>
      <c r="H49" s="301"/>
      <c r="I49" s="452"/>
      <c r="J49" s="452"/>
      <c r="K49" s="452"/>
      <c r="L49" s="453"/>
    </row>
    <row r="50" spans="1:12" s="299" customFormat="1" ht="25.15" customHeight="1">
      <c r="A50" s="465" t="str">
        <f>IF('10-08-01'!$B66="","",'10-08-01'!$B66)</f>
        <v/>
      </c>
      <c r="B50" s="466"/>
      <c r="C50" s="451" t="str">
        <f>IF(ISNA(INDEX(Schedule!$O:$O,MATCH($A50,Schedule!T:T,0))),"",INDEX(Schedule!$O:$O,MATCH($A50,Schedule!T:T,0)))</f>
        <v/>
      </c>
      <c r="D50" s="450"/>
      <c r="E50" s="451" t="str">
        <f>IF(ISNA(INDEX(Schedule!$V:$V,MATCH($A50,Schedule!T:T,0))),"",INDEX(Schedule!$V:$V,MATCH($A50,Schedule!T:T,0)))</f>
        <v/>
      </c>
      <c r="F50" s="450"/>
      <c r="G50" s="177"/>
      <c r="H50" s="301"/>
      <c r="I50" s="452"/>
      <c r="J50" s="452"/>
      <c r="K50" s="452"/>
      <c r="L50" s="453"/>
    </row>
    <row r="51" spans="1:12" s="299" customFormat="1" ht="25.15" customHeight="1">
      <c r="A51" s="465" t="str">
        <f>IF('10-08-01'!$B67="","",'10-08-01'!$B67)</f>
        <v/>
      </c>
      <c r="B51" s="466"/>
      <c r="C51" s="451" t="str">
        <f>IF(ISNA(INDEX(Schedule!$O:$O,MATCH($A51,Schedule!T:T,0))),"",INDEX(Schedule!$O:$O,MATCH($A51,Schedule!T:T,0)))</f>
        <v/>
      </c>
      <c r="D51" s="450"/>
      <c r="E51" s="451" t="str">
        <f>IF(ISNA(INDEX(Schedule!$V:$V,MATCH($A51,Schedule!T:T,0))),"",INDEX(Schedule!$V:$V,MATCH($A51,Schedule!T:T,0)))</f>
        <v/>
      </c>
      <c r="F51" s="450"/>
      <c r="G51" s="177"/>
      <c r="H51" s="301"/>
      <c r="I51" s="452"/>
      <c r="J51" s="452"/>
      <c r="K51" s="452"/>
      <c r="L51" s="453"/>
    </row>
    <row r="52" spans="1:12" s="299" customFormat="1" ht="25.15" customHeight="1">
      <c r="A52" s="465" t="str">
        <f>IF('10-08-01'!$H58="","",'10-08-01'!$H58)</f>
        <v/>
      </c>
      <c r="B52" s="466"/>
      <c r="C52" s="451" t="str">
        <f>IF(ISNA(INDEX(Schedule!$O:$O,MATCH($A52,Schedule!T:T,0))),"",INDEX(Schedule!$O:$O,MATCH($A52,Schedule!T:T,0)))</f>
        <v/>
      </c>
      <c r="D52" s="450"/>
      <c r="E52" s="451" t="str">
        <f>IF(ISNA(INDEX(Schedule!$V:$V,MATCH($A52,Schedule!T:T,0))),"",INDEX(Schedule!$V:$V,MATCH($A52,Schedule!T:T,0)))</f>
        <v/>
      </c>
      <c r="F52" s="450"/>
      <c r="G52" s="177"/>
      <c r="H52" s="301"/>
      <c r="I52" s="452"/>
      <c r="J52" s="452"/>
      <c r="K52" s="452"/>
      <c r="L52" s="453"/>
    </row>
    <row r="53" spans="1:12" s="299" customFormat="1" ht="25.15" customHeight="1">
      <c r="A53" s="465" t="str">
        <f>IF('10-08-01'!$H59="","",'10-08-01'!$H59)</f>
        <v/>
      </c>
      <c r="B53" s="466"/>
      <c r="C53" s="451" t="str">
        <f>IF(ISNA(INDEX(Schedule!$O:$O,MATCH($A53,Schedule!T:T,0))),"",INDEX(Schedule!$O:$O,MATCH($A53,Schedule!T:T,0)))</f>
        <v/>
      </c>
      <c r="D53" s="450"/>
      <c r="E53" s="451" t="str">
        <f>IF(ISNA(INDEX(Schedule!$V:$V,MATCH($A53,Schedule!T:T,0))),"",INDEX(Schedule!$V:$V,MATCH($A53,Schedule!T:T,0)))</f>
        <v/>
      </c>
      <c r="F53" s="450"/>
      <c r="G53" s="177"/>
      <c r="H53" s="301"/>
      <c r="I53" s="452"/>
      <c r="J53" s="452"/>
      <c r="K53" s="452"/>
      <c r="L53" s="453"/>
    </row>
    <row r="54" spans="1:12" s="299" customFormat="1" ht="25.15" customHeight="1">
      <c r="A54" s="465" t="str">
        <f>IF('10-08-01'!$H60="","",'10-08-01'!$H60)</f>
        <v/>
      </c>
      <c r="B54" s="466"/>
      <c r="C54" s="451" t="str">
        <f>IF(ISNA(INDEX(Schedule!$O:$O,MATCH($A54,Schedule!T:T,0))),"",INDEX(Schedule!$O:$O,MATCH($A54,Schedule!T:T,0)))</f>
        <v/>
      </c>
      <c r="D54" s="450"/>
      <c r="E54" s="451" t="str">
        <f>IF(ISNA(INDEX(Schedule!$V:$V,MATCH($A54,Schedule!T:T,0))),"",INDEX(Schedule!$V:$V,MATCH($A54,Schedule!T:T,0)))</f>
        <v/>
      </c>
      <c r="F54" s="450"/>
      <c r="G54" s="177"/>
      <c r="H54" s="301"/>
      <c r="I54" s="452"/>
      <c r="J54" s="452"/>
      <c r="K54" s="452"/>
      <c r="L54" s="453"/>
    </row>
    <row r="55" spans="1:12" s="299" customFormat="1" ht="25.15" customHeight="1">
      <c r="A55" s="465" t="str">
        <f>IF('10-08-01'!$H61="","",'10-08-01'!$H61)</f>
        <v/>
      </c>
      <c r="B55" s="466"/>
      <c r="C55" s="451" t="str">
        <f>IF(ISNA(INDEX(Schedule!$O:$O,MATCH($A55,Schedule!T:T,0))),"",INDEX(Schedule!$O:$O,MATCH($A55,Schedule!T:T,0)))</f>
        <v/>
      </c>
      <c r="D55" s="450"/>
      <c r="E55" s="451" t="str">
        <f>IF(ISNA(INDEX(Schedule!$V:$V,MATCH($A55,Schedule!T:T,0))),"",INDEX(Schedule!$V:$V,MATCH($A55,Schedule!T:T,0)))</f>
        <v/>
      </c>
      <c r="F55" s="450"/>
      <c r="G55" s="177"/>
      <c r="H55" s="301"/>
      <c r="I55" s="452"/>
      <c r="J55" s="452"/>
      <c r="K55" s="452"/>
      <c r="L55" s="453"/>
    </row>
    <row r="56" spans="1:12" s="299" customFormat="1" ht="25.15" customHeight="1">
      <c r="A56" s="465" t="str">
        <f>IF('10-08-01'!$H62="","",'10-08-01'!$H62)</f>
        <v/>
      </c>
      <c r="B56" s="466"/>
      <c r="C56" s="451" t="str">
        <f>IF(ISNA(INDEX(Schedule!$O:$O,MATCH($A56,Schedule!T:T,0))),"",INDEX(Schedule!$O:$O,MATCH($A56,Schedule!T:T,0)))</f>
        <v/>
      </c>
      <c r="D56" s="450"/>
      <c r="E56" s="451" t="str">
        <f>IF(ISNA(INDEX(Schedule!$V:$V,MATCH($A56,Schedule!T:T,0))),"",INDEX(Schedule!$V:$V,MATCH($A56,Schedule!T:T,0)))</f>
        <v/>
      </c>
      <c r="F56" s="450"/>
      <c r="G56" s="177"/>
      <c r="H56" s="301"/>
      <c r="I56" s="452"/>
      <c r="J56" s="452"/>
      <c r="K56" s="452"/>
      <c r="L56" s="453"/>
    </row>
    <row r="57" spans="1:12" s="299" customFormat="1" ht="25.15" customHeight="1">
      <c r="A57" s="465" t="str">
        <f>IF('10-08-01'!$H63="","",'10-08-01'!$H63)</f>
        <v/>
      </c>
      <c r="B57" s="466"/>
      <c r="C57" s="451" t="str">
        <f>IF(ISNA(INDEX(Schedule!$O:$O,MATCH($A57,Schedule!T:T,0))),"",INDEX(Schedule!$O:$O,MATCH($A57,Schedule!T:T,0)))</f>
        <v/>
      </c>
      <c r="D57" s="450"/>
      <c r="E57" s="451" t="str">
        <f>IF(ISNA(INDEX(Schedule!$V:$V,MATCH($A57,Schedule!T:T,0))),"",INDEX(Schedule!$V:$V,MATCH($A57,Schedule!T:T,0)))</f>
        <v/>
      </c>
      <c r="F57" s="450"/>
      <c r="G57" s="177"/>
      <c r="H57" s="301"/>
      <c r="I57" s="452"/>
      <c r="J57" s="452"/>
      <c r="K57" s="452"/>
      <c r="L57" s="453"/>
    </row>
    <row r="58" spans="1:12" s="299" customFormat="1" ht="25.15" customHeight="1">
      <c r="A58" s="465" t="str">
        <f>IF('10-08-01'!$H64="","",'10-08-01'!$H64)</f>
        <v/>
      </c>
      <c r="B58" s="466"/>
      <c r="C58" s="451" t="str">
        <f>IF(ISNA(INDEX(Schedule!$O:$O,MATCH($A58,Schedule!T:T,0))),"",INDEX(Schedule!$O:$O,MATCH($A58,Schedule!T:T,0)))</f>
        <v/>
      </c>
      <c r="D58" s="450"/>
      <c r="E58" s="451" t="str">
        <f>IF(ISNA(INDEX(Schedule!$V:$V,MATCH($A58,Schedule!T:T,0))),"",INDEX(Schedule!$V:$V,MATCH($A58,Schedule!T:T,0)))</f>
        <v/>
      </c>
      <c r="F58" s="450"/>
      <c r="G58" s="177"/>
      <c r="H58" s="301"/>
      <c r="I58" s="452"/>
      <c r="J58" s="452"/>
      <c r="K58" s="452"/>
      <c r="L58" s="453"/>
    </row>
    <row r="59" spans="1:12" s="299" customFormat="1" ht="25.15" customHeight="1">
      <c r="A59" s="465" t="str">
        <f>IF('10-08-01'!$H65="","",'10-08-01'!$H65)</f>
        <v/>
      </c>
      <c r="B59" s="466"/>
      <c r="C59" s="451" t="str">
        <f>IF(ISNA(INDEX(Schedule!$O:$O,MATCH($A59,Schedule!T:T,0))),"",INDEX(Schedule!$O:$O,MATCH($A59,Schedule!T:T,0)))</f>
        <v/>
      </c>
      <c r="D59" s="450"/>
      <c r="E59" s="451" t="str">
        <f>IF(ISNA(INDEX(Schedule!$V:$V,MATCH($A59,Schedule!T:T,0))),"",INDEX(Schedule!$V:$V,MATCH($A59,Schedule!T:T,0)))</f>
        <v/>
      </c>
      <c r="F59" s="450"/>
      <c r="G59" s="177"/>
      <c r="H59" s="301"/>
      <c r="I59" s="452"/>
      <c r="J59" s="452"/>
      <c r="K59" s="452"/>
      <c r="L59" s="453"/>
    </row>
    <row r="60" spans="1:12" s="299" customFormat="1" ht="25.15" customHeight="1">
      <c r="A60" s="465" t="str">
        <f>IF('10-08-01'!$H66="","",'10-08-01'!$H66)</f>
        <v/>
      </c>
      <c r="B60" s="466"/>
      <c r="C60" s="451" t="str">
        <f>IF(ISNA(INDEX(Schedule!$O:$O,MATCH($A60,Schedule!T:T,0))),"",INDEX(Schedule!$O:$O,MATCH($A60,Schedule!T:T,0)))</f>
        <v/>
      </c>
      <c r="D60" s="450"/>
      <c r="E60" s="451" t="str">
        <f>IF(ISNA(INDEX(Schedule!$V:$V,MATCH($A60,Schedule!T:T,0))),"",INDEX(Schedule!$V:$V,MATCH($A60,Schedule!T:T,0)))</f>
        <v/>
      </c>
      <c r="F60" s="450"/>
      <c r="G60" s="177"/>
      <c r="H60" s="301"/>
      <c r="I60" s="452"/>
      <c r="J60" s="452"/>
      <c r="K60" s="452"/>
      <c r="L60" s="453"/>
    </row>
    <row r="61" spans="1:12" s="299" customFormat="1" ht="25.15" customHeight="1" thickBot="1">
      <c r="A61" s="465" t="str">
        <f>IF('10-08-01'!$H67="","",'10-08-01'!$H67)</f>
        <v/>
      </c>
      <c r="B61" s="466"/>
      <c r="C61" s="451" t="str">
        <f>IF(ISNA(INDEX(Schedule!$O:$O,MATCH($A61,Schedule!T:T,0))),"",INDEX(Schedule!$O:$O,MATCH($A61,Schedule!T:T,0)))</f>
        <v/>
      </c>
      <c r="D61" s="450"/>
      <c r="E61" s="451" t="str">
        <f>IF(ISNA(INDEX(Schedule!$V:$V,MATCH($A61,Schedule!T:T,0))),"",INDEX(Schedule!$V:$V,MATCH($A61,Schedule!T:T,0)))</f>
        <v/>
      </c>
      <c r="F61" s="450"/>
      <c r="G61" s="177"/>
      <c r="H61" s="302"/>
      <c r="I61" s="456"/>
      <c r="J61" s="456"/>
      <c r="K61" s="456"/>
      <c r="L61" s="457"/>
    </row>
    <row r="62" spans="1:12" s="299" customFormat="1" ht="13.5" thickBot="1">
      <c r="A62" s="458"/>
      <c r="B62" s="459"/>
      <c r="C62" s="459"/>
      <c r="D62" s="459"/>
      <c r="E62" s="459"/>
      <c r="F62" s="459"/>
      <c r="G62" s="459"/>
      <c r="H62" s="459"/>
      <c r="I62" s="459"/>
      <c r="J62" s="459"/>
      <c r="K62" s="459"/>
      <c r="L62" s="460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61" t="s">
        <v>154</v>
      </c>
      <c r="B66" s="462"/>
      <c r="C66" s="463"/>
      <c r="D66" s="463"/>
      <c r="E66" s="463"/>
      <c r="F66" s="463"/>
      <c r="G66" s="463"/>
      <c r="H66" s="463"/>
    </row>
    <row r="67" spans="1:12" s="299" customFormat="1">
      <c r="A67" s="300"/>
      <c r="B67" s="300"/>
      <c r="C67" s="464" t="s">
        <v>155</v>
      </c>
      <c r="D67" s="399"/>
      <c r="E67" s="399"/>
      <c r="F67" s="399"/>
      <c r="G67" s="399"/>
      <c r="H67" s="399"/>
    </row>
    <row r="68" spans="1:12" s="299" customFormat="1">
      <c r="A68" s="184" t="s">
        <v>156</v>
      </c>
      <c r="B68" s="300"/>
    </row>
    <row r="69" spans="1:12" s="299" customFormat="1" ht="57.75">
      <c r="A69" s="440" t="s">
        <v>20</v>
      </c>
      <c r="B69" s="360"/>
      <c r="C69" s="360"/>
    </row>
    <row r="70" spans="1:12" s="299" customFormat="1" ht="25.15" customHeight="1">
      <c r="A70" s="441" t="s">
        <v>47</v>
      </c>
      <c r="B70" s="441"/>
      <c r="C70" s="441"/>
      <c r="D70" s="441"/>
      <c r="E70" s="441"/>
      <c r="F70" s="441"/>
      <c r="G70" s="441"/>
      <c r="H70" s="441"/>
      <c r="I70" s="441"/>
      <c r="J70" s="441"/>
      <c r="K70" s="441"/>
      <c r="L70" s="441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2" t="s">
        <v>143</v>
      </c>
      <c r="G72" s="443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44" t="s">
        <v>144</v>
      </c>
      <c r="B74" s="445"/>
      <c r="C74" s="445"/>
      <c r="D74" s="445"/>
      <c r="E74" s="445"/>
      <c r="F74" s="446"/>
      <c r="G74" s="444" t="s">
        <v>145</v>
      </c>
      <c r="H74" s="447"/>
      <c r="I74" s="447"/>
      <c r="J74" s="447"/>
      <c r="K74" s="447"/>
      <c r="L74" s="448"/>
    </row>
    <row r="75" spans="1:12" s="299" customFormat="1" ht="48" customHeight="1">
      <c r="A75" s="432" t="s">
        <v>146</v>
      </c>
      <c r="B75" s="433"/>
      <c r="C75" s="434" t="s">
        <v>147</v>
      </c>
      <c r="D75" s="435"/>
      <c r="E75" s="434" t="s">
        <v>148</v>
      </c>
      <c r="F75" s="436"/>
      <c r="G75" s="173" t="s">
        <v>149</v>
      </c>
      <c r="H75" s="174" t="s">
        <v>150</v>
      </c>
      <c r="I75" s="437" t="s">
        <v>151</v>
      </c>
      <c r="J75" s="438"/>
      <c r="K75" s="438"/>
      <c r="L75" s="439"/>
    </row>
    <row r="76" spans="1:12" s="299" customFormat="1" ht="25.15" customHeight="1">
      <c r="A76" s="465" t="str">
        <f>IF('10-08-01'!$B107="","",'10-08-01'!$B107)</f>
        <v/>
      </c>
      <c r="B76" s="466"/>
      <c r="C76" s="451" t="str">
        <f>IF(ISNA(INDEX(Schedule!$O:$O,MATCH($A76,Schedule!T:T,0))),"",INDEX(Schedule!$O:$O,MATCH($A76,Schedule!T:T,0)))</f>
        <v/>
      </c>
      <c r="D76" s="450"/>
      <c r="E76" s="451" t="str">
        <f>IF(ISNA(INDEX(Schedule!$V:$V,MATCH($A76,Schedule!T:T,0))),"",INDEX(Schedule!$V:$V,MATCH($A76,Schedule!T:T,0)))</f>
        <v/>
      </c>
      <c r="F76" s="450"/>
      <c r="G76" s="175"/>
      <c r="H76" s="301"/>
      <c r="I76" s="452"/>
      <c r="J76" s="452"/>
      <c r="K76" s="452"/>
      <c r="L76" s="453"/>
    </row>
    <row r="77" spans="1:12" s="299" customFormat="1" ht="25.15" customHeight="1">
      <c r="A77" s="465" t="str">
        <f>IF('10-08-01'!$B108="","",'10-08-01'!$B108)</f>
        <v/>
      </c>
      <c r="B77" s="466"/>
      <c r="C77" s="451" t="str">
        <f>IF(ISNA(INDEX(Schedule!$O:$O,MATCH($A77,Schedule!T:T,0))),"",INDEX(Schedule!$O:$O,MATCH($A77,Schedule!T:T,0)))</f>
        <v/>
      </c>
      <c r="D77" s="450"/>
      <c r="E77" s="451" t="str">
        <f>IF(ISNA(INDEX(Schedule!$V:$V,MATCH($A77,Schedule!T:T,0))),"",INDEX(Schedule!$V:$V,MATCH($A77,Schedule!T:T,0)))</f>
        <v/>
      </c>
      <c r="F77" s="450"/>
      <c r="G77" s="177"/>
      <c r="H77" s="301"/>
      <c r="I77" s="452"/>
      <c r="J77" s="452"/>
      <c r="K77" s="452"/>
      <c r="L77" s="453"/>
    </row>
    <row r="78" spans="1:12" s="299" customFormat="1" ht="25.15" customHeight="1">
      <c r="A78" s="465" t="str">
        <f>IF('10-08-01'!$B109="","",'10-08-01'!$B109)</f>
        <v/>
      </c>
      <c r="B78" s="466"/>
      <c r="C78" s="451" t="str">
        <f>IF(ISNA(INDEX(Schedule!$O:$O,MATCH($A78,Schedule!T:T,0))),"",INDEX(Schedule!$O:$O,MATCH($A78,Schedule!T:T,0)))</f>
        <v/>
      </c>
      <c r="D78" s="450"/>
      <c r="E78" s="451" t="str">
        <f>IF(ISNA(INDEX(Schedule!$V:$V,MATCH($A78,Schedule!T:T,0))),"",INDEX(Schedule!$V:$V,MATCH($A78,Schedule!T:T,0)))</f>
        <v/>
      </c>
      <c r="F78" s="450"/>
      <c r="G78" s="177"/>
      <c r="H78" s="301"/>
      <c r="I78" s="452"/>
      <c r="J78" s="452"/>
      <c r="K78" s="452"/>
      <c r="L78" s="453"/>
    </row>
    <row r="79" spans="1:12" s="299" customFormat="1" ht="25.15" customHeight="1">
      <c r="A79" s="465" t="str">
        <f>IF('10-08-01'!$B110="","",'10-08-01'!$B110)</f>
        <v/>
      </c>
      <c r="B79" s="466"/>
      <c r="C79" s="451" t="str">
        <f>IF(ISNA(INDEX(Schedule!$O:$O,MATCH($A79,Schedule!T:T,0))),"",INDEX(Schedule!$O:$O,MATCH($A79,Schedule!T:T,0)))</f>
        <v/>
      </c>
      <c r="D79" s="450"/>
      <c r="E79" s="451" t="str">
        <f>IF(ISNA(INDEX(Schedule!$V:$V,MATCH($A79,Schedule!T:T,0))),"",INDEX(Schedule!$V:$V,MATCH($A79,Schedule!T:T,0)))</f>
        <v/>
      </c>
      <c r="F79" s="450"/>
      <c r="G79" s="177"/>
      <c r="H79" s="301"/>
      <c r="I79" s="454"/>
      <c r="J79" s="454"/>
      <c r="K79" s="454"/>
      <c r="L79" s="455"/>
    </row>
    <row r="80" spans="1:12" s="299" customFormat="1" ht="25.15" customHeight="1">
      <c r="A80" s="465" t="str">
        <f>IF('10-08-01'!$B111="","",'10-08-01'!$B111)</f>
        <v/>
      </c>
      <c r="B80" s="466"/>
      <c r="C80" s="451" t="str">
        <f>IF(ISNA(INDEX(Schedule!$O:$O,MATCH($A80,Schedule!T:T,0))),"",INDEX(Schedule!$O:$O,MATCH($A80,Schedule!T:T,0)))</f>
        <v/>
      </c>
      <c r="D80" s="450"/>
      <c r="E80" s="451" t="str">
        <f>IF(ISNA(INDEX(Schedule!$V:$V,MATCH($A80,Schedule!T:T,0))),"",INDEX(Schedule!$V:$V,MATCH($A80,Schedule!T:T,0)))</f>
        <v/>
      </c>
      <c r="F80" s="450"/>
      <c r="G80" s="177"/>
      <c r="H80" s="301"/>
      <c r="I80" s="452"/>
      <c r="J80" s="452"/>
      <c r="K80" s="452"/>
      <c r="L80" s="453"/>
    </row>
    <row r="81" spans="1:12" s="299" customFormat="1" ht="25.15" customHeight="1">
      <c r="A81" s="465" t="str">
        <f>IF('10-08-01'!$B112="","",'10-08-01'!$B112)</f>
        <v/>
      </c>
      <c r="B81" s="466"/>
      <c r="C81" s="451" t="str">
        <f>IF(ISNA(INDEX(Schedule!$O:$O,MATCH($A81,Schedule!T:T,0))),"",INDEX(Schedule!$O:$O,MATCH($A81,Schedule!T:T,0)))</f>
        <v/>
      </c>
      <c r="D81" s="450"/>
      <c r="E81" s="451" t="str">
        <f>IF(ISNA(INDEX(Schedule!$V:$V,MATCH($A81,Schedule!T:T,0))),"",INDEX(Schedule!$V:$V,MATCH($A81,Schedule!T:T,0)))</f>
        <v/>
      </c>
      <c r="F81" s="450"/>
      <c r="G81" s="177"/>
      <c r="H81" s="178"/>
      <c r="I81" s="452"/>
      <c r="J81" s="452"/>
      <c r="K81" s="452"/>
      <c r="L81" s="453"/>
    </row>
    <row r="82" spans="1:12" s="299" customFormat="1" ht="25.15" customHeight="1">
      <c r="A82" s="465" t="str">
        <f>IF('10-08-01'!$B113="","",'10-08-01'!$B113)</f>
        <v/>
      </c>
      <c r="B82" s="466"/>
      <c r="C82" s="451" t="str">
        <f>IF(ISNA(INDEX(Schedule!$O:$O,MATCH($A82,Schedule!T:T,0))),"",INDEX(Schedule!$O:$O,MATCH($A82,Schedule!T:T,0)))</f>
        <v/>
      </c>
      <c r="D82" s="450"/>
      <c r="E82" s="451" t="str">
        <f>IF(ISNA(INDEX(Schedule!$V:$V,MATCH($A82,Schedule!T:T,0))),"",INDEX(Schedule!$V:$V,MATCH($A82,Schedule!T:T,0)))</f>
        <v/>
      </c>
      <c r="F82" s="450"/>
      <c r="G82" s="177"/>
      <c r="H82" s="301"/>
      <c r="I82" s="452"/>
      <c r="J82" s="452"/>
      <c r="K82" s="452"/>
      <c r="L82" s="453"/>
    </row>
    <row r="83" spans="1:12" s="299" customFormat="1" ht="25.15" customHeight="1">
      <c r="A83" s="465" t="str">
        <f>IF('10-08-01'!$B114="","",'10-08-01'!$B114)</f>
        <v/>
      </c>
      <c r="B83" s="466"/>
      <c r="C83" s="451" t="str">
        <f>IF(ISNA(INDEX(Schedule!$O:$O,MATCH($A83,Schedule!T:T,0))),"",INDEX(Schedule!$O:$O,MATCH($A83,Schedule!T:T,0)))</f>
        <v/>
      </c>
      <c r="D83" s="450"/>
      <c r="E83" s="451" t="str">
        <f>IF(ISNA(INDEX(Schedule!$V:$V,MATCH($A83,Schedule!T:T,0))),"",INDEX(Schedule!$V:$V,MATCH($A83,Schedule!T:T,0)))</f>
        <v/>
      </c>
      <c r="F83" s="450"/>
      <c r="G83" s="177"/>
      <c r="H83" s="301"/>
      <c r="I83" s="452"/>
      <c r="J83" s="452"/>
      <c r="K83" s="452"/>
      <c r="L83" s="453"/>
    </row>
    <row r="84" spans="1:12" s="299" customFormat="1" ht="25.15" customHeight="1">
      <c r="A84" s="465" t="str">
        <f>IF('10-08-01'!$B115="","",'10-08-01'!$B115)</f>
        <v/>
      </c>
      <c r="B84" s="466"/>
      <c r="C84" s="451" t="str">
        <f>IF(ISNA(INDEX(Schedule!$O:$O,MATCH($A84,Schedule!T:T,0))),"",INDEX(Schedule!$O:$O,MATCH($A84,Schedule!T:T,0)))</f>
        <v/>
      </c>
      <c r="D84" s="450"/>
      <c r="E84" s="451" t="str">
        <f>IF(ISNA(INDEX(Schedule!$V:$V,MATCH($A84,Schedule!T:T,0))),"",INDEX(Schedule!$V:$V,MATCH($A84,Schedule!T:T,0)))</f>
        <v/>
      </c>
      <c r="F84" s="450"/>
      <c r="G84" s="177"/>
      <c r="H84" s="301"/>
      <c r="I84" s="452"/>
      <c r="J84" s="452"/>
      <c r="K84" s="452"/>
      <c r="L84" s="453"/>
    </row>
    <row r="85" spans="1:12" s="299" customFormat="1" ht="25.15" customHeight="1">
      <c r="A85" s="465" t="str">
        <f>IF('10-08-01'!$B116="","",'10-08-01'!$B116)</f>
        <v/>
      </c>
      <c r="B85" s="466"/>
      <c r="C85" s="451" t="str">
        <f>IF(ISNA(INDEX(Schedule!$O:$O,MATCH($A85,Schedule!T:T,0))),"",INDEX(Schedule!$O:$O,MATCH($A85,Schedule!T:T,0)))</f>
        <v/>
      </c>
      <c r="D85" s="450"/>
      <c r="E85" s="451" t="str">
        <f>IF(ISNA(INDEX(Schedule!$V:$V,MATCH($A85,Schedule!T:T,0))),"",INDEX(Schedule!$V:$V,MATCH($A85,Schedule!T:T,0)))</f>
        <v/>
      </c>
      <c r="F85" s="450"/>
      <c r="G85" s="177"/>
      <c r="H85" s="301"/>
      <c r="I85" s="452"/>
      <c r="J85" s="452"/>
      <c r="K85" s="452"/>
      <c r="L85" s="453"/>
    </row>
    <row r="86" spans="1:12" s="299" customFormat="1" ht="25.15" customHeight="1">
      <c r="A86" s="465" t="str">
        <f>IF('10-08-01'!$H107="","",'10-08-01'!$H107)</f>
        <v/>
      </c>
      <c r="B86" s="466"/>
      <c r="C86" s="451" t="str">
        <f>IF(ISNA(INDEX(Schedule!$O:$O,MATCH($A86,Schedule!T:T,0))),"",INDEX(Schedule!$O:$O,MATCH($A86,Schedule!T:T,0)))</f>
        <v/>
      </c>
      <c r="D86" s="450"/>
      <c r="E86" s="451" t="str">
        <f>IF(ISNA(INDEX(Schedule!$V:$V,MATCH($A86,Schedule!T:T,0))),"",INDEX(Schedule!$V:$V,MATCH($A86,Schedule!T:T,0)))</f>
        <v/>
      </c>
      <c r="F86" s="450"/>
      <c r="G86" s="177"/>
      <c r="H86" s="301"/>
      <c r="I86" s="452"/>
      <c r="J86" s="452"/>
      <c r="K86" s="452"/>
      <c r="L86" s="453"/>
    </row>
    <row r="87" spans="1:12" s="299" customFormat="1" ht="25.15" customHeight="1">
      <c r="A87" s="465" t="str">
        <f>IF('10-08-01'!$H108="","",'10-08-01'!$H108)</f>
        <v/>
      </c>
      <c r="B87" s="466"/>
      <c r="C87" s="451" t="str">
        <f>IF(ISNA(INDEX(Schedule!$O:$O,MATCH($A87,Schedule!T:T,0))),"",INDEX(Schedule!$O:$O,MATCH($A87,Schedule!T:T,0)))</f>
        <v/>
      </c>
      <c r="D87" s="450"/>
      <c r="E87" s="451" t="str">
        <f>IF(ISNA(INDEX(Schedule!$V:$V,MATCH($A87,Schedule!T:T,0))),"",INDEX(Schedule!$V:$V,MATCH($A87,Schedule!T:T,0)))</f>
        <v/>
      </c>
      <c r="F87" s="450"/>
      <c r="G87" s="177"/>
      <c r="H87" s="301"/>
      <c r="I87" s="452"/>
      <c r="J87" s="452"/>
      <c r="K87" s="452"/>
      <c r="L87" s="453"/>
    </row>
    <row r="88" spans="1:12" s="299" customFormat="1" ht="25.15" customHeight="1">
      <c r="A88" s="465" t="str">
        <f>IF('10-08-01'!$H109="","",'10-08-01'!$H109)</f>
        <v/>
      </c>
      <c r="B88" s="466"/>
      <c r="C88" s="451" t="str">
        <f>IF(ISNA(INDEX(Schedule!$O:$O,MATCH($A88,Schedule!T:T,0))),"",INDEX(Schedule!$O:$O,MATCH($A88,Schedule!T:T,0)))</f>
        <v/>
      </c>
      <c r="D88" s="450"/>
      <c r="E88" s="451" t="str">
        <f>IF(ISNA(INDEX(Schedule!$V:$V,MATCH($A88,Schedule!T:T,0))),"",INDEX(Schedule!$V:$V,MATCH($A88,Schedule!T:T,0)))</f>
        <v/>
      </c>
      <c r="F88" s="450"/>
      <c r="G88" s="177"/>
      <c r="H88" s="301"/>
      <c r="I88" s="452"/>
      <c r="J88" s="452"/>
      <c r="K88" s="452"/>
      <c r="L88" s="453"/>
    </row>
    <row r="89" spans="1:12" s="299" customFormat="1" ht="25.15" customHeight="1">
      <c r="A89" s="465" t="str">
        <f>IF('10-08-01'!$H110="","",'10-08-01'!$H110)</f>
        <v/>
      </c>
      <c r="B89" s="466"/>
      <c r="C89" s="451" t="str">
        <f>IF(ISNA(INDEX(Schedule!$O:$O,MATCH($A89,Schedule!T:T,0))),"",INDEX(Schedule!$O:$O,MATCH($A89,Schedule!T:T,0)))</f>
        <v/>
      </c>
      <c r="D89" s="450"/>
      <c r="E89" s="451" t="str">
        <f>IF(ISNA(INDEX(Schedule!$V:$V,MATCH($A89,Schedule!T:T,0))),"",INDEX(Schedule!$V:$V,MATCH($A89,Schedule!T:T,0)))</f>
        <v/>
      </c>
      <c r="F89" s="450"/>
      <c r="G89" s="177"/>
      <c r="H89" s="301"/>
      <c r="I89" s="452"/>
      <c r="J89" s="452"/>
      <c r="K89" s="452"/>
      <c r="L89" s="453"/>
    </row>
    <row r="90" spans="1:12" s="299" customFormat="1" ht="25.15" customHeight="1">
      <c r="A90" s="465" t="str">
        <f>IF('10-08-01'!$H111="","",'10-08-01'!$H111)</f>
        <v/>
      </c>
      <c r="B90" s="466"/>
      <c r="C90" s="451" t="str">
        <f>IF(ISNA(INDEX(Schedule!$O:$O,MATCH($A90,Schedule!T:T,0))),"",INDEX(Schedule!$O:$O,MATCH($A90,Schedule!T:T,0)))</f>
        <v/>
      </c>
      <c r="D90" s="450"/>
      <c r="E90" s="451" t="str">
        <f>IF(ISNA(INDEX(Schedule!$V:$V,MATCH($A90,Schedule!T:T,0))),"",INDEX(Schedule!$V:$V,MATCH($A90,Schedule!T:T,0)))</f>
        <v/>
      </c>
      <c r="F90" s="450"/>
      <c r="G90" s="177"/>
      <c r="H90" s="301"/>
      <c r="I90" s="452"/>
      <c r="J90" s="452"/>
      <c r="K90" s="452"/>
      <c r="L90" s="453"/>
    </row>
    <row r="91" spans="1:12" s="299" customFormat="1" ht="25.15" customHeight="1">
      <c r="A91" s="465" t="str">
        <f>IF('10-08-01'!$H112="","",'10-08-01'!$H112)</f>
        <v/>
      </c>
      <c r="B91" s="466"/>
      <c r="C91" s="451" t="str">
        <f>IF(ISNA(INDEX(Schedule!$O:$O,MATCH($A91,Schedule!T:T,0))),"",INDEX(Schedule!$O:$O,MATCH($A91,Schedule!T:T,0)))</f>
        <v/>
      </c>
      <c r="D91" s="450"/>
      <c r="E91" s="451" t="str">
        <f>IF(ISNA(INDEX(Schedule!$V:$V,MATCH($A91,Schedule!T:T,0))),"",INDEX(Schedule!$V:$V,MATCH($A91,Schedule!T:T,0)))</f>
        <v/>
      </c>
      <c r="F91" s="450"/>
      <c r="G91" s="177"/>
      <c r="H91" s="301"/>
      <c r="I91" s="452"/>
      <c r="J91" s="452"/>
      <c r="K91" s="452"/>
      <c r="L91" s="453"/>
    </row>
    <row r="92" spans="1:12" s="299" customFormat="1" ht="25.15" customHeight="1">
      <c r="A92" s="465" t="str">
        <f>IF('10-08-01'!$H113="","",'10-08-01'!$H113)</f>
        <v/>
      </c>
      <c r="B92" s="466"/>
      <c r="C92" s="451" t="str">
        <f>IF(ISNA(INDEX(Schedule!$O:$O,MATCH($A92,Schedule!T:T,0))),"",INDEX(Schedule!$O:$O,MATCH($A92,Schedule!T:T,0)))</f>
        <v/>
      </c>
      <c r="D92" s="450"/>
      <c r="E92" s="451" t="str">
        <f>IF(ISNA(INDEX(Schedule!$V:$V,MATCH($A92,Schedule!T:T,0))),"",INDEX(Schedule!$V:$V,MATCH($A92,Schedule!T:T,0)))</f>
        <v/>
      </c>
      <c r="F92" s="450"/>
      <c r="G92" s="177"/>
      <c r="H92" s="301"/>
      <c r="I92" s="452"/>
      <c r="J92" s="452"/>
      <c r="K92" s="452"/>
      <c r="L92" s="453"/>
    </row>
    <row r="93" spans="1:12" s="299" customFormat="1" ht="25.15" customHeight="1">
      <c r="A93" s="465" t="str">
        <f>IF('10-08-01'!$H114="","",'10-08-01'!$H114)</f>
        <v/>
      </c>
      <c r="B93" s="466"/>
      <c r="C93" s="451" t="str">
        <f>IF(ISNA(INDEX(Schedule!$O:$O,MATCH($A93,Schedule!T:T,0))),"",INDEX(Schedule!$O:$O,MATCH($A93,Schedule!T:T,0)))</f>
        <v/>
      </c>
      <c r="D93" s="450"/>
      <c r="E93" s="451" t="str">
        <f>IF(ISNA(INDEX(Schedule!$V:$V,MATCH($A93,Schedule!T:T,0))),"",INDEX(Schedule!$V:$V,MATCH($A93,Schedule!T:T,0)))</f>
        <v/>
      </c>
      <c r="F93" s="450"/>
      <c r="G93" s="177"/>
      <c r="H93" s="301"/>
      <c r="I93" s="452"/>
      <c r="J93" s="452"/>
      <c r="K93" s="452"/>
      <c r="L93" s="453"/>
    </row>
    <row r="94" spans="1:12" s="299" customFormat="1" ht="25.15" customHeight="1">
      <c r="A94" s="465" t="str">
        <f>IF('10-08-01'!$H115="","",'10-08-01'!$H115)</f>
        <v/>
      </c>
      <c r="B94" s="466"/>
      <c r="C94" s="451" t="str">
        <f>IF(ISNA(INDEX(Schedule!$O:$O,MATCH($A94,Schedule!T:T,0))),"",INDEX(Schedule!$O:$O,MATCH($A94,Schedule!T:T,0)))</f>
        <v/>
      </c>
      <c r="D94" s="450"/>
      <c r="E94" s="451" t="str">
        <f>IF(ISNA(INDEX(Schedule!$V:$V,MATCH($A94,Schedule!T:T,0))),"",INDEX(Schedule!$V:$V,MATCH($A94,Schedule!T:T,0)))</f>
        <v/>
      </c>
      <c r="F94" s="450"/>
      <c r="G94" s="177"/>
      <c r="H94" s="301"/>
      <c r="I94" s="452"/>
      <c r="J94" s="452"/>
      <c r="K94" s="452"/>
      <c r="L94" s="453"/>
    </row>
    <row r="95" spans="1:12" s="299" customFormat="1" ht="25.15" customHeight="1" thickBot="1">
      <c r="A95" s="465" t="str">
        <f>IF('10-08-01'!$H116="","",'10-08-01'!$H116)</f>
        <v/>
      </c>
      <c r="B95" s="466"/>
      <c r="C95" s="451" t="str">
        <f>IF(ISNA(INDEX(Schedule!$O:$O,MATCH($A95,Schedule!T:T,0))),"",INDEX(Schedule!$O:$O,MATCH($A95,Schedule!T:T,0)))</f>
        <v/>
      </c>
      <c r="D95" s="450"/>
      <c r="E95" s="451" t="str">
        <f>IF(ISNA(INDEX(Schedule!$V:$V,MATCH($A95,Schedule!T:T,0))),"",INDEX(Schedule!$V:$V,MATCH($A95,Schedule!T:T,0)))</f>
        <v/>
      </c>
      <c r="F95" s="450"/>
      <c r="G95" s="177"/>
      <c r="H95" s="302"/>
      <c r="I95" s="456"/>
      <c r="J95" s="456"/>
      <c r="K95" s="456"/>
      <c r="L95" s="457"/>
    </row>
    <row r="96" spans="1:12" s="299" customFormat="1" ht="13.5" thickBot="1">
      <c r="A96" s="458"/>
      <c r="B96" s="459"/>
      <c r="C96" s="459"/>
      <c r="D96" s="459"/>
      <c r="E96" s="459"/>
      <c r="F96" s="459"/>
      <c r="G96" s="459"/>
      <c r="H96" s="459"/>
      <c r="I96" s="459"/>
      <c r="J96" s="459"/>
      <c r="K96" s="459"/>
      <c r="L96" s="460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61" t="s">
        <v>154</v>
      </c>
      <c r="B100" s="462"/>
      <c r="C100" s="463"/>
      <c r="D100" s="463"/>
      <c r="E100" s="463"/>
      <c r="F100" s="463"/>
      <c r="G100" s="463"/>
      <c r="H100" s="463"/>
    </row>
    <row r="101" spans="1:12" s="299" customFormat="1">
      <c r="A101" s="300"/>
      <c r="B101" s="300"/>
      <c r="C101" s="464" t="s">
        <v>155</v>
      </c>
      <c r="D101" s="399"/>
      <c r="E101" s="399"/>
      <c r="F101" s="399"/>
      <c r="G101" s="399"/>
      <c r="H101" s="399"/>
    </row>
    <row r="102" spans="1:12" s="299" customFormat="1">
      <c r="A102" s="184" t="s">
        <v>156</v>
      </c>
      <c r="B102" s="300"/>
    </row>
  </sheetData>
  <mergeCells count="279"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7:B7"/>
    <mergeCell ref="C7:D7"/>
    <mergeCell ref="E7:F7"/>
    <mergeCell ref="I7:L7"/>
    <mergeCell ref="A1:C1"/>
    <mergeCell ref="A2:L2"/>
    <mergeCell ref="F4:G4"/>
    <mergeCell ref="A6:F6"/>
    <mergeCell ref="G6:L6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Q10" sqref="Q10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8"/>
      <c r="D5" s="468"/>
      <c r="E5" s="241"/>
      <c r="F5" s="241"/>
      <c r="G5" s="241" t="s">
        <v>200</v>
      </c>
      <c r="H5" s="235"/>
      <c r="I5" s="469"/>
      <c r="J5" s="469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70">
        <f>INDEX(Schedule!$O:$O,MATCH('100-01'!$I$7,Schedule!$T:$T,0))</f>
        <v>7830</v>
      </c>
      <c r="D7" s="470"/>
      <c r="E7" s="241"/>
      <c r="F7" s="241"/>
      <c r="G7" s="241" t="s">
        <v>202</v>
      </c>
      <c r="H7" s="235"/>
      <c r="I7" s="470">
        <v>1920883</v>
      </c>
      <c r="J7" s="470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70" t="str">
        <f>INDEX(Schedule!$S:$S,MATCH('100-01'!$I$7,Schedule!$T:$T,0))</f>
        <v>Ster Incision &amp;Drain/Ty50</v>
      </c>
      <c r="D9" s="470"/>
      <c r="E9" s="470"/>
      <c r="F9" s="241"/>
      <c r="G9" s="241" t="s">
        <v>204</v>
      </c>
      <c r="H9" s="235"/>
      <c r="I9" s="470" t="s">
        <v>250</v>
      </c>
      <c r="J9" s="470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309">
        <v>1920915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147">
        <v>1920883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 s="309">
        <v>0</v>
      </c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71"/>
      <c r="H23" s="471"/>
      <c r="I23" s="471"/>
      <c r="J23" s="471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71"/>
      <c r="H24" s="471"/>
      <c r="I24" s="471"/>
      <c r="J24" s="471"/>
      <c r="K24" s="237"/>
      <c r="T24" s="203">
        <f>'09-54-01 BIC'!$D$12</f>
        <v>1920915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71"/>
      <c r="H27" s="471"/>
      <c r="I27" s="471"/>
      <c r="J27" s="471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71"/>
      <c r="H28" s="471"/>
      <c r="I28" s="471"/>
      <c r="J28" s="471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2"/>
      <c r="H33" s="472"/>
      <c r="I33" s="472"/>
      <c r="J33" s="472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7"/>
      <c r="H34" s="467"/>
      <c r="I34" s="467"/>
      <c r="J34" s="467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7"/>
      <c r="H35" s="467"/>
      <c r="I35" s="467"/>
      <c r="J35" s="467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7"/>
      <c r="H36" s="467"/>
      <c r="I36" s="467"/>
      <c r="J36" s="467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73"/>
      <c r="D41" s="473"/>
      <c r="E41" s="473"/>
      <c r="F41" s="473"/>
      <c r="G41" s="473"/>
      <c r="H41" s="473"/>
      <c r="I41" s="473"/>
      <c r="J41" s="473"/>
      <c r="K41" s="237"/>
      <c r="T41" s="203">
        <f>'09-54-01 BIC'!$H$16</f>
        <v>0</v>
      </c>
      <c r="W41"/>
    </row>
    <row r="42" spans="1:23" ht="15.75">
      <c r="A42" s="231"/>
      <c r="B42" s="474"/>
      <c r="C42" s="474"/>
      <c r="D42" s="474"/>
      <c r="E42" s="474"/>
      <c r="F42" s="474"/>
      <c r="G42" s="474"/>
      <c r="H42" s="474"/>
      <c r="I42" s="474"/>
      <c r="J42" s="474"/>
      <c r="K42" s="237"/>
      <c r="T42" s="203">
        <f>'09-54-01 BIC'!$H$20</f>
        <v>0</v>
      </c>
      <c r="W42"/>
    </row>
    <row r="43" spans="1:23" ht="15.75">
      <c r="A43" s="231"/>
      <c r="B43" s="475"/>
      <c r="C43" s="475"/>
      <c r="D43" s="475"/>
      <c r="E43" s="475"/>
      <c r="F43" s="475"/>
      <c r="G43" s="475"/>
      <c r="H43" s="475"/>
      <c r="I43" s="475"/>
      <c r="J43" s="475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5:J35"/>
    <mergeCell ref="G36:J36"/>
    <mergeCell ref="C41:J41"/>
    <mergeCell ref="B42:J42"/>
    <mergeCell ref="B43:J43"/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</mergeCells>
  <dataValidations count="1">
    <dataValidation type="list" showInputMessage="1" showErrorMessage="1" sqref="I7:J7">
      <formula1>$W$15:$W$16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5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559</v>
      </c>
      <c r="B98">
        <v>43783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H98" t="s">
        <v>187</v>
      </c>
      <c r="J98">
        <v>43788</v>
      </c>
      <c r="K98">
        <v>43789</v>
      </c>
      <c r="L98" t="s">
        <v>189</v>
      </c>
      <c r="M98">
        <v>43790</v>
      </c>
      <c r="N98">
        <v>0.29068287037037038</v>
      </c>
      <c r="O98">
        <v>773</v>
      </c>
      <c r="P98" t="s">
        <v>133</v>
      </c>
      <c r="Q98" t="s">
        <v>560</v>
      </c>
      <c r="R98">
        <v>12</v>
      </c>
      <c r="S98" t="s">
        <v>561</v>
      </c>
      <c r="T98">
        <v>1920947</v>
      </c>
      <c r="U98">
        <v>13</v>
      </c>
      <c r="V98">
        <v>143</v>
      </c>
      <c r="X98">
        <v>43803</v>
      </c>
      <c r="Y98">
        <v>3</v>
      </c>
      <c r="Z98">
        <v>0.5</v>
      </c>
    </row>
    <row r="99" spans="1:26">
      <c r="A99" t="s">
        <v>562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43788</v>
      </c>
      <c r="K99">
        <v>43789</v>
      </c>
      <c r="L99" t="s">
        <v>189</v>
      </c>
      <c r="M99">
        <v>43790</v>
      </c>
      <c r="N99">
        <v>0.45027777777777778</v>
      </c>
      <c r="O99">
        <v>7830</v>
      </c>
      <c r="P99" t="s">
        <v>133</v>
      </c>
      <c r="Q99" t="s">
        <v>236</v>
      </c>
      <c r="R99">
        <v>0</v>
      </c>
      <c r="S99" t="s">
        <v>237</v>
      </c>
      <c r="T99">
        <v>1920904</v>
      </c>
      <c r="U99">
        <v>13</v>
      </c>
      <c r="V99">
        <v>50</v>
      </c>
      <c r="X99">
        <v>43784</v>
      </c>
      <c r="Y99">
        <v>5</v>
      </c>
      <c r="Z99">
        <v>0.27932960893854747</v>
      </c>
    </row>
    <row r="100" spans="1:26">
      <c r="A100" t="s">
        <v>563</v>
      </c>
      <c r="B100">
        <v>43782</v>
      </c>
      <c r="C100" t="s">
        <v>187</v>
      </c>
      <c r="D100" t="s">
        <v>187</v>
      </c>
      <c r="E100" t="s">
        <v>187</v>
      </c>
      <c r="F100" t="s">
        <v>187</v>
      </c>
      <c r="G100" t="s">
        <v>187</v>
      </c>
      <c r="H100" t="s">
        <v>187</v>
      </c>
      <c r="J100">
        <v>43788</v>
      </c>
      <c r="K100">
        <v>43789</v>
      </c>
      <c r="L100" t="s">
        <v>189</v>
      </c>
      <c r="M100">
        <v>43790</v>
      </c>
      <c r="N100">
        <v>0.27184027777777781</v>
      </c>
      <c r="O100">
        <v>7190</v>
      </c>
      <c r="P100" t="s">
        <v>134</v>
      </c>
      <c r="Q100" t="s">
        <v>452</v>
      </c>
      <c r="R100">
        <v>12.4</v>
      </c>
      <c r="S100" t="s">
        <v>564</v>
      </c>
      <c r="T100">
        <v>1920914</v>
      </c>
      <c r="U100">
        <v>13</v>
      </c>
      <c r="V100">
        <v>393</v>
      </c>
      <c r="X100">
        <v>43837</v>
      </c>
      <c r="Y100">
        <v>3</v>
      </c>
      <c r="Z100">
        <v>1.2281249999999999</v>
      </c>
    </row>
    <row r="101" spans="1:26">
      <c r="A101" t="s">
        <v>299</v>
      </c>
      <c r="B101">
        <v>43789</v>
      </c>
      <c r="C101" t="s">
        <v>187</v>
      </c>
      <c r="D101" t="s">
        <v>187</v>
      </c>
      <c r="E101" t="s">
        <v>187</v>
      </c>
      <c r="F101" t="s">
        <v>187</v>
      </c>
      <c r="G101" t="s">
        <v>187</v>
      </c>
      <c r="H101" t="s">
        <v>187</v>
      </c>
      <c r="J101">
        <v>43787</v>
      </c>
      <c r="K101">
        <v>43788</v>
      </c>
      <c r="L101" t="s">
        <v>189</v>
      </c>
      <c r="M101">
        <v>43790</v>
      </c>
      <c r="N101">
        <v>0.30843749999999998</v>
      </c>
      <c r="O101">
        <v>2411</v>
      </c>
      <c r="P101" t="s">
        <v>138</v>
      </c>
      <c r="Q101" t="s">
        <v>480</v>
      </c>
      <c r="R101">
        <v>6</v>
      </c>
      <c r="S101" t="s">
        <v>481</v>
      </c>
      <c r="T101">
        <v>1931522</v>
      </c>
      <c r="U101">
        <v>3</v>
      </c>
      <c r="V101">
        <v>10</v>
      </c>
      <c r="W101" t="s">
        <v>474</v>
      </c>
      <c r="X101">
        <v>43812</v>
      </c>
      <c r="Y101">
        <v>10</v>
      </c>
      <c r="Z101">
        <v>0.20833333333333334</v>
      </c>
    </row>
    <row r="102" spans="1:26">
      <c r="A102" t="s">
        <v>565</v>
      </c>
      <c r="B102">
        <v>43781</v>
      </c>
      <c r="C102" t="s">
        <v>187</v>
      </c>
      <c r="D102" t="s">
        <v>187</v>
      </c>
      <c r="E102" t="s">
        <v>187</v>
      </c>
      <c r="F102" t="s">
        <v>187</v>
      </c>
      <c r="G102" t="s">
        <v>187</v>
      </c>
      <c r="J102">
        <v>43787</v>
      </c>
      <c r="K102">
        <v>43788</v>
      </c>
      <c r="L102" t="s">
        <v>189</v>
      </c>
      <c r="M102">
        <v>43790</v>
      </c>
      <c r="N102">
        <v>0.38916666666666666</v>
      </c>
      <c r="O102">
        <v>1107</v>
      </c>
      <c r="P102" t="s">
        <v>138</v>
      </c>
      <c r="Q102" t="s">
        <v>566</v>
      </c>
      <c r="R102">
        <v>0</v>
      </c>
      <c r="S102" t="s">
        <v>567</v>
      </c>
      <c r="T102">
        <v>1931223</v>
      </c>
      <c r="U102">
        <v>3</v>
      </c>
      <c r="V102">
        <v>20</v>
      </c>
      <c r="W102" t="s">
        <v>568</v>
      </c>
      <c r="X102">
        <v>43755</v>
      </c>
      <c r="Y102">
        <v>19</v>
      </c>
      <c r="Z102">
        <v>0.35714285714285715</v>
      </c>
    </row>
    <row r="103" spans="1:26">
      <c r="A103" t="s">
        <v>569</v>
      </c>
      <c r="B103">
        <v>43782</v>
      </c>
      <c r="C103" t="s">
        <v>187</v>
      </c>
      <c r="D103" t="s">
        <v>187</v>
      </c>
      <c r="E103" t="s">
        <v>187</v>
      </c>
      <c r="F103" t="s">
        <v>187</v>
      </c>
      <c r="G103" t="s">
        <v>187</v>
      </c>
      <c r="J103">
        <v>43787</v>
      </c>
      <c r="K103">
        <v>43788</v>
      </c>
      <c r="L103" t="s">
        <v>189</v>
      </c>
      <c r="M103">
        <v>43790</v>
      </c>
      <c r="N103">
        <v>0.44124999999999998</v>
      </c>
      <c r="O103" t="s">
        <v>570</v>
      </c>
      <c r="P103" t="s">
        <v>138</v>
      </c>
      <c r="Q103" t="s">
        <v>571</v>
      </c>
      <c r="R103">
        <v>0</v>
      </c>
      <c r="S103" t="s">
        <v>572</v>
      </c>
      <c r="T103">
        <v>1931262</v>
      </c>
      <c r="U103">
        <v>3</v>
      </c>
      <c r="V103">
        <v>50</v>
      </c>
      <c r="X103">
        <v>43763</v>
      </c>
      <c r="Y103">
        <v>10</v>
      </c>
      <c r="Z103">
        <v>1.1111111111111112</v>
      </c>
    </row>
    <row r="104" spans="1:26">
      <c r="A104" t="s">
        <v>573</v>
      </c>
      <c r="B104">
        <v>43782</v>
      </c>
      <c r="C104" t="s">
        <v>187</v>
      </c>
      <c r="D104" t="s">
        <v>187</v>
      </c>
      <c r="E104" t="s">
        <v>187</v>
      </c>
      <c r="F104" t="s">
        <v>187</v>
      </c>
      <c r="G104" t="s">
        <v>187</v>
      </c>
      <c r="J104">
        <v>43787</v>
      </c>
      <c r="K104">
        <v>43788</v>
      </c>
      <c r="L104" t="s">
        <v>189</v>
      </c>
      <c r="M104">
        <v>43790</v>
      </c>
      <c r="N104">
        <v>0.54020833333333329</v>
      </c>
      <c r="O104">
        <v>1170</v>
      </c>
      <c r="P104" t="s">
        <v>138</v>
      </c>
      <c r="Q104" t="s">
        <v>574</v>
      </c>
      <c r="R104">
        <v>0</v>
      </c>
      <c r="S104" t="s">
        <v>356</v>
      </c>
      <c r="T104">
        <v>1931336</v>
      </c>
      <c r="U104">
        <v>3</v>
      </c>
      <c r="V104">
        <v>20</v>
      </c>
      <c r="X104">
        <v>43773</v>
      </c>
      <c r="Y104">
        <v>11</v>
      </c>
      <c r="Z104">
        <v>0.44444444444444442</v>
      </c>
    </row>
    <row r="105" spans="1:26">
      <c r="A105" t="s">
        <v>575</v>
      </c>
      <c r="B105">
        <v>43782</v>
      </c>
      <c r="C105" t="s">
        <v>187</v>
      </c>
      <c r="D105" t="s">
        <v>187</v>
      </c>
      <c r="E105" t="s">
        <v>187</v>
      </c>
      <c r="F105" t="s">
        <v>187</v>
      </c>
      <c r="G105" t="s">
        <v>187</v>
      </c>
      <c r="J105">
        <v>43787</v>
      </c>
      <c r="K105">
        <v>43788</v>
      </c>
      <c r="L105" t="s">
        <v>189</v>
      </c>
      <c r="M105">
        <v>43790</v>
      </c>
      <c r="N105">
        <v>0.83187500000000003</v>
      </c>
      <c r="O105">
        <v>9777</v>
      </c>
      <c r="P105" t="s">
        <v>138</v>
      </c>
      <c r="Q105" t="s">
        <v>576</v>
      </c>
      <c r="R105">
        <v>0</v>
      </c>
      <c r="S105" t="s">
        <v>577</v>
      </c>
      <c r="T105">
        <v>1931345</v>
      </c>
      <c r="U105">
        <v>3</v>
      </c>
      <c r="V105">
        <v>20</v>
      </c>
      <c r="X105">
        <v>43776</v>
      </c>
      <c r="Y105">
        <v>11</v>
      </c>
      <c r="Z105">
        <v>0.5</v>
      </c>
    </row>
    <row r="106" spans="1:26">
      <c r="A106" t="s">
        <v>578</v>
      </c>
      <c r="B106">
        <v>43787</v>
      </c>
      <c r="C106" t="s">
        <v>187</v>
      </c>
      <c r="D106" t="s">
        <v>187</v>
      </c>
      <c r="E106" t="s">
        <v>187</v>
      </c>
      <c r="F106" t="s">
        <v>187</v>
      </c>
      <c r="G106" t="s">
        <v>187</v>
      </c>
      <c r="J106">
        <v>43787</v>
      </c>
      <c r="K106">
        <v>43788</v>
      </c>
      <c r="L106" t="s">
        <v>189</v>
      </c>
      <c r="M106">
        <v>43790</v>
      </c>
      <c r="N106">
        <v>0.87875000000000003</v>
      </c>
      <c r="O106" t="s">
        <v>579</v>
      </c>
      <c r="P106" t="s">
        <v>138</v>
      </c>
      <c r="Q106" t="s">
        <v>366</v>
      </c>
      <c r="R106">
        <v>0</v>
      </c>
      <c r="S106" t="s">
        <v>580</v>
      </c>
      <c r="T106">
        <v>1931429</v>
      </c>
      <c r="U106">
        <v>3</v>
      </c>
      <c r="V106">
        <v>5</v>
      </c>
      <c r="W106" t="s">
        <v>581</v>
      </c>
      <c r="X106">
        <v>43791</v>
      </c>
      <c r="Y106">
        <v>11</v>
      </c>
      <c r="Z106">
        <v>0.1111111111111111</v>
      </c>
    </row>
    <row r="107" spans="1:26">
      <c r="A107" t="s">
        <v>582</v>
      </c>
      <c r="B107">
        <v>43781</v>
      </c>
      <c r="C107" t="s">
        <v>187</v>
      </c>
      <c r="D107" t="s">
        <v>187</v>
      </c>
      <c r="E107" t="s">
        <v>187</v>
      </c>
      <c r="F107" t="s">
        <v>187</v>
      </c>
      <c r="G107" t="s">
        <v>187</v>
      </c>
      <c r="J107">
        <v>43788</v>
      </c>
      <c r="K107">
        <v>43789</v>
      </c>
      <c r="L107" t="s">
        <v>189</v>
      </c>
      <c r="M107">
        <v>43791</v>
      </c>
      <c r="N107">
        <v>0.28293981481481484</v>
      </c>
      <c r="O107" t="s">
        <v>583</v>
      </c>
      <c r="P107" t="s">
        <v>138</v>
      </c>
      <c r="Q107" t="s">
        <v>584</v>
      </c>
      <c r="R107">
        <v>0</v>
      </c>
      <c r="S107" t="s">
        <v>585</v>
      </c>
      <c r="T107">
        <v>1931350</v>
      </c>
      <c r="U107">
        <v>3</v>
      </c>
      <c r="V107">
        <v>40</v>
      </c>
      <c r="X107">
        <v>43780</v>
      </c>
      <c r="Y107">
        <v>11</v>
      </c>
      <c r="Z107">
        <v>0.63492063492063489</v>
      </c>
    </row>
    <row r="108" spans="1:26">
      <c r="A108" t="s">
        <v>586</v>
      </c>
      <c r="B108">
        <v>43782</v>
      </c>
      <c r="C108" t="s">
        <v>187</v>
      </c>
      <c r="D108" t="s">
        <v>187</v>
      </c>
      <c r="E108" t="s">
        <v>187</v>
      </c>
      <c r="F108" t="s">
        <v>187</v>
      </c>
      <c r="G108" t="s">
        <v>187</v>
      </c>
      <c r="J108">
        <v>43789</v>
      </c>
      <c r="K108">
        <v>43790</v>
      </c>
      <c r="L108" t="s">
        <v>189</v>
      </c>
      <c r="M108">
        <v>43795</v>
      </c>
      <c r="N108">
        <v>0.41758101851851853</v>
      </c>
      <c r="O108" t="s">
        <v>587</v>
      </c>
      <c r="P108" t="s">
        <v>138</v>
      </c>
      <c r="Q108" t="s">
        <v>588</v>
      </c>
      <c r="R108">
        <v>0</v>
      </c>
      <c r="S108" t="s">
        <v>589</v>
      </c>
      <c r="T108">
        <v>1931263</v>
      </c>
      <c r="U108">
        <v>3</v>
      </c>
      <c r="V108">
        <v>43</v>
      </c>
      <c r="W108" t="s">
        <v>590</v>
      </c>
      <c r="X108">
        <v>43763</v>
      </c>
      <c r="Y108">
        <v>11</v>
      </c>
      <c r="Z108">
        <v>0.9555555555555556</v>
      </c>
    </row>
    <row r="109" spans="1:26">
      <c r="A109" t="s">
        <v>299</v>
      </c>
      <c r="B109">
        <v>43788</v>
      </c>
      <c r="C109" t="s">
        <v>187</v>
      </c>
      <c r="D109" t="s">
        <v>187</v>
      </c>
      <c r="E109" t="s">
        <v>187</v>
      </c>
      <c r="F109" t="s">
        <v>187</v>
      </c>
      <c r="G109" t="s">
        <v>187</v>
      </c>
      <c r="J109">
        <v>43788</v>
      </c>
      <c r="K109">
        <v>43789</v>
      </c>
      <c r="L109" t="s">
        <v>189</v>
      </c>
      <c r="M109">
        <v>43794</v>
      </c>
      <c r="N109">
        <v>0.48269675925925926</v>
      </c>
      <c r="O109" t="s">
        <v>591</v>
      </c>
      <c r="P109" t="s">
        <v>433</v>
      </c>
      <c r="Q109" t="s">
        <v>592</v>
      </c>
      <c r="R109">
        <v>6.5</v>
      </c>
      <c r="S109" t="s">
        <v>593</v>
      </c>
      <c r="T109">
        <v>1950094</v>
      </c>
      <c r="U109" t="s">
        <v>303</v>
      </c>
      <c r="V109">
        <v>2700</v>
      </c>
      <c r="X109">
        <v>43811</v>
      </c>
      <c r="Y109">
        <v>3</v>
      </c>
    </row>
    <row r="110" spans="1:26">
      <c r="A110" t="s">
        <v>299</v>
      </c>
      <c r="B110">
        <v>43790</v>
      </c>
      <c r="C110" t="s">
        <v>187</v>
      </c>
      <c r="D110" t="s">
        <v>187</v>
      </c>
      <c r="E110" t="s">
        <v>187</v>
      </c>
      <c r="F110" t="s">
        <v>187</v>
      </c>
      <c r="G110" t="s">
        <v>187</v>
      </c>
      <c r="J110">
        <v>43788</v>
      </c>
      <c r="K110">
        <v>43789</v>
      </c>
      <c r="L110" t="s">
        <v>189</v>
      </c>
      <c r="M110">
        <v>43794</v>
      </c>
      <c r="N110">
        <v>0.86186342592592602</v>
      </c>
      <c r="O110" t="s">
        <v>432</v>
      </c>
      <c r="P110" t="s">
        <v>433</v>
      </c>
      <c r="Q110" t="s">
        <v>434</v>
      </c>
      <c r="R110">
        <v>6.9</v>
      </c>
      <c r="S110" t="s">
        <v>435</v>
      </c>
      <c r="T110">
        <v>1950095</v>
      </c>
      <c r="U110" t="s">
        <v>303</v>
      </c>
      <c r="V110">
        <v>10000</v>
      </c>
      <c r="X110">
        <v>43802</v>
      </c>
      <c r="Y110">
        <v>3</v>
      </c>
      <c r="Z110">
        <v>6.4935064935064934</v>
      </c>
    </row>
    <row r="111" spans="1:26">
      <c r="A111" t="s">
        <v>594</v>
      </c>
      <c r="B111">
        <v>43783</v>
      </c>
      <c r="C111" t="s">
        <v>187</v>
      </c>
      <c r="D111" t="s">
        <v>187</v>
      </c>
      <c r="E111" t="s">
        <v>187</v>
      </c>
      <c r="F111" t="s">
        <v>187</v>
      </c>
      <c r="G111" t="s">
        <v>187</v>
      </c>
      <c r="H111" t="s">
        <v>187</v>
      </c>
      <c r="J111">
        <v>43787</v>
      </c>
      <c r="K111">
        <v>43788</v>
      </c>
      <c r="L111" t="s">
        <v>188</v>
      </c>
      <c r="M111">
        <v>43790</v>
      </c>
      <c r="N111">
        <v>0.27349537037037036</v>
      </c>
      <c r="O111">
        <v>711</v>
      </c>
      <c r="P111" t="s">
        <v>136</v>
      </c>
      <c r="Q111" t="s">
        <v>437</v>
      </c>
      <c r="R111">
        <v>8.5</v>
      </c>
      <c r="S111" t="s">
        <v>440</v>
      </c>
      <c r="T111">
        <v>1910399</v>
      </c>
      <c r="U111">
        <v>13</v>
      </c>
      <c r="V111">
        <v>198</v>
      </c>
      <c r="W111" t="s">
        <v>441</v>
      </c>
      <c r="X111">
        <v>43832</v>
      </c>
      <c r="Y111">
        <v>6</v>
      </c>
      <c r="Z111">
        <v>4.4000000000000004</v>
      </c>
    </row>
    <row r="112" spans="1:26">
      <c r="A112" t="s">
        <v>596</v>
      </c>
      <c r="B112">
        <v>43790</v>
      </c>
      <c r="C112" t="s">
        <v>187</v>
      </c>
      <c r="D112" t="s">
        <v>187</v>
      </c>
      <c r="E112" t="s">
        <v>187</v>
      </c>
      <c r="F112" t="s">
        <v>187</v>
      </c>
      <c r="G112" t="s">
        <v>187</v>
      </c>
      <c r="J112">
        <v>43790</v>
      </c>
      <c r="K112">
        <v>43794</v>
      </c>
      <c r="L112" t="s">
        <v>189</v>
      </c>
      <c r="M112">
        <v>43795</v>
      </c>
      <c r="N112">
        <v>0.46356481481481482</v>
      </c>
      <c r="O112">
        <v>690</v>
      </c>
      <c r="P112" t="s">
        <v>133</v>
      </c>
      <c r="Q112" t="s">
        <v>597</v>
      </c>
      <c r="R112">
        <v>10.3</v>
      </c>
      <c r="S112" t="s">
        <v>598</v>
      </c>
      <c r="T112">
        <v>1920958</v>
      </c>
      <c r="U112">
        <v>13</v>
      </c>
      <c r="V112">
        <v>44</v>
      </c>
      <c r="X112">
        <v>43817</v>
      </c>
      <c r="Y112">
        <v>3</v>
      </c>
      <c r="Z112">
        <v>0.5</v>
      </c>
    </row>
    <row r="113" spans="1:26">
      <c r="A113" t="s">
        <v>599</v>
      </c>
      <c r="B113">
        <v>43790</v>
      </c>
      <c r="C113" t="s">
        <v>187</v>
      </c>
      <c r="D113" t="s">
        <v>187</v>
      </c>
      <c r="E113" t="s">
        <v>187</v>
      </c>
      <c r="F113" t="s">
        <v>187</v>
      </c>
      <c r="G113" t="s">
        <v>187</v>
      </c>
      <c r="J113">
        <v>43801</v>
      </c>
      <c r="K113">
        <v>43802</v>
      </c>
      <c r="L113" t="s">
        <v>188</v>
      </c>
      <c r="M113">
        <v>43803</v>
      </c>
      <c r="N113">
        <v>0.49494212962962963</v>
      </c>
      <c r="O113">
        <v>290</v>
      </c>
      <c r="P113" t="s">
        <v>134</v>
      </c>
      <c r="Q113" t="s">
        <v>240</v>
      </c>
      <c r="R113">
        <v>10.5</v>
      </c>
      <c r="S113" t="s">
        <v>600</v>
      </c>
      <c r="T113">
        <v>1920943</v>
      </c>
      <c r="U113">
        <v>1</v>
      </c>
      <c r="V113">
        <v>50</v>
      </c>
      <c r="X113">
        <v>43803</v>
      </c>
      <c r="Y113">
        <v>2</v>
      </c>
      <c r="Z113">
        <v>0.19230769230769232</v>
      </c>
    </row>
    <row r="114" spans="1:26">
      <c r="A114" t="s">
        <v>601</v>
      </c>
      <c r="B114">
        <v>43788</v>
      </c>
      <c r="C114" t="s">
        <v>187</v>
      </c>
      <c r="D114" t="s">
        <v>187</v>
      </c>
      <c r="E114" t="s">
        <v>187</v>
      </c>
      <c r="F114" t="s">
        <v>187</v>
      </c>
      <c r="G114" t="s">
        <v>187</v>
      </c>
      <c r="J114">
        <v>43789</v>
      </c>
      <c r="K114">
        <v>43794</v>
      </c>
      <c r="L114" t="s">
        <v>188</v>
      </c>
      <c r="M114">
        <v>43794</v>
      </c>
      <c r="N114">
        <v>0.69488425925925934</v>
      </c>
      <c r="O114">
        <v>9199</v>
      </c>
      <c r="P114" t="s">
        <v>135</v>
      </c>
      <c r="Q114" t="s">
        <v>602</v>
      </c>
      <c r="R114">
        <v>12</v>
      </c>
      <c r="S114" t="s">
        <v>603</v>
      </c>
      <c r="T114">
        <v>1920928</v>
      </c>
      <c r="U114">
        <v>13</v>
      </c>
      <c r="V114">
        <v>108</v>
      </c>
      <c r="X114">
        <v>43804</v>
      </c>
      <c r="Y114">
        <v>4</v>
      </c>
      <c r="Z114">
        <v>0.5</v>
      </c>
    </row>
    <row r="115" spans="1:26">
      <c r="A115" t="s">
        <v>604</v>
      </c>
      <c r="B115">
        <v>43787</v>
      </c>
      <c r="C115" t="s">
        <v>187</v>
      </c>
      <c r="D115" t="s">
        <v>187</v>
      </c>
      <c r="E115" t="s">
        <v>187</v>
      </c>
      <c r="F115" t="s">
        <v>187</v>
      </c>
      <c r="G115" t="s">
        <v>187</v>
      </c>
      <c r="J115">
        <v>43789</v>
      </c>
      <c r="K115">
        <v>43794</v>
      </c>
      <c r="L115" t="s">
        <v>188</v>
      </c>
      <c r="M115">
        <v>43794</v>
      </c>
      <c r="N115">
        <v>0.78142361111111114</v>
      </c>
      <c r="O115">
        <v>7165</v>
      </c>
      <c r="P115" t="s">
        <v>135</v>
      </c>
      <c r="Q115" t="s">
        <v>605</v>
      </c>
      <c r="R115">
        <v>12</v>
      </c>
      <c r="S115" t="s">
        <v>606</v>
      </c>
      <c r="T115">
        <v>1920880</v>
      </c>
      <c r="U115">
        <v>13</v>
      </c>
      <c r="V115">
        <v>40</v>
      </c>
      <c r="X115">
        <v>43794</v>
      </c>
      <c r="Y115">
        <v>4</v>
      </c>
      <c r="Z115">
        <v>0.18518518518518517</v>
      </c>
    </row>
    <row r="116" spans="1:26">
      <c r="A116" t="s">
        <v>607</v>
      </c>
      <c r="B116">
        <v>43788</v>
      </c>
      <c r="C116" t="s">
        <v>187</v>
      </c>
      <c r="D116" t="s">
        <v>187</v>
      </c>
      <c r="E116" t="s">
        <v>187</v>
      </c>
      <c r="F116" t="s">
        <v>187</v>
      </c>
      <c r="G116" t="s">
        <v>187</v>
      </c>
      <c r="J116">
        <v>43789</v>
      </c>
      <c r="K116">
        <v>43794</v>
      </c>
      <c r="L116" t="s">
        <v>188</v>
      </c>
      <c r="M116">
        <v>43794</v>
      </c>
      <c r="N116">
        <v>0.83083333333333342</v>
      </c>
      <c r="O116">
        <v>716</v>
      </c>
      <c r="P116" t="s">
        <v>135</v>
      </c>
      <c r="Q116" t="s">
        <v>464</v>
      </c>
      <c r="R116">
        <v>12</v>
      </c>
      <c r="S116" t="s">
        <v>465</v>
      </c>
      <c r="T116">
        <v>1920927</v>
      </c>
      <c r="U116">
        <v>13</v>
      </c>
      <c r="V116">
        <v>864</v>
      </c>
      <c r="X116">
        <v>43811</v>
      </c>
      <c r="Y116">
        <v>4</v>
      </c>
      <c r="Z116">
        <v>4</v>
      </c>
    </row>
    <row r="117" spans="1:26">
      <c r="A117" t="s">
        <v>608</v>
      </c>
      <c r="B117">
        <v>43783</v>
      </c>
      <c r="C117" t="s">
        <v>187</v>
      </c>
      <c r="D117" t="s">
        <v>187</v>
      </c>
      <c r="E117" t="s">
        <v>187</v>
      </c>
      <c r="F117" t="s">
        <v>187</v>
      </c>
      <c r="G117" t="s">
        <v>187</v>
      </c>
      <c r="J117">
        <v>43790</v>
      </c>
      <c r="K117">
        <v>43795</v>
      </c>
      <c r="L117" t="s">
        <v>188</v>
      </c>
      <c r="M117">
        <v>43795</v>
      </c>
      <c r="N117">
        <v>0.87384259259259256</v>
      </c>
      <c r="O117">
        <v>770</v>
      </c>
      <c r="P117" t="s">
        <v>135</v>
      </c>
      <c r="Q117" t="s">
        <v>464</v>
      </c>
      <c r="R117">
        <v>12.5</v>
      </c>
      <c r="S117" t="s">
        <v>465</v>
      </c>
      <c r="T117">
        <v>1920921</v>
      </c>
      <c r="U117">
        <v>13</v>
      </c>
      <c r="V117">
        <v>144</v>
      </c>
      <c r="X117">
        <v>43803</v>
      </c>
      <c r="Y117">
        <v>5</v>
      </c>
      <c r="Z117">
        <v>1</v>
      </c>
    </row>
    <row r="118" spans="1:26">
      <c r="A118" t="s">
        <v>609</v>
      </c>
      <c r="B118">
        <v>43783</v>
      </c>
      <c r="C118" t="s">
        <v>187</v>
      </c>
      <c r="D118" t="s">
        <v>187</v>
      </c>
      <c r="E118" t="s">
        <v>187</v>
      </c>
      <c r="F118" t="s">
        <v>187</v>
      </c>
      <c r="G118" t="s">
        <v>187</v>
      </c>
      <c r="J118">
        <v>43794</v>
      </c>
      <c r="K118">
        <v>43795</v>
      </c>
      <c r="L118" t="s">
        <v>189</v>
      </c>
      <c r="M118">
        <v>43796</v>
      </c>
      <c r="N118">
        <v>0.29245370370370372</v>
      </c>
      <c r="O118">
        <v>9201</v>
      </c>
      <c r="P118" t="s">
        <v>135</v>
      </c>
      <c r="Q118" t="s">
        <v>610</v>
      </c>
      <c r="R118">
        <v>12</v>
      </c>
      <c r="S118" t="s">
        <v>611</v>
      </c>
      <c r="T118">
        <v>1920925</v>
      </c>
      <c r="U118">
        <v>13</v>
      </c>
      <c r="V118">
        <v>95</v>
      </c>
      <c r="W118" t="s">
        <v>612</v>
      </c>
      <c r="X118">
        <v>43853</v>
      </c>
      <c r="Y118">
        <v>5</v>
      </c>
      <c r="Z118">
        <v>0.28273809523809523</v>
      </c>
    </row>
    <row r="119" spans="1:26">
      <c r="A119" t="s">
        <v>613</v>
      </c>
      <c r="B119">
        <v>43789</v>
      </c>
      <c r="C119" t="s">
        <v>187</v>
      </c>
      <c r="D119" t="s">
        <v>187</v>
      </c>
      <c r="E119" t="s">
        <v>187</v>
      </c>
      <c r="F119" t="s">
        <v>187</v>
      </c>
      <c r="G119" t="s">
        <v>187</v>
      </c>
      <c r="J119">
        <v>43802</v>
      </c>
      <c r="K119">
        <v>43803</v>
      </c>
      <c r="L119" t="s">
        <v>189</v>
      </c>
      <c r="M119">
        <v>43804</v>
      </c>
      <c r="N119">
        <v>0.49503472222222222</v>
      </c>
      <c r="O119">
        <v>718</v>
      </c>
      <c r="P119" t="s">
        <v>135</v>
      </c>
      <c r="Q119" t="s">
        <v>460</v>
      </c>
      <c r="R119">
        <v>12</v>
      </c>
      <c r="S119" t="s">
        <v>461</v>
      </c>
      <c r="T119">
        <v>1920946</v>
      </c>
      <c r="U119">
        <v>13</v>
      </c>
      <c r="V119">
        <v>1512</v>
      </c>
      <c r="W119" t="s">
        <v>612</v>
      </c>
      <c r="X119">
        <v>43803</v>
      </c>
      <c r="Y119">
        <v>5</v>
      </c>
      <c r="Z119">
        <v>4.5</v>
      </c>
    </row>
    <row r="120" spans="1:26">
      <c r="A120" t="s">
        <v>614</v>
      </c>
      <c r="B120">
        <v>43782</v>
      </c>
      <c r="C120" t="s">
        <v>187</v>
      </c>
      <c r="D120" t="s">
        <v>187</v>
      </c>
      <c r="E120" t="s">
        <v>187</v>
      </c>
      <c r="F120" t="s">
        <v>187</v>
      </c>
      <c r="G120" t="s">
        <v>187</v>
      </c>
      <c r="J120">
        <v>43788</v>
      </c>
      <c r="K120">
        <v>43789</v>
      </c>
      <c r="L120" t="s">
        <v>189</v>
      </c>
      <c r="M120">
        <v>43794</v>
      </c>
      <c r="N120">
        <v>0.3094675925925926</v>
      </c>
      <c r="O120" t="s">
        <v>615</v>
      </c>
      <c r="P120" t="s">
        <v>138</v>
      </c>
      <c r="Q120" t="s">
        <v>588</v>
      </c>
      <c r="R120">
        <v>0</v>
      </c>
      <c r="S120" t="s">
        <v>616</v>
      </c>
      <c r="T120">
        <v>1931321</v>
      </c>
      <c r="U120">
        <v>3</v>
      </c>
      <c r="V120">
        <v>100</v>
      </c>
      <c r="W120" t="s">
        <v>617</v>
      </c>
      <c r="X120">
        <v>43773</v>
      </c>
      <c r="Y120">
        <v>11</v>
      </c>
      <c r="Z120">
        <v>2.2222222222222223</v>
      </c>
    </row>
    <row r="121" spans="1:26">
      <c r="A121" t="s">
        <v>618</v>
      </c>
      <c r="B121">
        <v>43781</v>
      </c>
      <c r="C121" t="s">
        <v>187</v>
      </c>
      <c r="D121" t="s">
        <v>187</v>
      </c>
      <c r="E121" t="s">
        <v>187</v>
      </c>
      <c r="F121" t="s">
        <v>187</v>
      </c>
      <c r="G121" t="s">
        <v>187</v>
      </c>
      <c r="J121">
        <v>43788</v>
      </c>
      <c r="K121">
        <v>43789</v>
      </c>
      <c r="L121" t="s">
        <v>188</v>
      </c>
      <c r="M121">
        <v>43794</v>
      </c>
      <c r="N121">
        <v>0.51519675925925923</v>
      </c>
      <c r="O121" t="s">
        <v>619</v>
      </c>
      <c r="P121" t="s">
        <v>138</v>
      </c>
      <c r="Q121" t="s">
        <v>620</v>
      </c>
      <c r="R121">
        <v>0</v>
      </c>
      <c r="S121" t="s">
        <v>621</v>
      </c>
      <c r="T121">
        <v>1931388</v>
      </c>
      <c r="U121">
        <v>13</v>
      </c>
      <c r="V121">
        <v>500</v>
      </c>
      <c r="X121">
        <v>43787</v>
      </c>
      <c r="Y121">
        <v>9</v>
      </c>
      <c r="Z121">
        <v>11.111111111111111</v>
      </c>
    </row>
    <row r="122" spans="1:26">
      <c r="A122" t="s">
        <v>622</v>
      </c>
      <c r="B122">
        <v>43787</v>
      </c>
      <c r="C122" t="s">
        <v>187</v>
      </c>
      <c r="D122" t="s">
        <v>187</v>
      </c>
      <c r="E122" t="s">
        <v>187</v>
      </c>
      <c r="F122" t="s">
        <v>187</v>
      </c>
      <c r="G122" t="s">
        <v>187</v>
      </c>
      <c r="J122">
        <v>43789</v>
      </c>
      <c r="K122">
        <v>43790</v>
      </c>
      <c r="L122" t="s">
        <v>189</v>
      </c>
      <c r="M122">
        <v>43795</v>
      </c>
      <c r="N122">
        <v>0.29019675925925925</v>
      </c>
      <c r="O122">
        <v>7664</v>
      </c>
      <c r="P122" t="s">
        <v>138</v>
      </c>
      <c r="Q122" t="s">
        <v>623</v>
      </c>
      <c r="R122">
        <v>0</v>
      </c>
      <c r="S122" t="s">
        <v>624</v>
      </c>
      <c r="T122">
        <v>1931394</v>
      </c>
      <c r="U122">
        <v>13</v>
      </c>
      <c r="V122">
        <v>45</v>
      </c>
      <c r="X122">
        <v>43787</v>
      </c>
      <c r="Y122">
        <v>9</v>
      </c>
      <c r="Z122">
        <v>0.7142857142857143</v>
      </c>
    </row>
    <row r="123" spans="1:26">
      <c r="A123" t="s">
        <v>625</v>
      </c>
      <c r="B123">
        <v>43787</v>
      </c>
      <c r="C123" t="s">
        <v>187</v>
      </c>
      <c r="D123" t="s">
        <v>187</v>
      </c>
      <c r="E123" t="s">
        <v>187</v>
      </c>
      <c r="F123" t="s">
        <v>187</v>
      </c>
      <c r="G123" t="s">
        <v>187</v>
      </c>
      <c r="J123">
        <v>43789</v>
      </c>
      <c r="K123">
        <v>43790</v>
      </c>
      <c r="L123" t="s">
        <v>189</v>
      </c>
      <c r="M123">
        <v>43795</v>
      </c>
      <c r="N123">
        <v>0.41467592592592589</v>
      </c>
      <c r="O123">
        <v>3398</v>
      </c>
      <c r="P123" t="s">
        <v>138</v>
      </c>
      <c r="Q123" t="s">
        <v>349</v>
      </c>
      <c r="R123">
        <v>0</v>
      </c>
      <c r="S123" t="s">
        <v>364</v>
      </c>
      <c r="T123">
        <v>1931405</v>
      </c>
      <c r="U123">
        <v>13</v>
      </c>
      <c r="V123">
        <v>20</v>
      </c>
      <c r="X123">
        <v>43787</v>
      </c>
      <c r="Y123">
        <v>10</v>
      </c>
      <c r="Z123">
        <v>0.44444444444444442</v>
      </c>
    </row>
    <row r="124" spans="1:26">
      <c r="A124" t="s">
        <v>626</v>
      </c>
      <c r="B124">
        <v>43781</v>
      </c>
      <c r="C124" t="s">
        <v>187</v>
      </c>
      <c r="D124" t="s">
        <v>187</v>
      </c>
      <c r="E124" t="s">
        <v>187</v>
      </c>
      <c r="F124" t="s">
        <v>187</v>
      </c>
      <c r="G124" t="s">
        <v>187</v>
      </c>
      <c r="J124">
        <v>43789</v>
      </c>
      <c r="K124">
        <v>43790</v>
      </c>
      <c r="L124" t="s">
        <v>188</v>
      </c>
      <c r="M124">
        <v>43795</v>
      </c>
      <c r="N124">
        <v>0.56467592592592586</v>
      </c>
      <c r="O124">
        <v>7385</v>
      </c>
      <c r="P124" t="s">
        <v>138</v>
      </c>
      <c r="Q124" t="s">
        <v>627</v>
      </c>
      <c r="R124">
        <v>0</v>
      </c>
      <c r="S124" t="s">
        <v>628</v>
      </c>
      <c r="T124">
        <v>1931424</v>
      </c>
      <c r="U124">
        <v>3</v>
      </c>
      <c r="V124">
        <v>25</v>
      </c>
      <c r="X124">
        <v>43791</v>
      </c>
      <c r="Y124">
        <v>10</v>
      </c>
      <c r="Z124">
        <v>0.26041666666666669</v>
      </c>
    </row>
    <row r="125" spans="1:26">
      <c r="A125" t="s">
        <v>629</v>
      </c>
      <c r="B125">
        <v>43788</v>
      </c>
      <c r="C125" t="s">
        <v>187</v>
      </c>
      <c r="D125" t="s">
        <v>187</v>
      </c>
      <c r="E125" t="s">
        <v>187</v>
      </c>
      <c r="F125" t="s">
        <v>187</v>
      </c>
      <c r="G125" t="s">
        <v>187</v>
      </c>
      <c r="J125">
        <v>43789</v>
      </c>
      <c r="K125">
        <v>43790</v>
      </c>
      <c r="L125" t="s">
        <v>188</v>
      </c>
      <c r="M125">
        <v>43795</v>
      </c>
      <c r="N125">
        <v>0.73525462962962962</v>
      </c>
      <c r="O125" t="s">
        <v>630</v>
      </c>
      <c r="P125" t="s">
        <v>138</v>
      </c>
      <c r="Q125" t="s">
        <v>363</v>
      </c>
      <c r="R125">
        <v>0</v>
      </c>
      <c r="S125" t="s">
        <v>631</v>
      </c>
      <c r="T125">
        <v>1931426</v>
      </c>
      <c r="U125">
        <v>3</v>
      </c>
      <c r="V125">
        <v>20</v>
      </c>
      <c r="X125">
        <v>43791</v>
      </c>
      <c r="Y125">
        <v>8</v>
      </c>
      <c r="Z125">
        <v>0.31746031746031744</v>
      </c>
    </row>
    <row r="126" spans="1:26">
      <c r="A126" t="s">
        <v>632</v>
      </c>
      <c r="B126">
        <v>43788</v>
      </c>
      <c r="C126" t="s">
        <v>187</v>
      </c>
      <c r="D126" t="s">
        <v>187</v>
      </c>
      <c r="E126" t="s">
        <v>187</v>
      </c>
      <c r="F126" t="s">
        <v>187</v>
      </c>
      <c r="G126" t="s">
        <v>187</v>
      </c>
      <c r="J126">
        <v>43789</v>
      </c>
      <c r="K126">
        <v>43790</v>
      </c>
      <c r="L126" t="s">
        <v>188</v>
      </c>
      <c r="M126">
        <v>43795</v>
      </c>
      <c r="N126">
        <v>0.78733796296296299</v>
      </c>
      <c r="O126" t="s">
        <v>633</v>
      </c>
      <c r="P126" t="s">
        <v>138</v>
      </c>
      <c r="Q126" t="s">
        <v>634</v>
      </c>
      <c r="R126">
        <v>0</v>
      </c>
      <c r="S126" t="s">
        <v>635</v>
      </c>
      <c r="T126">
        <v>1931380</v>
      </c>
      <c r="U126">
        <v>3</v>
      </c>
      <c r="V126">
        <v>12</v>
      </c>
      <c r="W126" t="s">
        <v>636</v>
      </c>
      <c r="X126">
        <v>43754</v>
      </c>
      <c r="Y126">
        <v>13</v>
      </c>
      <c r="Z126">
        <v>0.26666666666666666</v>
      </c>
    </row>
    <row r="127" spans="1:26">
      <c r="A127" t="s">
        <v>637</v>
      </c>
      <c r="B127">
        <v>43783</v>
      </c>
      <c r="C127" t="s">
        <v>187</v>
      </c>
      <c r="D127" t="s">
        <v>187</v>
      </c>
      <c r="E127" t="s">
        <v>187</v>
      </c>
      <c r="F127" t="s">
        <v>187</v>
      </c>
      <c r="G127" t="s">
        <v>187</v>
      </c>
      <c r="J127">
        <v>43788</v>
      </c>
      <c r="K127">
        <v>43789</v>
      </c>
      <c r="L127" t="s">
        <v>188</v>
      </c>
      <c r="M127">
        <v>43794</v>
      </c>
      <c r="N127">
        <v>0.29341435185185188</v>
      </c>
      <c r="O127" t="s">
        <v>638</v>
      </c>
      <c r="P127" t="s">
        <v>394</v>
      </c>
      <c r="Q127" t="s">
        <v>532</v>
      </c>
      <c r="S127" t="s">
        <v>639</v>
      </c>
      <c r="T127" t="s">
        <v>640</v>
      </c>
      <c r="U127" t="s">
        <v>303</v>
      </c>
      <c r="V127">
        <v>450</v>
      </c>
      <c r="W127" t="s">
        <v>325</v>
      </c>
      <c r="X127">
        <v>43801.330520833333</v>
      </c>
      <c r="Y127">
        <v>9</v>
      </c>
    </row>
    <row r="128" spans="1:26">
      <c r="A128" t="s">
        <v>641</v>
      </c>
      <c r="B128" s="198">
        <v>43788</v>
      </c>
      <c r="C128" t="s">
        <v>187</v>
      </c>
      <c r="D128" t="s">
        <v>187</v>
      </c>
      <c r="E128" t="s">
        <v>187</v>
      </c>
      <c r="F128" t="s">
        <v>187</v>
      </c>
      <c r="G128" t="s">
        <v>187</v>
      </c>
      <c r="J128" s="198">
        <v>43788</v>
      </c>
      <c r="K128" s="198">
        <v>43789</v>
      </c>
      <c r="L128" t="s">
        <v>188</v>
      </c>
      <c r="M128" s="198">
        <v>43794</v>
      </c>
      <c r="N128">
        <v>0.27827546296296296</v>
      </c>
      <c r="O128">
        <v>2815</v>
      </c>
      <c r="P128" t="s">
        <v>136</v>
      </c>
      <c r="Q128" t="s">
        <v>437</v>
      </c>
      <c r="R128">
        <v>8.5</v>
      </c>
      <c r="S128" t="s">
        <v>642</v>
      </c>
      <c r="T128">
        <v>1910406</v>
      </c>
      <c r="U128">
        <v>13</v>
      </c>
      <c r="V128">
        <v>72</v>
      </c>
      <c r="X128">
        <v>43783</v>
      </c>
      <c r="Y128">
        <v>4</v>
      </c>
      <c r="Z128">
        <v>1.6</v>
      </c>
    </row>
    <row r="129" spans="1:26">
      <c r="A129" t="s">
        <v>643</v>
      </c>
      <c r="B129" s="198">
        <v>43773</v>
      </c>
      <c r="C129" t="s">
        <v>187</v>
      </c>
      <c r="D129" t="s">
        <v>187</v>
      </c>
      <c r="E129" t="s">
        <v>187</v>
      </c>
      <c r="F129" t="s">
        <v>187</v>
      </c>
      <c r="G129" t="s">
        <v>187</v>
      </c>
      <c r="H129" t="s">
        <v>187</v>
      </c>
      <c r="J129" s="198">
        <v>43788</v>
      </c>
      <c r="K129" s="198">
        <v>43789</v>
      </c>
      <c r="L129" t="s">
        <v>188</v>
      </c>
      <c r="M129" s="198">
        <v>43794</v>
      </c>
      <c r="N129">
        <v>0.36863425925925924</v>
      </c>
      <c r="O129">
        <v>800</v>
      </c>
      <c r="P129" t="s">
        <v>136</v>
      </c>
      <c r="Q129" t="s">
        <v>437</v>
      </c>
      <c r="R129">
        <v>8.5</v>
      </c>
      <c r="S129" t="s">
        <v>644</v>
      </c>
      <c r="T129">
        <v>1910387</v>
      </c>
      <c r="U129">
        <v>3</v>
      </c>
      <c r="V129">
        <v>68</v>
      </c>
      <c r="W129" t="s">
        <v>645</v>
      </c>
      <c r="X129">
        <v>43810</v>
      </c>
      <c r="Y129">
        <v>5</v>
      </c>
      <c r="Z129">
        <v>1.4166666666666667</v>
      </c>
    </row>
    <row r="130" spans="1:26">
      <c r="A130" t="s">
        <v>646</v>
      </c>
      <c r="B130" s="198">
        <v>43788</v>
      </c>
      <c r="C130" t="s">
        <v>187</v>
      </c>
      <c r="D130" t="s">
        <v>187</v>
      </c>
      <c r="E130" t="s">
        <v>187</v>
      </c>
      <c r="F130" t="s">
        <v>187</v>
      </c>
      <c r="G130" t="s">
        <v>187</v>
      </c>
      <c r="H130">
        <v>75</v>
      </c>
      <c r="I130">
        <v>97</v>
      </c>
      <c r="J130" s="198">
        <v>43788</v>
      </c>
      <c r="K130" s="198">
        <v>43789</v>
      </c>
      <c r="L130" t="s">
        <v>189</v>
      </c>
      <c r="M130" s="198">
        <v>43794</v>
      </c>
      <c r="N130">
        <v>0.45285879629629627</v>
      </c>
      <c r="O130">
        <v>1443</v>
      </c>
      <c r="P130" t="s">
        <v>136</v>
      </c>
      <c r="Q130" t="s">
        <v>437</v>
      </c>
      <c r="R130">
        <v>8.5</v>
      </c>
      <c r="S130" t="s">
        <v>647</v>
      </c>
      <c r="T130">
        <v>1910410</v>
      </c>
      <c r="U130">
        <v>3</v>
      </c>
      <c r="V130">
        <v>96</v>
      </c>
      <c r="W130" t="s">
        <v>648</v>
      </c>
      <c r="X130">
        <v>43780</v>
      </c>
      <c r="Y130">
        <v>7</v>
      </c>
      <c r="Z130">
        <v>2</v>
      </c>
    </row>
    <row r="131" spans="1:26">
      <c r="A131" t="s">
        <v>442</v>
      </c>
      <c r="B131" s="198">
        <v>43783</v>
      </c>
      <c r="C131" t="s">
        <v>187</v>
      </c>
      <c r="D131" t="s">
        <v>187</v>
      </c>
      <c r="E131" t="s">
        <v>187</v>
      </c>
      <c r="F131" t="s">
        <v>187</v>
      </c>
      <c r="G131" t="s">
        <v>187</v>
      </c>
      <c r="J131" s="198">
        <v>43789</v>
      </c>
      <c r="K131" s="198">
        <v>43790</v>
      </c>
      <c r="L131" t="s">
        <v>189</v>
      </c>
      <c r="M131" s="198">
        <v>43794</v>
      </c>
      <c r="N131">
        <v>0.27619212962962963</v>
      </c>
      <c r="O131">
        <v>696</v>
      </c>
      <c r="P131" t="s">
        <v>141</v>
      </c>
      <c r="Q131" t="s">
        <v>443</v>
      </c>
      <c r="R131">
        <v>0</v>
      </c>
      <c r="S131" t="s">
        <v>444</v>
      </c>
      <c r="T131">
        <v>1940079</v>
      </c>
      <c r="U131">
        <v>1</v>
      </c>
      <c r="V131">
        <v>102</v>
      </c>
      <c r="X131">
        <v>43831</v>
      </c>
      <c r="Y131">
        <v>4</v>
      </c>
      <c r="Z131">
        <v>2.5499999999999998</v>
      </c>
    </row>
    <row r="132" spans="1:26">
      <c r="B132"/>
      <c r="J132"/>
      <c r="K132"/>
      <c r="M132"/>
    </row>
    <row r="133" spans="1:26">
      <c r="B133"/>
      <c r="J133"/>
      <c r="K133"/>
      <c r="M133"/>
    </row>
    <row r="134" spans="1:26">
      <c r="B134"/>
      <c r="J134"/>
      <c r="K134"/>
      <c r="M134"/>
    </row>
    <row r="135" spans="1:26">
      <c r="B135"/>
      <c r="J135"/>
      <c r="K135"/>
      <c r="M135"/>
    </row>
  </sheetData>
  <conditionalFormatting sqref="T131 T40:T64 T1:T6 T69:T97 T136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4"/>
  <sheetViews>
    <sheetView workbookViewId="0">
      <selection sqref="A1:Z25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596</v>
      </c>
      <c r="B1" s="198">
        <v>43790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J1" s="198">
        <v>43790</v>
      </c>
      <c r="K1" s="198">
        <v>43794</v>
      </c>
      <c r="L1" t="s">
        <v>189</v>
      </c>
      <c r="M1" s="198">
        <v>43795</v>
      </c>
      <c r="N1">
        <v>0.46356481481481482</v>
      </c>
      <c r="O1">
        <v>690</v>
      </c>
      <c r="P1" t="s">
        <v>133</v>
      </c>
      <c r="Q1" t="s">
        <v>597</v>
      </c>
      <c r="R1">
        <v>10.3</v>
      </c>
      <c r="S1" t="s">
        <v>598</v>
      </c>
      <c r="T1">
        <v>1920958</v>
      </c>
      <c r="U1">
        <v>13</v>
      </c>
      <c r="V1">
        <v>44</v>
      </c>
      <c r="X1" s="198">
        <v>43817</v>
      </c>
      <c r="Y1">
        <v>3</v>
      </c>
      <c r="Z1">
        <v>0.5</v>
      </c>
    </row>
    <row r="2" spans="1:26">
      <c r="A2" t="s">
        <v>599</v>
      </c>
      <c r="B2" s="198">
        <v>43790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43801</v>
      </c>
      <c r="K2" s="198">
        <v>43802</v>
      </c>
      <c r="L2" t="s">
        <v>188</v>
      </c>
      <c r="M2" s="198">
        <v>43803</v>
      </c>
      <c r="N2">
        <v>0.49494212962962963</v>
      </c>
      <c r="O2">
        <v>290</v>
      </c>
      <c r="P2" t="s">
        <v>134</v>
      </c>
      <c r="Q2" t="s">
        <v>240</v>
      </c>
      <c r="R2">
        <v>10.5</v>
      </c>
      <c r="S2" t="s">
        <v>600</v>
      </c>
      <c r="T2">
        <v>1920943</v>
      </c>
      <c r="U2">
        <v>1</v>
      </c>
      <c r="V2">
        <v>50</v>
      </c>
      <c r="X2" s="198">
        <v>43803</v>
      </c>
      <c r="Y2">
        <v>2</v>
      </c>
      <c r="Z2">
        <v>0.19230769230769232</v>
      </c>
    </row>
    <row r="3" spans="1:26">
      <c r="A3" t="s">
        <v>601</v>
      </c>
      <c r="B3" s="198">
        <v>43788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J3" s="198">
        <v>43789</v>
      </c>
      <c r="K3" s="198">
        <v>43794</v>
      </c>
      <c r="L3" t="s">
        <v>188</v>
      </c>
      <c r="M3" s="198">
        <v>43794</v>
      </c>
      <c r="N3">
        <v>0.69488425925925934</v>
      </c>
      <c r="O3">
        <v>9199</v>
      </c>
      <c r="P3" t="s">
        <v>135</v>
      </c>
      <c r="Q3" t="s">
        <v>602</v>
      </c>
      <c r="R3">
        <v>12</v>
      </c>
      <c r="S3" t="s">
        <v>603</v>
      </c>
      <c r="T3">
        <v>1920928</v>
      </c>
      <c r="U3">
        <v>13</v>
      </c>
      <c r="V3">
        <v>108</v>
      </c>
      <c r="X3" s="198">
        <v>43804</v>
      </c>
      <c r="Y3">
        <v>4</v>
      </c>
      <c r="Z3">
        <v>0.5</v>
      </c>
    </row>
    <row r="4" spans="1:26">
      <c r="A4" t="s">
        <v>604</v>
      </c>
      <c r="B4" s="198">
        <v>43787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43789</v>
      </c>
      <c r="K4" s="198">
        <v>43794</v>
      </c>
      <c r="L4" t="s">
        <v>188</v>
      </c>
      <c r="M4" s="198">
        <v>43794</v>
      </c>
      <c r="N4">
        <v>0.78142361111111114</v>
      </c>
      <c r="O4">
        <v>7165</v>
      </c>
      <c r="P4" t="s">
        <v>135</v>
      </c>
      <c r="Q4" t="s">
        <v>605</v>
      </c>
      <c r="R4">
        <v>12</v>
      </c>
      <c r="S4" t="s">
        <v>606</v>
      </c>
      <c r="T4">
        <v>1920880</v>
      </c>
      <c r="U4">
        <v>13</v>
      </c>
      <c r="V4">
        <v>40</v>
      </c>
      <c r="X4" s="198">
        <v>43794</v>
      </c>
      <c r="Y4">
        <v>4</v>
      </c>
      <c r="Z4">
        <v>0.18518518518518517</v>
      </c>
    </row>
    <row r="5" spans="1:26">
      <c r="A5" t="s">
        <v>607</v>
      </c>
      <c r="B5" s="198">
        <v>43788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43789</v>
      </c>
      <c r="K5" s="198">
        <v>43794</v>
      </c>
      <c r="L5" t="s">
        <v>188</v>
      </c>
      <c r="M5" s="198">
        <v>43794</v>
      </c>
      <c r="N5">
        <v>0.83083333333333342</v>
      </c>
      <c r="O5">
        <v>716</v>
      </c>
      <c r="P5" t="s">
        <v>135</v>
      </c>
      <c r="Q5" t="s">
        <v>464</v>
      </c>
      <c r="R5">
        <v>12</v>
      </c>
      <c r="S5" t="s">
        <v>465</v>
      </c>
      <c r="T5">
        <v>1920927</v>
      </c>
      <c r="U5">
        <v>13</v>
      </c>
      <c r="V5">
        <v>864</v>
      </c>
      <c r="X5" s="198">
        <v>43811</v>
      </c>
      <c r="Y5">
        <v>4</v>
      </c>
      <c r="Z5">
        <v>4</v>
      </c>
    </row>
    <row r="6" spans="1:26">
      <c r="A6" t="s">
        <v>608</v>
      </c>
      <c r="B6" s="198">
        <v>43783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J6" s="198">
        <v>43790</v>
      </c>
      <c r="K6" s="198">
        <v>43795</v>
      </c>
      <c r="L6" t="s">
        <v>188</v>
      </c>
      <c r="M6" s="198">
        <v>43795</v>
      </c>
      <c r="N6">
        <v>0.87384259259259256</v>
      </c>
      <c r="O6">
        <v>770</v>
      </c>
      <c r="P6" t="s">
        <v>135</v>
      </c>
      <c r="Q6" t="s">
        <v>464</v>
      </c>
      <c r="R6">
        <v>12.5</v>
      </c>
      <c r="S6" t="s">
        <v>465</v>
      </c>
      <c r="T6">
        <v>1920921</v>
      </c>
      <c r="U6">
        <v>13</v>
      </c>
      <c r="V6">
        <v>144</v>
      </c>
      <c r="X6" s="198">
        <v>43803</v>
      </c>
      <c r="Y6">
        <v>5</v>
      </c>
      <c r="Z6">
        <v>1</v>
      </c>
    </row>
    <row r="7" spans="1:26">
      <c r="A7" t="s">
        <v>609</v>
      </c>
      <c r="B7" s="198">
        <v>43783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43794</v>
      </c>
      <c r="K7" s="198">
        <v>43795</v>
      </c>
      <c r="L7" t="s">
        <v>189</v>
      </c>
      <c r="M7" s="198">
        <v>43796</v>
      </c>
      <c r="N7">
        <v>0.29245370370370372</v>
      </c>
      <c r="O7">
        <v>9201</v>
      </c>
      <c r="P7" t="s">
        <v>135</v>
      </c>
      <c r="Q7" t="s">
        <v>610</v>
      </c>
      <c r="R7">
        <v>12</v>
      </c>
      <c r="S7" t="s">
        <v>611</v>
      </c>
      <c r="T7">
        <v>1920925</v>
      </c>
      <c r="U7">
        <v>13</v>
      </c>
      <c r="V7">
        <v>95</v>
      </c>
      <c r="W7" t="s">
        <v>612</v>
      </c>
      <c r="X7" s="198">
        <v>43853</v>
      </c>
      <c r="Y7">
        <v>5</v>
      </c>
      <c r="Z7">
        <v>0.28273809523809523</v>
      </c>
    </row>
    <row r="8" spans="1:26">
      <c r="A8" t="s">
        <v>613</v>
      </c>
      <c r="B8" s="198">
        <v>43789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43802</v>
      </c>
      <c r="K8" s="198">
        <v>43803</v>
      </c>
      <c r="L8" t="s">
        <v>189</v>
      </c>
      <c r="M8" s="198">
        <v>43804</v>
      </c>
      <c r="N8">
        <v>0.49503472222222222</v>
      </c>
      <c r="O8">
        <v>718</v>
      </c>
      <c r="P8" t="s">
        <v>135</v>
      </c>
      <c r="Q8" t="s">
        <v>460</v>
      </c>
      <c r="R8">
        <v>12</v>
      </c>
      <c r="S8" t="s">
        <v>461</v>
      </c>
      <c r="T8">
        <v>1920946</v>
      </c>
      <c r="U8">
        <v>13</v>
      </c>
      <c r="V8">
        <v>1512</v>
      </c>
      <c r="W8" t="s">
        <v>612</v>
      </c>
      <c r="X8" s="198">
        <v>43803</v>
      </c>
      <c r="Y8">
        <v>5</v>
      </c>
      <c r="Z8">
        <v>4.5</v>
      </c>
    </row>
    <row r="9" spans="1:26">
      <c r="A9" t="s">
        <v>565</v>
      </c>
      <c r="B9" s="198">
        <v>43781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43788</v>
      </c>
      <c r="K9" s="198">
        <v>43789</v>
      </c>
      <c r="L9" t="s">
        <v>189</v>
      </c>
      <c r="M9" s="198">
        <v>43794</v>
      </c>
      <c r="N9">
        <v>0.2782175925925926</v>
      </c>
      <c r="O9">
        <v>1107</v>
      </c>
      <c r="P9" t="s">
        <v>138</v>
      </c>
      <c r="Q9" t="s">
        <v>566</v>
      </c>
      <c r="R9">
        <v>0</v>
      </c>
      <c r="S9" t="s">
        <v>567</v>
      </c>
      <c r="T9">
        <v>1931223</v>
      </c>
      <c r="U9">
        <v>3</v>
      </c>
      <c r="V9">
        <v>20</v>
      </c>
      <c r="W9" t="s">
        <v>568</v>
      </c>
      <c r="X9" s="198">
        <v>43755</v>
      </c>
      <c r="Y9">
        <v>19</v>
      </c>
      <c r="Z9">
        <v>0.35714285714285715</v>
      </c>
    </row>
    <row r="10" spans="1:26">
      <c r="A10" t="s">
        <v>614</v>
      </c>
      <c r="B10" s="198">
        <v>43782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43788</v>
      </c>
      <c r="K10" s="198">
        <v>43789</v>
      </c>
      <c r="L10" t="s">
        <v>189</v>
      </c>
      <c r="M10" s="198">
        <v>43794</v>
      </c>
      <c r="N10">
        <v>0.3094675925925926</v>
      </c>
      <c r="O10" t="s">
        <v>615</v>
      </c>
      <c r="P10" t="s">
        <v>138</v>
      </c>
      <c r="Q10" t="s">
        <v>588</v>
      </c>
      <c r="R10">
        <v>0</v>
      </c>
      <c r="S10" t="s">
        <v>616</v>
      </c>
      <c r="T10">
        <v>1931321</v>
      </c>
      <c r="U10">
        <v>3</v>
      </c>
      <c r="V10">
        <v>100</v>
      </c>
      <c r="W10" t="s">
        <v>617</v>
      </c>
      <c r="X10" s="198">
        <v>43773</v>
      </c>
      <c r="Y10">
        <v>11</v>
      </c>
      <c r="Z10">
        <v>2.2222222222222223</v>
      </c>
    </row>
    <row r="11" spans="1:26">
      <c r="A11" t="s">
        <v>578</v>
      </c>
      <c r="B11" s="198">
        <v>43787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43788</v>
      </c>
      <c r="K11" s="198">
        <v>43789</v>
      </c>
      <c r="L11" t="s">
        <v>188</v>
      </c>
      <c r="M11" s="198">
        <v>43794</v>
      </c>
      <c r="N11">
        <v>0.48655092592592591</v>
      </c>
      <c r="O11" t="s">
        <v>579</v>
      </c>
      <c r="P11" t="s">
        <v>138</v>
      </c>
      <c r="Q11" t="s">
        <v>366</v>
      </c>
      <c r="R11">
        <v>0</v>
      </c>
      <c r="S11" t="s">
        <v>580</v>
      </c>
      <c r="T11">
        <v>1931429</v>
      </c>
      <c r="U11">
        <v>3</v>
      </c>
      <c r="V11">
        <v>5</v>
      </c>
      <c r="W11" t="s">
        <v>581</v>
      </c>
      <c r="X11" s="198">
        <v>43791</v>
      </c>
      <c r="Y11">
        <v>11</v>
      </c>
      <c r="Z11">
        <v>0.1111111111111111</v>
      </c>
    </row>
    <row r="12" spans="1:26">
      <c r="A12" t="s">
        <v>618</v>
      </c>
      <c r="B12" s="198">
        <v>43781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43788</v>
      </c>
      <c r="K12" s="198">
        <v>43789</v>
      </c>
      <c r="L12" t="s">
        <v>188</v>
      </c>
      <c r="M12" s="198">
        <v>43794</v>
      </c>
      <c r="N12">
        <v>0.51519675925925923</v>
      </c>
      <c r="O12" t="s">
        <v>619</v>
      </c>
      <c r="P12" t="s">
        <v>138</v>
      </c>
      <c r="Q12" t="s">
        <v>620</v>
      </c>
      <c r="R12">
        <v>0</v>
      </c>
      <c r="S12" t="s">
        <v>621</v>
      </c>
      <c r="T12">
        <v>1931388</v>
      </c>
      <c r="U12">
        <v>13</v>
      </c>
      <c r="V12">
        <v>500</v>
      </c>
      <c r="X12" s="198">
        <v>43787</v>
      </c>
      <c r="Y12">
        <v>9</v>
      </c>
      <c r="Z12">
        <v>11.111111111111111</v>
      </c>
    </row>
    <row r="13" spans="1:26">
      <c r="A13" t="s">
        <v>622</v>
      </c>
      <c r="B13" s="198">
        <v>43787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43789</v>
      </c>
      <c r="K13" s="198">
        <v>43790</v>
      </c>
      <c r="L13" t="s">
        <v>189</v>
      </c>
      <c r="M13" s="198">
        <v>43795</v>
      </c>
      <c r="N13">
        <v>0.29019675925925925</v>
      </c>
      <c r="O13">
        <v>7664</v>
      </c>
      <c r="P13" t="s">
        <v>138</v>
      </c>
      <c r="Q13" t="s">
        <v>623</v>
      </c>
      <c r="R13">
        <v>0</v>
      </c>
      <c r="S13" t="s">
        <v>624</v>
      </c>
      <c r="T13">
        <v>1931394</v>
      </c>
      <c r="U13">
        <v>13</v>
      </c>
      <c r="V13">
        <v>45</v>
      </c>
      <c r="X13" s="198">
        <v>43787</v>
      </c>
      <c r="Y13">
        <v>9</v>
      </c>
      <c r="Z13">
        <v>0.7142857142857143</v>
      </c>
    </row>
    <row r="14" spans="1:26">
      <c r="A14" t="s">
        <v>625</v>
      </c>
      <c r="B14" s="198">
        <v>43787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43789</v>
      </c>
      <c r="K14" s="198">
        <v>43790</v>
      </c>
      <c r="L14" t="s">
        <v>189</v>
      </c>
      <c r="M14" s="198">
        <v>43795</v>
      </c>
      <c r="N14">
        <v>0.41467592592592589</v>
      </c>
      <c r="O14">
        <v>3398</v>
      </c>
      <c r="P14" t="s">
        <v>138</v>
      </c>
      <c r="Q14" t="s">
        <v>349</v>
      </c>
      <c r="R14">
        <v>0</v>
      </c>
      <c r="S14" t="s">
        <v>364</v>
      </c>
      <c r="T14">
        <v>1931405</v>
      </c>
      <c r="U14">
        <v>13</v>
      </c>
      <c r="V14">
        <v>20</v>
      </c>
      <c r="X14" s="198">
        <v>43787</v>
      </c>
      <c r="Y14">
        <v>10</v>
      </c>
      <c r="Z14">
        <v>0.44444444444444442</v>
      </c>
    </row>
    <row r="15" spans="1:26">
      <c r="A15" t="s">
        <v>626</v>
      </c>
      <c r="B15" s="198">
        <v>43781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43789</v>
      </c>
      <c r="K15" s="198">
        <v>43790</v>
      </c>
      <c r="L15" t="s">
        <v>188</v>
      </c>
      <c r="M15" s="198">
        <v>43795</v>
      </c>
      <c r="N15">
        <v>0.56467592592592586</v>
      </c>
      <c r="O15">
        <v>7385</v>
      </c>
      <c r="P15" t="s">
        <v>138</v>
      </c>
      <c r="Q15" t="s">
        <v>627</v>
      </c>
      <c r="R15">
        <v>0</v>
      </c>
      <c r="S15" t="s">
        <v>628</v>
      </c>
      <c r="T15">
        <v>1931424</v>
      </c>
      <c r="U15">
        <v>3</v>
      </c>
      <c r="V15">
        <v>25</v>
      </c>
      <c r="X15" s="198">
        <v>43791</v>
      </c>
      <c r="Y15">
        <v>10</v>
      </c>
      <c r="Z15">
        <v>0.26041666666666669</v>
      </c>
    </row>
    <row r="16" spans="1:26">
      <c r="A16" t="s">
        <v>629</v>
      </c>
      <c r="B16" s="198">
        <v>43788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43789</v>
      </c>
      <c r="K16" s="198">
        <v>43790</v>
      </c>
      <c r="L16" t="s">
        <v>188</v>
      </c>
      <c r="M16" s="198">
        <v>43795</v>
      </c>
      <c r="N16">
        <v>0.73525462962962962</v>
      </c>
      <c r="O16" t="s">
        <v>630</v>
      </c>
      <c r="P16" t="s">
        <v>138</v>
      </c>
      <c r="Q16" t="s">
        <v>363</v>
      </c>
      <c r="R16">
        <v>0</v>
      </c>
      <c r="S16" t="s">
        <v>631</v>
      </c>
      <c r="T16">
        <v>1931426</v>
      </c>
      <c r="U16">
        <v>3</v>
      </c>
      <c r="V16">
        <v>20</v>
      </c>
      <c r="X16" s="198">
        <v>43791</v>
      </c>
      <c r="Y16">
        <v>8</v>
      </c>
      <c r="Z16">
        <v>0.31746031746031744</v>
      </c>
    </row>
    <row r="17" spans="1:26">
      <c r="A17" t="s">
        <v>632</v>
      </c>
      <c r="B17" s="198">
        <v>43788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43789</v>
      </c>
      <c r="K17" s="198">
        <v>43790</v>
      </c>
      <c r="L17" t="s">
        <v>188</v>
      </c>
      <c r="M17" s="198">
        <v>43795</v>
      </c>
      <c r="N17">
        <v>0.78733796296296299</v>
      </c>
      <c r="O17" t="s">
        <v>633</v>
      </c>
      <c r="P17" t="s">
        <v>138</v>
      </c>
      <c r="Q17" t="s">
        <v>634</v>
      </c>
      <c r="R17">
        <v>0</v>
      </c>
      <c r="S17" t="s">
        <v>635</v>
      </c>
      <c r="T17">
        <v>1931380</v>
      </c>
      <c r="U17">
        <v>3</v>
      </c>
      <c r="V17">
        <v>12</v>
      </c>
      <c r="W17" t="s">
        <v>636</v>
      </c>
      <c r="X17" s="198">
        <v>43754</v>
      </c>
      <c r="Y17">
        <v>13</v>
      </c>
      <c r="Z17">
        <v>0.26666666666666666</v>
      </c>
    </row>
    <row r="18" spans="1:26">
      <c r="A18" t="s">
        <v>637</v>
      </c>
      <c r="B18" s="198">
        <v>43783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43788</v>
      </c>
      <c r="K18" s="198">
        <v>43789</v>
      </c>
      <c r="L18" t="s">
        <v>188</v>
      </c>
      <c r="M18" s="198">
        <v>43794</v>
      </c>
      <c r="N18">
        <v>0.29341435185185188</v>
      </c>
      <c r="O18" t="s">
        <v>638</v>
      </c>
      <c r="P18" t="s">
        <v>394</v>
      </c>
      <c r="Q18" t="s">
        <v>532</v>
      </c>
      <c r="S18" t="s">
        <v>639</v>
      </c>
      <c r="T18" t="s">
        <v>640</v>
      </c>
      <c r="U18" t="s">
        <v>303</v>
      </c>
      <c r="V18">
        <v>450</v>
      </c>
      <c r="W18" t="s">
        <v>325</v>
      </c>
      <c r="X18" s="308">
        <v>43801.330520833333</v>
      </c>
      <c r="Y18">
        <v>9</v>
      </c>
    </row>
    <row r="19" spans="1:26">
      <c r="A19" t="s">
        <v>299</v>
      </c>
      <c r="B19" s="198">
        <v>43788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43788</v>
      </c>
      <c r="K19" s="198">
        <v>43789</v>
      </c>
      <c r="L19" t="s">
        <v>189</v>
      </c>
      <c r="M19" s="198">
        <v>43794</v>
      </c>
      <c r="N19">
        <v>0.69103009259259263</v>
      </c>
      <c r="O19" t="s">
        <v>591</v>
      </c>
      <c r="P19" t="s">
        <v>433</v>
      </c>
      <c r="Q19" t="s">
        <v>592</v>
      </c>
      <c r="R19">
        <v>6.5</v>
      </c>
      <c r="S19" t="s">
        <v>593</v>
      </c>
      <c r="T19">
        <v>1950094</v>
      </c>
      <c r="U19" t="s">
        <v>303</v>
      </c>
      <c r="V19">
        <v>2700</v>
      </c>
      <c r="X19" s="198">
        <v>43810</v>
      </c>
      <c r="Y19">
        <v>3</v>
      </c>
    </row>
    <row r="20" spans="1:26">
      <c r="A20" t="s">
        <v>299</v>
      </c>
      <c r="B20" s="198">
        <v>43790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43789</v>
      </c>
      <c r="K20" s="198">
        <v>43790</v>
      </c>
      <c r="L20" t="s">
        <v>188</v>
      </c>
      <c r="M20" s="198">
        <v>43795</v>
      </c>
      <c r="N20">
        <v>0.32019675925925922</v>
      </c>
      <c r="O20" t="s">
        <v>432</v>
      </c>
      <c r="P20" t="s">
        <v>433</v>
      </c>
      <c r="Q20" t="s">
        <v>434</v>
      </c>
      <c r="R20">
        <v>6.9</v>
      </c>
      <c r="S20" t="s">
        <v>435</v>
      </c>
      <c r="T20">
        <v>1950095</v>
      </c>
      <c r="U20" t="s">
        <v>303</v>
      </c>
      <c r="V20">
        <v>10000</v>
      </c>
      <c r="X20" s="198">
        <v>43802</v>
      </c>
      <c r="Y20">
        <v>3</v>
      </c>
      <c r="Z20">
        <v>6.4935064935064934</v>
      </c>
    </row>
    <row r="21" spans="1:26">
      <c r="A21" t="s">
        <v>641</v>
      </c>
      <c r="B21" s="198">
        <v>43788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43788</v>
      </c>
      <c r="K21" s="198">
        <v>43789</v>
      </c>
      <c r="L21" t="s">
        <v>188</v>
      </c>
      <c r="M21" s="198">
        <v>43794</v>
      </c>
      <c r="N21">
        <v>0.27827546296296296</v>
      </c>
      <c r="O21">
        <v>2815</v>
      </c>
      <c r="P21" t="s">
        <v>136</v>
      </c>
      <c r="Q21" t="s">
        <v>437</v>
      </c>
      <c r="R21">
        <v>8.5</v>
      </c>
      <c r="S21" t="s">
        <v>642</v>
      </c>
      <c r="T21">
        <v>1910406</v>
      </c>
      <c r="U21">
        <v>13</v>
      </c>
      <c r="V21">
        <v>72</v>
      </c>
      <c r="X21" s="198">
        <v>43783</v>
      </c>
      <c r="Y21">
        <v>4</v>
      </c>
      <c r="Z21">
        <v>1.6</v>
      </c>
    </row>
    <row r="22" spans="1:26">
      <c r="A22" t="s">
        <v>643</v>
      </c>
      <c r="B22" s="198">
        <v>43773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J22" s="198">
        <v>43788</v>
      </c>
      <c r="K22" s="198">
        <v>43789</v>
      </c>
      <c r="L22" t="s">
        <v>188</v>
      </c>
      <c r="M22" s="198">
        <v>43794</v>
      </c>
      <c r="N22">
        <v>0.36863425925925924</v>
      </c>
      <c r="O22">
        <v>800</v>
      </c>
      <c r="P22" t="s">
        <v>136</v>
      </c>
      <c r="Q22" t="s">
        <v>437</v>
      </c>
      <c r="R22">
        <v>8.5</v>
      </c>
      <c r="S22" t="s">
        <v>644</v>
      </c>
      <c r="T22">
        <v>1910387</v>
      </c>
      <c r="U22">
        <v>3</v>
      </c>
      <c r="V22">
        <v>68</v>
      </c>
      <c r="W22" t="s">
        <v>645</v>
      </c>
      <c r="X22" s="198">
        <v>43810</v>
      </c>
      <c r="Y22">
        <v>5</v>
      </c>
      <c r="Z22">
        <v>1.4166666666666667</v>
      </c>
    </row>
    <row r="23" spans="1:26">
      <c r="A23" t="s">
        <v>646</v>
      </c>
      <c r="B23" s="198">
        <v>43788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>
        <v>75</v>
      </c>
      <c r="I23">
        <v>97</v>
      </c>
      <c r="J23" s="198">
        <v>43788</v>
      </c>
      <c r="K23" s="198">
        <v>43789</v>
      </c>
      <c r="L23" t="s">
        <v>189</v>
      </c>
      <c r="M23" s="198">
        <v>43794</v>
      </c>
      <c r="N23">
        <v>0.45285879629629627</v>
      </c>
      <c r="O23">
        <v>1443</v>
      </c>
      <c r="P23" t="s">
        <v>136</v>
      </c>
      <c r="Q23" t="s">
        <v>437</v>
      </c>
      <c r="R23">
        <v>8.5</v>
      </c>
      <c r="S23" t="s">
        <v>647</v>
      </c>
      <c r="T23">
        <v>1910410</v>
      </c>
      <c r="U23">
        <v>3</v>
      </c>
      <c r="V23">
        <v>96</v>
      </c>
      <c r="W23" t="s">
        <v>648</v>
      </c>
      <c r="X23" s="198">
        <v>43780</v>
      </c>
      <c r="Y23">
        <v>7</v>
      </c>
      <c r="Z23">
        <v>2</v>
      </c>
    </row>
    <row r="24" spans="1:26">
      <c r="A24" t="s">
        <v>442</v>
      </c>
      <c r="B24" s="198">
        <v>43783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J24" s="198">
        <v>43789</v>
      </c>
      <c r="K24" s="198">
        <v>43790</v>
      </c>
      <c r="L24" t="s">
        <v>189</v>
      </c>
      <c r="M24" s="198">
        <v>43794</v>
      </c>
      <c r="N24">
        <v>0.27619212962962963</v>
      </c>
      <c r="O24">
        <v>696</v>
      </c>
      <c r="P24" t="s">
        <v>141</v>
      </c>
      <c r="Q24" t="s">
        <v>443</v>
      </c>
      <c r="R24">
        <v>0</v>
      </c>
      <c r="S24" t="s">
        <v>444</v>
      </c>
      <c r="T24">
        <v>1940079</v>
      </c>
      <c r="U24">
        <v>1</v>
      </c>
      <c r="V24">
        <v>102</v>
      </c>
      <c r="X24" s="198">
        <v>43831</v>
      </c>
      <c r="Y24">
        <v>4</v>
      </c>
      <c r="Z24">
        <v>2.5499999999999998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2019-11-21T19:51:51Z</cp:lastPrinted>
  <dcterms:created xsi:type="dcterms:W3CDTF">2019-10-29T15:33:20Z</dcterms:created>
  <dcterms:modified xsi:type="dcterms:W3CDTF">2019-11-22T20:17:39Z</dcterms:modified>
</cp:coreProperties>
</file>