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h\Busse\flask-react\server\"/>
    </mc:Choice>
  </mc:AlternateContent>
  <xr:revisionPtr revIDLastSave="0" documentId="13_ncr:1_{9D977AFC-257E-4CAF-ADC4-70AFA07763D8}" xr6:coauthVersionLast="45" xr6:coauthVersionMax="45" xr10:uidLastSave="{00000000-0000-0000-0000-000000000000}"/>
  <bookViews>
    <workbookView xWindow="-120" yWindow="-120" windowWidth="38640" windowHeight="23640" activeTab="1" xr2:uid="{00000000-000D-0000-FFFF-FFFF00000000}"/>
  </bookViews>
  <sheets>
    <sheet name="09-54-03" sheetId="4" r:id="rId1"/>
    <sheet name="09-54-01 BIC" sheetId="3" r:id="rId2"/>
    <sheet name="09-54-02" sheetId="9" r:id="rId3"/>
    <sheet name="09-54-04 Non Sterile Tag" sheetId="1" r:id="rId4"/>
    <sheet name="09-54-05Pallet Tag Warehouse" sheetId="2" r:id="rId5"/>
    <sheet name="10-08-01" sheetId="5" r:id="rId6"/>
    <sheet name="10-08-02" sheetId="7" r:id="rId7"/>
    <sheet name="10-12-01" sheetId="8" r:id="rId8"/>
    <sheet name="100-01" sheetId="11" r:id="rId9"/>
    <sheet name="Schedule" sheetId="10" r:id="rId10"/>
    <sheet name="scratch" sheetId="1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DDSMP">#REF!</definedName>
    <definedName name="bic">'09-54-01 BIC'!$1:$1048576</definedName>
    <definedName name="CATM">[1]CAT!$1:$1048576</definedName>
    <definedName name="CLASS">'[2]Sterilization Method'!$A$1:$B$65536</definedName>
    <definedName name="complocrpt">[3]Complocrpt!$A:$F</definedName>
    <definedName name="Desc1">'[4]Cat Description'!$A$1:$F$2552</definedName>
    <definedName name="INSPLVL">#REF!</definedName>
    <definedName name="lot" localSheetId="5">[2]Lot!$A$1:$H$65536</definedName>
    <definedName name="lot">[5]Lot!$A:$H</definedName>
    <definedName name="matlpg1">[3]DATAPAGE!$A$3:$F$112</definedName>
    <definedName name="pagenumber">[3]DATAPAGE!$B$3:$G$197</definedName>
    <definedName name="pkg">#REF!</definedName>
    <definedName name="PKGIPIR">#REF!</definedName>
    <definedName name="pp">'[6]Parts Prep'!$A:$H</definedName>
    <definedName name="_xlnm.Print_Area" localSheetId="2">'09-54-02'!$A$1:$K$22</definedName>
    <definedName name="_xlnm.Print_Area" localSheetId="0">'09-54-03'!$A$1:$L$45</definedName>
    <definedName name="_xlnm.Print_Area" localSheetId="3">'09-54-04 Non Sterile Tag'!$A$1:$L$384</definedName>
    <definedName name="_xlnm.Print_Area" localSheetId="4">'09-54-05Pallet Tag Warehouse'!$A$1:$P$14</definedName>
    <definedName name="_xlnm.Print_Area" localSheetId="8">'100-01'!$A$1:$K$45</definedName>
    <definedName name="_xlnm.Print_Area" localSheetId="5">'10-08-01'!$B$1:$K$147</definedName>
    <definedName name="_xlnm.Print_Area" localSheetId="7">'10-12-01'!$A$1:$L$102</definedName>
    <definedName name="ProdLst">'[4]Product List'!$A$2:$B$423</definedName>
    <definedName name="sched" localSheetId="8">'[7]Parts Prep'!$A$1:$M$65536</definedName>
    <definedName name="sched">[8]Sched!$A$1:$IV$65536</definedName>
    <definedName name="SchedData1">#REF!</definedName>
    <definedName name="Verifycount">#REF!</definedName>
    <definedName name="Visual_Sample_Size">#REF!</definedName>
    <definedName name="wh">'[6]Request-WH'!$A:$F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5" i="3" l="1"/>
  <c r="M21" i="3"/>
  <c r="M17" i="3"/>
  <c r="M13" i="3"/>
  <c r="L25" i="3"/>
  <c r="L21" i="3"/>
  <c r="L17" i="3"/>
  <c r="L13" i="3"/>
  <c r="K25" i="3"/>
  <c r="K21" i="3"/>
  <c r="K17" i="3"/>
  <c r="K13" i="3"/>
  <c r="J25" i="3"/>
  <c r="J21" i="3"/>
  <c r="J17" i="3"/>
  <c r="J13" i="3"/>
  <c r="I25" i="3"/>
  <c r="I21" i="3"/>
  <c r="I17" i="3"/>
  <c r="I13" i="3"/>
  <c r="H25" i="3"/>
  <c r="H21" i="3"/>
  <c r="H17" i="3"/>
  <c r="H13" i="3"/>
  <c r="G25" i="3"/>
  <c r="G21" i="3"/>
  <c r="G17" i="3"/>
  <c r="G13" i="3"/>
  <c r="F25" i="3"/>
  <c r="F21" i="3"/>
  <c r="F17" i="3"/>
  <c r="F13" i="3"/>
  <c r="E25" i="3"/>
  <c r="E21" i="3"/>
  <c r="E17" i="3"/>
  <c r="E13" i="3"/>
  <c r="D25" i="3"/>
  <c r="D21" i="3"/>
  <c r="D17" i="3"/>
  <c r="D13" i="3"/>
  <c r="C25" i="3"/>
  <c r="C21" i="3"/>
  <c r="C17" i="3"/>
  <c r="C13" i="3"/>
  <c r="B25" i="3"/>
  <c r="B21" i="3"/>
  <c r="B17" i="3"/>
  <c r="B13" i="3"/>
  <c r="M23" i="3"/>
  <c r="M19" i="3"/>
  <c r="M15" i="3"/>
  <c r="M11" i="3"/>
  <c r="L23" i="3"/>
  <c r="L19" i="3"/>
  <c r="L15" i="3"/>
  <c r="L11" i="3"/>
  <c r="K23" i="3"/>
  <c r="K19" i="3"/>
  <c r="K15" i="3"/>
  <c r="K11" i="3"/>
  <c r="J23" i="3"/>
  <c r="J19" i="3"/>
  <c r="J15" i="3"/>
  <c r="J11" i="3"/>
  <c r="I23" i="3"/>
  <c r="I19" i="3"/>
  <c r="I15" i="3"/>
  <c r="I11" i="3"/>
  <c r="H23" i="3"/>
  <c r="H19" i="3"/>
  <c r="H15" i="3"/>
  <c r="H11" i="3"/>
  <c r="G23" i="3"/>
  <c r="G19" i="3"/>
  <c r="G15" i="3"/>
  <c r="G11" i="3"/>
  <c r="F23" i="3"/>
  <c r="F19" i="3"/>
  <c r="F15" i="3"/>
  <c r="F11" i="3"/>
  <c r="E23" i="3"/>
  <c r="E19" i="3"/>
  <c r="E15" i="3"/>
  <c r="E11" i="3"/>
  <c r="D23" i="3"/>
  <c r="D19" i="3"/>
  <c r="D15" i="3"/>
  <c r="D11" i="3"/>
  <c r="C23" i="3"/>
  <c r="C19" i="3"/>
  <c r="C15" i="3"/>
  <c r="C11" i="3"/>
  <c r="B23" i="3"/>
  <c r="B19" i="3"/>
  <c r="B15" i="3"/>
  <c r="B11" i="3"/>
  <c r="A95" i="8" l="1"/>
  <c r="A94" i="8"/>
  <c r="E94" i="8" s="1"/>
  <c r="A93" i="8"/>
  <c r="E93" i="8" s="1"/>
  <c r="A92" i="8"/>
  <c r="E92" i="8" s="1"/>
  <c r="A91" i="8"/>
  <c r="A90" i="8"/>
  <c r="E90" i="8" s="1"/>
  <c r="A89" i="8"/>
  <c r="E89" i="8" s="1"/>
  <c r="A88" i="8"/>
  <c r="A87" i="8"/>
  <c r="E87" i="8"/>
  <c r="A86" i="8"/>
  <c r="E86" i="8" s="1"/>
  <c r="E95" i="8"/>
  <c r="E91" i="8"/>
  <c r="C90" i="8"/>
  <c r="E88" i="8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C86" i="8" l="1"/>
  <c r="C89" i="8"/>
  <c r="C93" i="8"/>
  <c r="C94" i="8"/>
  <c r="C88" i="8"/>
  <c r="C92" i="8"/>
  <c r="C87" i="8"/>
  <c r="C91" i="8"/>
  <c r="C95" i="8"/>
  <c r="E54" i="5"/>
  <c r="E103" i="5"/>
  <c r="B116" i="5"/>
  <c r="A85" i="8" s="1"/>
  <c r="B115" i="5"/>
  <c r="A84" i="8" s="1"/>
  <c r="C84" i="8" s="1"/>
  <c r="B114" i="5"/>
  <c r="B113" i="5"/>
  <c r="B112" i="5"/>
  <c r="B111" i="5"/>
  <c r="B110" i="5"/>
  <c r="B109" i="5"/>
  <c r="B108" i="5"/>
  <c r="B107" i="5"/>
  <c r="J116" i="5"/>
  <c r="J115" i="5"/>
  <c r="J114" i="5"/>
  <c r="J113" i="5"/>
  <c r="J112" i="5"/>
  <c r="J111" i="5"/>
  <c r="J110" i="5"/>
  <c r="J109" i="5"/>
  <c r="J108" i="5"/>
  <c r="J107" i="5"/>
  <c r="H67" i="5"/>
  <c r="H66" i="5"/>
  <c r="A60" i="8" s="1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A47" i="8" s="1"/>
  <c r="B62" i="5"/>
  <c r="B61" i="5"/>
  <c r="B60" i="5"/>
  <c r="B59" i="5"/>
  <c r="B58" i="5"/>
  <c r="J5" i="5"/>
  <c r="J54" i="5" s="1"/>
  <c r="J66" i="5"/>
  <c r="E63" i="5"/>
  <c r="E115" i="5" l="1"/>
  <c r="E84" i="8"/>
  <c r="E85" i="8"/>
  <c r="C85" i="8"/>
  <c r="E116" i="5"/>
  <c r="E59" i="5"/>
  <c r="A43" i="8"/>
  <c r="C47" i="8"/>
  <c r="E47" i="8"/>
  <c r="E67" i="5"/>
  <c r="A51" i="8"/>
  <c r="J61" i="5"/>
  <c r="A55" i="8"/>
  <c r="J65" i="5"/>
  <c r="A59" i="8"/>
  <c r="E108" i="5"/>
  <c r="A77" i="8"/>
  <c r="E112" i="5"/>
  <c r="A81" i="8"/>
  <c r="E60" i="5"/>
  <c r="A44" i="8"/>
  <c r="E64" i="5"/>
  <c r="A48" i="8"/>
  <c r="J58" i="5"/>
  <c r="A52" i="8"/>
  <c r="J62" i="5"/>
  <c r="A56" i="8"/>
  <c r="C60" i="8"/>
  <c r="E60" i="8"/>
  <c r="E109" i="5"/>
  <c r="A78" i="8"/>
  <c r="E113" i="5"/>
  <c r="A82" i="8"/>
  <c r="E61" i="5"/>
  <c r="A45" i="8"/>
  <c r="E65" i="5"/>
  <c r="A49" i="8"/>
  <c r="J59" i="5"/>
  <c r="A53" i="8"/>
  <c r="J63" i="5"/>
  <c r="A57" i="8"/>
  <c r="J67" i="5"/>
  <c r="A61" i="8"/>
  <c r="E110" i="5"/>
  <c r="A79" i="8"/>
  <c r="E114" i="5"/>
  <c r="A83" i="8"/>
  <c r="E58" i="5"/>
  <c r="A42" i="8"/>
  <c r="E62" i="5"/>
  <c r="A46" i="8"/>
  <c r="E66" i="5"/>
  <c r="A50" i="8"/>
  <c r="J60" i="5"/>
  <c r="A54" i="8"/>
  <c r="J64" i="5"/>
  <c r="A58" i="8"/>
  <c r="E107" i="5"/>
  <c r="A76" i="8"/>
  <c r="E111" i="5"/>
  <c r="A8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F371" i="1"/>
  <c r="F368" i="1"/>
  <c r="F365" i="1"/>
  <c r="F362" i="1"/>
  <c r="F339" i="1"/>
  <c r="F336" i="1"/>
  <c r="F333" i="1"/>
  <c r="F330" i="1"/>
  <c r="F307" i="1"/>
  <c r="F304" i="1"/>
  <c r="F301" i="1"/>
  <c r="F298" i="1"/>
  <c r="F275" i="1"/>
  <c r="F272" i="1"/>
  <c r="F269" i="1"/>
  <c r="F266" i="1"/>
  <c r="F243" i="1"/>
  <c r="F240" i="1"/>
  <c r="F237" i="1"/>
  <c r="F234" i="1"/>
  <c r="F211" i="1"/>
  <c r="F208" i="1"/>
  <c r="F205" i="1"/>
  <c r="F202" i="1"/>
  <c r="F179" i="1"/>
  <c r="F176" i="1"/>
  <c r="F173" i="1"/>
  <c r="F170" i="1"/>
  <c r="F147" i="1"/>
  <c r="F144" i="1"/>
  <c r="F141" i="1"/>
  <c r="F138" i="1"/>
  <c r="F106" i="1"/>
  <c r="F109" i="1"/>
  <c r="F112" i="1"/>
  <c r="F115" i="1"/>
  <c r="F83" i="1"/>
  <c r="F80" i="1"/>
  <c r="F77" i="1"/>
  <c r="F74" i="1"/>
  <c r="F51" i="1"/>
  <c r="F48" i="1"/>
  <c r="F45" i="1"/>
  <c r="F42" i="1"/>
  <c r="F19" i="1"/>
  <c r="F16" i="1"/>
  <c r="F13" i="1"/>
  <c r="F10" i="1"/>
  <c r="C13" i="11" l="1"/>
  <c r="E13" i="11" s="1"/>
  <c r="C9" i="11"/>
  <c r="C7" i="11"/>
  <c r="C22" i="11" l="1"/>
  <c r="J26" i="1" l="1"/>
  <c r="J371" i="1" l="1"/>
  <c r="J368" i="1"/>
  <c r="J365" i="1"/>
  <c r="J362" i="1"/>
  <c r="J339" i="1"/>
  <c r="J336" i="1"/>
  <c r="J333" i="1"/>
  <c r="J330" i="1"/>
  <c r="J307" i="1"/>
  <c r="J304" i="1"/>
  <c r="J301" i="1"/>
  <c r="J298" i="1"/>
  <c r="J275" i="1"/>
  <c r="J272" i="1"/>
  <c r="J269" i="1"/>
  <c r="J266" i="1"/>
  <c r="J243" i="1"/>
  <c r="J240" i="1"/>
  <c r="J237" i="1"/>
  <c r="J234" i="1"/>
  <c r="J211" i="1"/>
  <c r="J208" i="1"/>
  <c r="J205" i="1"/>
  <c r="J202" i="1"/>
  <c r="J179" i="1"/>
  <c r="J176" i="1"/>
  <c r="J173" i="1"/>
  <c r="J170" i="1"/>
  <c r="J147" i="1"/>
  <c r="J144" i="1"/>
  <c r="J141" i="1"/>
  <c r="J138" i="1"/>
  <c r="J115" i="1"/>
  <c r="J112" i="1"/>
  <c r="J109" i="1"/>
  <c r="J106" i="1"/>
  <c r="J83" i="1"/>
  <c r="J80" i="1"/>
  <c r="J77" i="1"/>
  <c r="J74" i="1"/>
  <c r="J51" i="1"/>
  <c r="J48" i="1"/>
  <c r="J45" i="1"/>
  <c r="J42" i="1"/>
  <c r="J19" i="1"/>
  <c r="J16" i="1"/>
  <c r="J13" i="1"/>
  <c r="J10" i="1"/>
  <c r="C371" i="1"/>
  <c r="C368" i="1"/>
  <c r="C365" i="1"/>
  <c r="C362" i="1"/>
  <c r="C339" i="1"/>
  <c r="C336" i="1"/>
  <c r="C333" i="1"/>
  <c r="C330" i="1"/>
  <c r="C307" i="1"/>
  <c r="C304" i="1"/>
  <c r="C301" i="1"/>
  <c r="C298" i="1"/>
  <c r="C275" i="1"/>
  <c r="C272" i="1"/>
  <c r="C269" i="1"/>
  <c r="C266" i="1"/>
  <c r="C243" i="1"/>
  <c r="C240" i="1"/>
  <c r="C237" i="1"/>
  <c r="C234" i="1"/>
  <c r="C211" i="1"/>
  <c r="C208" i="1"/>
  <c r="C205" i="1"/>
  <c r="C202" i="1"/>
  <c r="C179" i="1"/>
  <c r="C176" i="1"/>
  <c r="C173" i="1"/>
  <c r="C170" i="1"/>
  <c r="C147" i="1"/>
  <c r="C144" i="1"/>
  <c r="C141" i="1"/>
  <c r="C138" i="1"/>
  <c r="C115" i="1"/>
  <c r="C112" i="1"/>
  <c r="C109" i="1"/>
  <c r="C106" i="1"/>
  <c r="C83" i="1"/>
  <c r="C80" i="1"/>
  <c r="C77" i="1"/>
  <c r="C74" i="1"/>
  <c r="C51" i="1"/>
  <c r="C48" i="1"/>
  <c r="C45" i="1"/>
  <c r="C42" i="1"/>
  <c r="C19" i="1"/>
  <c r="C16" i="1"/>
  <c r="C13" i="1"/>
  <c r="C10" i="1"/>
  <c r="H2" i="2" l="1"/>
  <c r="H6" i="2"/>
  <c r="H18" i="5" l="1"/>
  <c r="H17" i="5"/>
  <c r="H16" i="5"/>
  <c r="H15" i="5"/>
  <c r="H14" i="5"/>
  <c r="H13" i="5"/>
  <c r="A22" i="8" s="1"/>
  <c r="H12" i="5"/>
  <c r="H11" i="5"/>
  <c r="H10" i="5"/>
  <c r="H9" i="5"/>
  <c r="B18" i="5"/>
  <c r="B17" i="5"/>
  <c r="B16" i="5"/>
  <c r="A15" i="8" s="1"/>
  <c r="B15" i="5"/>
  <c r="B14" i="5"/>
  <c r="B13" i="5"/>
  <c r="B12" i="5"/>
  <c r="B11" i="5"/>
  <c r="A10" i="8" s="1"/>
  <c r="B10" i="5"/>
  <c r="B9" i="5"/>
  <c r="O8" i="5"/>
  <c r="O11" i="5"/>
  <c r="O10" i="5"/>
  <c r="O9" i="5"/>
  <c r="O52" i="5"/>
  <c r="O55" i="5"/>
  <c r="O54" i="5"/>
  <c r="O53" i="5"/>
  <c r="O48" i="5"/>
  <c r="O51" i="5"/>
  <c r="O50" i="5"/>
  <c r="O49" i="5"/>
  <c r="O44" i="5"/>
  <c r="O47" i="5"/>
  <c r="O46" i="5"/>
  <c r="O45" i="5"/>
  <c r="O40" i="5"/>
  <c r="O43" i="5"/>
  <c r="O42" i="5"/>
  <c r="O41" i="5"/>
  <c r="O36" i="5"/>
  <c r="O39" i="5"/>
  <c r="O38" i="5"/>
  <c r="O37" i="5"/>
  <c r="O32" i="5"/>
  <c r="O35" i="5"/>
  <c r="O34" i="5"/>
  <c r="O33" i="5"/>
  <c r="O28" i="5"/>
  <c r="O31" i="5"/>
  <c r="O30" i="5"/>
  <c r="O29" i="5"/>
  <c r="O24" i="5"/>
  <c r="O27" i="5"/>
  <c r="O26" i="5"/>
  <c r="O25" i="5"/>
  <c r="O20" i="5"/>
  <c r="O23" i="5"/>
  <c r="O22" i="5"/>
  <c r="O21" i="5"/>
  <c r="O16" i="5"/>
  <c r="O19" i="5"/>
  <c r="O18" i="5"/>
  <c r="O17" i="5"/>
  <c r="O15" i="5"/>
  <c r="O14" i="5"/>
  <c r="O13" i="5"/>
  <c r="O12" i="5"/>
  <c r="H358" i="1"/>
  <c r="H326" i="1"/>
  <c r="H294" i="1"/>
  <c r="J314" i="1"/>
  <c r="J346" i="1"/>
  <c r="J378" i="1"/>
  <c r="J282" i="1"/>
  <c r="H262" i="1"/>
  <c r="J250" i="1"/>
  <c r="H230" i="1"/>
  <c r="J218" i="1"/>
  <c r="H198" i="1"/>
  <c r="J186" i="1"/>
  <c r="H166" i="1"/>
  <c r="J154" i="1"/>
  <c r="J122" i="1"/>
  <c r="H134" i="1"/>
  <c r="H102" i="1"/>
  <c r="H70" i="1"/>
  <c r="H38" i="1"/>
  <c r="J90" i="1"/>
  <c r="J58" i="1"/>
  <c r="G61" i="1"/>
  <c r="G93" i="1" s="1"/>
  <c r="G125" i="1" s="1"/>
  <c r="G157" i="1" s="1"/>
  <c r="G189" i="1" s="1"/>
  <c r="G221" i="1" s="1"/>
  <c r="G253" i="1" s="1"/>
  <c r="G285" i="1" s="1"/>
  <c r="G317" i="1" s="1"/>
  <c r="G349" i="1" s="1"/>
  <c r="G381" i="1" s="1"/>
  <c r="J18" i="5" l="1"/>
  <c r="A27" i="8"/>
  <c r="J17" i="5"/>
  <c r="A26" i="8"/>
  <c r="J16" i="5"/>
  <c r="A25" i="8"/>
  <c r="J15" i="5"/>
  <c r="A24" i="8"/>
  <c r="J14" i="5"/>
  <c r="A23" i="8"/>
  <c r="E22" i="8"/>
  <c r="C22" i="8"/>
  <c r="J13" i="5"/>
  <c r="J12" i="5"/>
  <c r="A21" i="8"/>
  <c r="J11" i="5"/>
  <c r="A20" i="8"/>
  <c r="J10" i="5"/>
  <c r="A19" i="8"/>
  <c r="J9" i="5"/>
  <c r="A18" i="8"/>
  <c r="E18" i="5"/>
  <c r="A17" i="8"/>
  <c r="E17" i="5"/>
  <c r="A16" i="8"/>
  <c r="E16" i="5"/>
  <c r="C15" i="8"/>
  <c r="E15" i="8"/>
  <c r="E15" i="5"/>
  <c r="A14" i="8"/>
  <c r="E14" i="5"/>
  <c r="A13" i="8"/>
  <c r="E13" i="5"/>
  <c r="A12" i="8"/>
  <c r="E12" i="5"/>
  <c r="A11" i="8"/>
  <c r="E11" i="5"/>
  <c r="C10" i="8"/>
  <c r="E10" i="8"/>
  <c r="E10" i="5"/>
  <c r="A9" i="8"/>
  <c r="E9" i="5"/>
  <c r="A8" i="8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  <c r="E8" i="8"/>
  <c r="C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J2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<sst xmlns="http://schemas.openxmlformats.org/spreadsheetml/2006/main" count="2317" uniqueCount="596">
  <si>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</si>
  <si>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</si>
  <si>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</si>
  <si>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</si>
  <si>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</si>
  <si>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</si>
  <si>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</si>
  <si>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</si>
  <si>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</si>
  <si>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</si>
  <si>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</si>
  <si>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</si>
  <si>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</si>
  <si>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016024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</si>
  <si>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</si>
  <si>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</si>
  <si>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</si>
  <si>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</si>
  <si>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r>
      <t>DCO # 016024</t>
    </r>
    <r>
      <rPr>
        <i/>
        <sz val="10"/>
        <rFont val="Tahoma"/>
        <family val="2"/>
      </rPr>
      <t xml:space="preserve">                                                                                                                                      </t>
    </r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</si>
  <si>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</si>
  <si>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</si>
  <si>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</si>
  <si>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</si>
  <si>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</si>
  <si>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</si>
  <si>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</si>
  <si>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</si>
  <si>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</si>
  <si>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</si>
  <si>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</si>
  <si>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</si>
  <si>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</si>
  <si>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</si>
  <si>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</si>
  <si>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</si>
  <si>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DCO # 016024</t>
  </si>
  <si>
    <t>Form # 09-54-01</t>
  </si>
  <si>
    <t>Purchase Order #: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</si>
  <si>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</si>
  <si>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</si>
  <si>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</si>
  <si>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</si>
  <si>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</si>
  <si>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</si>
  <si>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</si>
  <si>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</si>
  <si>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</si>
  <si>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</si>
  <si>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</si>
  <si>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</si>
  <si>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Bill Of Lading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</si>
  <si>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</si>
  <si>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</si>
  <si>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</si>
  <si>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</si>
  <si>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</si>
  <si>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</si>
  <si>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</si>
  <si>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</si>
  <si>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</si>
  <si>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</si>
  <si>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</si>
  <si>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</si>
  <si>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</si>
  <si>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</si>
  <si>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</si>
  <si>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</si>
  <si>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</si>
  <si>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</si>
  <si>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</si>
  <si>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</si>
  <si>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</si>
  <si>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</si>
  <si>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</si>
  <si>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</si>
  <si>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</si>
  <si>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</si>
  <si>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</si>
  <si>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</si>
  <si>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</si>
  <si>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</si>
  <si>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</si>
  <si>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</si>
  <si>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</si>
  <si>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</si>
  <si>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</si>
  <si>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</si>
  <si>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</si>
  <si>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</si>
  <si>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</si>
  <si>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</si>
  <si>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</si>
  <si>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</si>
  <si>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</si>
  <si>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</si>
  <si>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</si>
  <si>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</si>
  <si>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</si>
  <si>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</si>
  <si>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</si>
  <si>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</si>
  <si>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</si>
  <si>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</si>
  <si>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</si>
  <si>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</si>
  <si>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</si>
  <si>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</si>
  <si>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</si>
  <si>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 xml:space="preserve"> DOCUMENTATION CHECKLIST </t>
  </si>
  <si>
    <t>COMPLETE &amp; 
ACCURATE
(Y or N)</t>
  </si>
  <si>
    <t xml:space="preserve"> DISCREPANCY/DOCUMENTATION ERRORS
 </t>
  </si>
  <si>
    <t>REVIEWED 
BY</t>
  </si>
  <si>
    <t>DATE</t>
  </si>
  <si>
    <t>DATE
DISCREPANCY
WAS CORRECTED</t>
  </si>
  <si>
    <t>FINAL REVIEW/
RELEASED BY</t>
  </si>
  <si>
    <t>Packaging Department Section</t>
  </si>
  <si>
    <r>
      <rPr>
        <b/>
        <u/>
        <sz val="11"/>
        <rFont val="Tahoma"/>
        <family val="2"/>
      </rPr>
      <t>Device History Record Form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Approved Emails, Memos</t>
    </r>
    <r>
      <rPr>
        <b/>
        <sz val="9"/>
        <rFont val="Tahoma"/>
        <family val="2"/>
      </rPr>
      <t xml:space="preserve">
</t>
    </r>
    <r>
      <rPr>
        <b/>
        <sz val="9"/>
        <rFont val="Wingdings"/>
        <charset val="2"/>
      </rPr>
      <t/>
    </r>
  </si>
  <si>
    <r>
      <rPr>
        <b/>
        <u/>
        <sz val="11"/>
        <rFont val="Tahoma"/>
        <family val="2"/>
      </rPr>
      <t>Label Control Form</t>
    </r>
    <r>
      <rPr>
        <b/>
        <sz val="12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LCF Request(s)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Label printed</t>
    </r>
  </si>
  <si>
    <r>
      <rPr>
        <b/>
        <u/>
        <sz val="11"/>
        <rFont val="Tahoma"/>
        <family val="2"/>
      </rPr>
      <t>Production Reports</t>
    </r>
    <r>
      <rPr>
        <sz val="6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Drop Tag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Component Requisition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Parts Preparation Department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Packaging Production and Pack off Report 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Hand Labor Production Report (If applicable)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Product Verification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b/>
        <sz val="9"/>
        <rFont val="Tahoma"/>
        <family val="2"/>
      </rPr>
      <t xml:space="preserve"> </t>
    </r>
    <r>
      <rPr>
        <sz val="9"/>
        <rFont val="Tahoma"/>
        <family val="2"/>
      </rPr>
      <t>Miscellaneous</t>
    </r>
  </si>
  <si>
    <t>Quality Section</t>
  </si>
  <si>
    <r>
      <rPr>
        <b/>
        <u/>
        <sz val="11"/>
        <rFont val="Tahoma"/>
        <family val="2"/>
      </rPr>
      <t>In-Process Inspection Reports</t>
    </r>
    <r>
      <rPr>
        <b/>
        <u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Parts Prep Inspection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Reports of Testing performed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packages/labels (If applicable)</t>
    </r>
  </si>
  <si>
    <r>
      <rPr>
        <b/>
        <u/>
        <sz val="11"/>
        <rFont val="Tahoma"/>
        <family val="2"/>
      </rPr>
      <t>Inspection Data Sheet</t>
    </r>
    <r>
      <rPr>
        <sz val="14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Hold (If Applicable)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Rejection (If Applicable)</t>
    </r>
  </si>
  <si>
    <t>Sterilization records for this lot are located in Sterilization Record for P.O.# :____________________</t>
  </si>
  <si>
    <t xml:space="preserve">These records have been reviewed and are acceptable.  </t>
  </si>
  <si>
    <t>The above lot is released for distribution.</t>
  </si>
  <si>
    <t>DCO #019924</t>
  </si>
  <si>
    <t xml:space="preserve">Form# 10-08-02  </t>
  </si>
  <si>
    <t>Review By Stamp:</t>
  </si>
  <si>
    <t>Lot#:_________________</t>
  </si>
  <si>
    <t>Cat#:_________________</t>
  </si>
  <si>
    <t>Qty#:_________________</t>
  </si>
  <si>
    <t>DEVICE HISTORY RECORD REVIEW AND FINAL RELEASE</t>
  </si>
  <si>
    <t>Machine (circle one):</t>
  </si>
  <si>
    <t>DV1</t>
  </si>
  <si>
    <t>DV2</t>
  </si>
  <si>
    <t>DV3</t>
  </si>
  <si>
    <t>KOCH</t>
  </si>
  <si>
    <t>MULTIVAC</t>
  </si>
  <si>
    <t>CNV1</t>
  </si>
  <si>
    <t>CNV2</t>
  </si>
  <si>
    <t>AMOTEK</t>
  </si>
  <si>
    <t>CIRCLE</t>
  </si>
  <si>
    <t>FDA Classification :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</si>
  <si>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</si>
  <si>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</si>
  <si>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</si>
  <si>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</si>
  <si>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</si>
  <si>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</si>
  <si>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</si>
  <si>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</si>
  <si>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</si>
  <si>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</si>
  <si>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</si>
  <si>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</si>
  <si>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</si>
  <si>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</si>
  <si>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</si>
  <si>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</si>
  <si>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</si>
  <si>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</si>
  <si>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</si>
  <si>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</si>
  <si>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</si>
  <si>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</si>
  <si>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</si>
  <si>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</si>
  <si>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</si>
  <si>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</si>
  <si>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</si>
  <si>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</si>
  <si>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</si>
  <si>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</si>
  <si>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</si>
  <si>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</si>
  <si>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</si>
  <si>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</si>
  <si>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</si>
  <si>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</si>
  <si>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</si>
  <si>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</si>
  <si>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</si>
  <si>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</si>
  <si>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</si>
  <si>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</si>
  <si>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</si>
  <si>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</si>
  <si>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</si>
  <si>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</si>
  <si>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</si>
  <si>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</si>
  <si>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X^008^58^68^901^56</t>
  </si>
  <si>
    <t>In Process</t>
  </si>
  <si>
    <t>Refer to Pallet Tag / DHR</t>
  </si>
  <si>
    <t>Completed</t>
  </si>
  <si>
    <t>E123456</t>
  </si>
  <si>
    <t>EO 1</t>
  </si>
  <si>
    <t>EO 3</t>
  </si>
  <si>
    <t>E.BEAM</t>
  </si>
  <si>
    <t xml:space="preserve">       INSPECTION DATA SHEET</t>
  </si>
  <si>
    <t>QUALITY INSPECTOR:</t>
  </si>
  <si>
    <t>CATALOG NUMBER:</t>
  </si>
  <si>
    <t>LOT NUMBER:</t>
  </si>
  <si>
    <t>DESCRIPTION:</t>
  </si>
  <si>
    <t>PO NUMBER:</t>
  </si>
  <si>
    <t xml:space="preserve">         QUANTITY VERIFICATION</t>
  </si>
  <si>
    <t>Qty Produced:</t>
  </si>
  <si>
    <t>Qty Sent to Sterilizer:</t>
  </si>
  <si>
    <t>Qty Received:</t>
  </si>
  <si>
    <t>Difference:</t>
  </si>
  <si>
    <t xml:space="preserve">                CASE DAMAGE</t>
  </si>
  <si>
    <t>Qty Repacked:</t>
  </si>
  <si>
    <t>Qty Scrapped:</t>
  </si>
  <si>
    <t xml:space="preserve">            INSPECTION RESULTS</t>
  </si>
  <si>
    <t>SHIPPER CARTON n=</t>
  </si>
  <si>
    <t>Damaged</t>
  </si>
  <si>
    <t xml:space="preserve">        Defect Description</t>
  </si>
  <si>
    <t>n=</t>
  </si>
  <si>
    <t xml:space="preserve">                Other</t>
  </si>
  <si>
    <t>DISPENSER CARTON: n=</t>
  </si>
  <si>
    <t>UNIT: n=80 units</t>
  </si>
  <si>
    <t>Defect Totals</t>
  </si>
  <si>
    <t>Critical</t>
  </si>
  <si>
    <t xml:space="preserve">Major </t>
  </si>
  <si>
    <t>Minor</t>
  </si>
  <si>
    <t>QTY ACCEPTED:</t>
  </si>
  <si>
    <t>QTY REJECTED:</t>
  </si>
  <si>
    <t xml:space="preserve">                 QTY SCRAPPED:</t>
  </si>
  <si>
    <r>
      <t>COMMENTS</t>
    </r>
    <r>
      <rPr>
        <shadow/>
        <sz val="11"/>
        <rFont val="Arial Narrow"/>
        <family val="2"/>
      </rPr>
      <t>:</t>
    </r>
    <r>
      <rPr>
        <sz val="11"/>
        <rFont val="Arial Narrow"/>
        <family val="2"/>
      </rPr>
      <t/>
    </r>
  </si>
  <si>
    <t>DCO # 003532</t>
  </si>
  <si>
    <t>Form #  100-01</t>
  </si>
  <si>
    <t>N/A</t>
  </si>
  <si>
    <r>
      <t>BI</t>
    </r>
    <r>
      <rPr>
        <b/>
        <sz val="8"/>
        <rFont val="Tahoma"/>
        <family val="2"/>
      </rPr>
      <t>s</t>
    </r>
    <r>
      <rPr>
        <b/>
        <sz val="11"/>
        <rFont val="Tahoma"/>
        <family val="2"/>
      </rPr>
      <t xml:space="preserve"> Placed By:</t>
    </r>
  </si>
  <si>
    <t>Class:</t>
  </si>
  <si>
    <t>BI Manufacturer:</t>
  </si>
  <si>
    <t>#2546-DLB</t>
  </si>
  <si>
    <t>E^170^05^E3^287^00</t>
  </si>
  <si>
    <t>Ster Incision &amp;Drain/Ty50</t>
  </si>
  <si>
    <t xml:space="preserve"> EXPEDITE LOW STOCK</t>
  </si>
  <si>
    <t>#2552-DLB</t>
  </si>
  <si>
    <t>VB^325^02^VB^287^26</t>
  </si>
  <si>
    <t>Ster 9MM Cvd Curette/25</t>
  </si>
  <si>
    <t>#2553-DLB</t>
  </si>
  <si>
    <t>Ster 10MM Cvd Curette/25</t>
  </si>
  <si>
    <t>#2554-DLB</t>
  </si>
  <si>
    <t>Ster 11MM Cvd Curette/ 25</t>
  </si>
  <si>
    <t>#2473-DLB</t>
  </si>
  <si>
    <t>X^008^58^68^912^56</t>
  </si>
  <si>
    <t>Sterile Nerve BLOCK/T10RX</t>
  </si>
  <si>
    <t>90210</t>
  </si>
  <si>
    <t>E90210</t>
  </si>
  <si>
    <t>#2589-DLB</t>
  </si>
  <si>
    <t>A^235^06^A2^287^22</t>
  </si>
  <si>
    <t>Ster Mnr Laceration Pk/20</t>
  </si>
  <si>
    <t>#2590-DLB</t>
  </si>
  <si>
    <t>A^235^06^A2^287^00</t>
  </si>
  <si>
    <t>Ster Gen Purp/Instr/T 20C</t>
  </si>
  <si>
    <t>#2547-DLB</t>
  </si>
  <si>
    <t>Ster Yank w/o vent blb/50</t>
  </si>
  <si>
    <t>#2578-DLB</t>
  </si>
  <si>
    <t>F^170^25^F7^287^22</t>
  </si>
  <si>
    <t>Ster Suture Removal/50</t>
  </si>
  <si>
    <t xml:space="preserve">LOW STOCK EXPEDITE </t>
  </si>
  <si>
    <t>#2591-DLB</t>
  </si>
  <si>
    <t>#2568-DLB</t>
  </si>
  <si>
    <t>X^012^58^68^922^56</t>
  </si>
  <si>
    <t>Ster Anesthesia T 10RX EX</t>
  </si>
  <si>
    <t>#2535-DLB</t>
  </si>
  <si>
    <t>X^013^32^53^953^62</t>
  </si>
  <si>
    <t>Ster DR Murphy N/B/Ty10rx</t>
  </si>
  <si>
    <t>#2571-DLB</t>
  </si>
  <si>
    <t>X^008^58^68^924^54</t>
  </si>
  <si>
    <t>STER MOORE 82768 TRAY/20</t>
  </si>
  <si>
    <t>#2503-DLB</t>
  </si>
  <si>
    <t>X^009^58^68^924^58</t>
  </si>
  <si>
    <t>Ster C/General Biopsy T10</t>
  </si>
  <si>
    <t>#2537-DLB</t>
  </si>
  <si>
    <t>X^009^58^68^902^56</t>
  </si>
  <si>
    <t>Sterile Suture Tray 10/cs</t>
  </si>
  <si>
    <t>#2560-DLB</t>
  </si>
  <si>
    <t>3705R5</t>
  </si>
  <si>
    <t>X^011^58^68^951^56</t>
  </si>
  <si>
    <t>Ster Epidural Pain Ty10RX</t>
  </si>
  <si>
    <t>3705A-1 Run Out (2/cs Short)</t>
  </si>
  <si>
    <t>#2561-DLB</t>
  </si>
  <si>
    <t>Z^009^38^59^922^56</t>
  </si>
  <si>
    <t>Ster S/S/Epid Tray10cEX</t>
  </si>
  <si>
    <t>#2539-DLB</t>
  </si>
  <si>
    <t>1422R1</t>
  </si>
  <si>
    <t>Ster Nerve Block Kit/10cs</t>
  </si>
  <si>
    <t>STOCKING ORDER DEC / JAN RELEASES</t>
  </si>
  <si>
    <t>#2540-DLB</t>
  </si>
  <si>
    <t>X^008^58^68^902^56</t>
  </si>
  <si>
    <t>Ster S/S Epidural Tray10c</t>
  </si>
  <si>
    <t>#2541-DLB</t>
  </si>
  <si>
    <t>X^007^59^71^000^57</t>
  </si>
  <si>
    <t>Ster Vetinary B/Pack 5/cs</t>
  </si>
  <si>
    <t>#2585-DLB</t>
  </si>
  <si>
    <t>Sterile Procedure Tray 10</t>
  </si>
  <si>
    <t>D</t>
  </si>
  <si>
    <t>1923A</t>
  </si>
  <si>
    <t>L^220^11^L1^000^00</t>
  </si>
  <si>
    <t>SHALLOW ONE COMP. TRAY</t>
  </si>
  <si>
    <t>NON</t>
  </si>
  <si>
    <t>#2581-DLB</t>
  </si>
  <si>
    <t>Ster Yank w/o Vent/50</t>
  </si>
  <si>
    <t>#2584-DLB</t>
  </si>
  <si>
    <t>Ster Yank w/vent/bulb/50</t>
  </si>
  <si>
    <t>#2608-DLB</t>
  </si>
  <si>
    <t>Ster 8mm Str. Curette/25</t>
  </si>
  <si>
    <t>HIGH SALES - LOW STOCK</t>
  </si>
  <si>
    <t>#2609-DLB</t>
  </si>
  <si>
    <t>VB^325^08^VB^287^26</t>
  </si>
  <si>
    <t>STER 22GX5" QUINCKE/50</t>
  </si>
  <si>
    <t>ADDITIONAL 10 PIECES REQUIRED FOR PYROGEN TESTING</t>
  </si>
  <si>
    <t>#2592-DLB</t>
  </si>
  <si>
    <t>Ster HS SRK 112-5822/50C</t>
  </si>
  <si>
    <t>3325R1</t>
  </si>
  <si>
    <t>X^013^59^71^924^68</t>
  </si>
  <si>
    <t>STER SURGICAL Pk 5CS</t>
  </si>
  <si>
    <t>#2586-DLB</t>
  </si>
  <si>
    <t>X^010^58^68^901^56</t>
  </si>
  <si>
    <t>Ster S/S Epidural Tray 10</t>
  </si>
  <si>
    <t>#2512-DLB</t>
  </si>
  <si>
    <t>STER SS EPID TRY 18G LL10</t>
  </si>
  <si>
    <t>EXTRA CASE INCLUDED FOR PYROGEN TESTING</t>
  </si>
  <si>
    <t>#2499-DLB</t>
  </si>
  <si>
    <t>STER SS EPID TRY 20G LL10</t>
  </si>
  <si>
    <t>#2606-DLB</t>
  </si>
  <si>
    <t>A^235^06^A1^287^30</t>
  </si>
  <si>
    <t>#2607-DLB</t>
  </si>
  <si>
    <t>A^235^06^A1^287^00</t>
  </si>
  <si>
    <t>Ster Instrument Tray/20</t>
  </si>
  <si>
    <t>7230A Hold</t>
  </si>
  <si>
    <t>#2627-DLB</t>
  </si>
  <si>
    <t>H^180^01^H1^287^00</t>
  </si>
  <si>
    <t>Ster 2OZ K/Bulb Syringe24</t>
  </si>
  <si>
    <t>#2610-DLB</t>
  </si>
  <si>
    <t>T^180^02^T1^287^00</t>
  </si>
  <si>
    <t>Sterile Saf-Shield 50/cs</t>
  </si>
  <si>
    <t>#2507-DLB</t>
  </si>
  <si>
    <t>20B</t>
  </si>
  <si>
    <t>F^170^29^F6^287^44</t>
  </si>
  <si>
    <t>Sterile IV Start Kit /50</t>
  </si>
  <si>
    <t>8220B Hold; LOW STOCK EXPEDITE</t>
  </si>
  <si>
    <t>#2587-DLB</t>
  </si>
  <si>
    <t>Ster Universal Block T10c</t>
  </si>
  <si>
    <t>#2593-D</t>
  </si>
  <si>
    <t>8563R1</t>
  </si>
  <si>
    <t>X^010^58^68^951^56</t>
  </si>
  <si>
    <t>Ster Spine Inject/T10/RX</t>
  </si>
  <si>
    <t>#2603-D</t>
  </si>
  <si>
    <t>X^011^58^68^951^59</t>
  </si>
  <si>
    <t>Ster Univ B/Ty/W/LID10/RX</t>
  </si>
  <si>
    <t>#2604-D</t>
  </si>
  <si>
    <t>X^012^58^68^951^59</t>
  </si>
  <si>
    <t>Ster Nerve Block Tray 10c</t>
  </si>
  <si>
    <t>#2605-D</t>
  </si>
  <si>
    <t>X^009^39^60^000^59</t>
  </si>
  <si>
    <t>Ster Amniocentesis T/10RX</t>
  </si>
  <si>
    <t>#2536-DLB</t>
  </si>
  <si>
    <t>Ster Epidural Tray 10/cs</t>
  </si>
  <si>
    <t>#2600-DLB</t>
  </si>
  <si>
    <t>X^008^58^68^922^56</t>
  </si>
  <si>
    <t>Ster S/S/Epidural Tray10c</t>
  </si>
  <si>
    <t>#2601-D</t>
  </si>
  <si>
    <t>X^011^58^68^951^58</t>
  </si>
  <si>
    <t>Ster Nerve Block Ty 10cRX</t>
  </si>
  <si>
    <t>#2611-DLB</t>
  </si>
  <si>
    <t>1892R1</t>
  </si>
  <si>
    <t>X^010^58^68^924^54</t>
  </si>
  <si>
    <t>Ster Laceration Tray/20</t>
  </si>
  <si>
    <t>#2599-DLB</t>
  </si>
  <si>
    <t>X^011^58^68^924^54</t>
  </si>
  <si>
    <t>Ster E.R.Laceration Ty/20</t>
  </si>
  <si>
    <t>#2504-DLB</t>
  </si>
  <si>
    <t>Ster Basic Pain Tray 10cs</t>
  </si>
  <si>
    <t>#2532-DLB</t>
  </si>
  <si>
    <t>STER HS ER LAC112-5823/20</t>
  </si>
  <si>
    <t>#2565-DLB</t>
  </si>
  <si>
    <t>W3220</t>
  </si>
  <si>
    <t>CNV2^DV1</t>
  </si>
  <si>
    <t>W^999^99^W9^999^99</t>
  </si>
  <si>
    <t>Ster Minor Pack/80</t>
  </si>
  <si>
    <t>1920903W</t>
  </si>
  <si>
    <t>#2573-D</t>
  </si>
  <si>
    <t>W6417R1</t>
  </si>
  <si>
    <t>CNV2^DV2</t>
  </si>
  <si>
    <t>W^010^00^00^950^56</t>
  </si>
  <si>
    <t>Ster Bone Marrow Ty10cRX</t>
  </si>
  <si>
    <t>1920930W</t>
  </si>
  <si>
    <t>6300A Make in House</t>
  </si>
  <si>
    <t>#2557-DLB</t>
  </si>
  <si>
    <t>W648</t>
  </si>
  <si>
    <t>CNV2^MULTI</t>
  </si>
  <si>
    <t>W^010^00^00^913^59</t>
  </si>
  <si>
    <t>SterLumbrTray w/20g/10 RX</t>
  </si>
  <si>
    <t>1910389W</t>
  </si>
  <si>
    <t>#2558-DLB</t>
  </si>
  <si>
    <t>W647</t>
  </si>
  <si>
    <t>SterLumbrTray w/18g/10 RX</t>
  </si>
  <si>
    <t>1910404W</t>
  </si>
  <si>
    <t>#2564-DLB</t>
  </si>
  <si>
    <t>W6487</t>
  </si>
  <si>
    <t>W^010^00^00^915^59</t>
  </si>
  <si>
    <t>Ster O&amp;M 1111LPT648 10RX</t>
  </si>
  <si>
    <t>1910417W</t>
  </si>
  <si>
    <t>#2572-DLB</t>
  </si>
  <si>
    <t>W656</t>
  </si>
  <si>
    <t>W^010^00^00^914^59</t>
  </si>
  <si>
    <t>SterMyelogramTray 10cs RX</t>
  </si>
  <si>
    <t>1910390W</t>
  </si>
  <si>
    <t>#2574-DLB</t>
  </si>
  <si>
    <t>W3910</t>
  </si>
  <si>
    <t>W^007^00^00^914^59</t>
  </si>
  <si>
    <t>Ster Arthrogram Tray 10cs</t>
  </si>
  <si>
    <t>1910400W</t>
  </si>
  <si>
    <t>#2575-DLB</t>
  </si>
  <si>
    <t>W651</t>
  </si>
  <si>
    <t>SterBasicBiopsyTray/10 RX</t>
  </si>
  <si>
    <t>1910413W</t>
  </si>
  <si>
    <t>#2569-DLB</t>
  </si>
  <si>
    <t>W974</t>
  </si>
  <si>
    <t>W^013^00^00^913^59</t>
  </si>
  <si>
    <t>Ster Deluxe Lumbar Ty10RX</t>
  </si>
  <si>
    <t>1910415W</t>
  </si>
  <si>
    <t>#2580-DLB</t>
  </si>
  <si>
    <t>W153</t>
  </si>
  <si>
    <t>TBL^DV2</t>
  </si>
  <si>
    <t>Z^999^99^Z9^999^99</t>
  </si>
  <si>
    <t>Ster3/8"Tbg&amp;Hdl&amp;Adpt/25</t>
  </si>
  <si>
    <t>1920910W</t>
  </si>
  <si>
    <t>6730B</t>
  </si>
  <si>
    <t>MULTI</t>
  </si>
  <si>
    <t>G^370^15^Y3^000^00</t>
  </si>
  <si>
    <t>BUSSE LOW PROFILE BTM TRY</t>
  </si>
  <si>
    <t>#2595-DLB</t>
  </si>
  <si>
    <t>J^245^13^J1^287^00</t>
  </si>
  <si>
    <t>Sterile Trach Set 20cs</t>
  </si>
  <si>
    <t>#2596-DLB</t>
  </si>
  <si>
    <t>Ster Trach Set/24</t>
  </si>
  <si>
    <t>EXPORT ORDER</t>
  </si>
  <si>
    <t>DLB</t>
  </si>
  <si>
    <t>Q^260^16^92^blu^00</t>
  </si>
  <si>
    <t>Ster Polylined Drape/300</t>
  </si>
  <si>
    <t>#2672-DLB</t>
  </si>
  <si>
    <t>Ster Wound Closure T/20</t>
  </si>
  <si>
    <t>EXPEDITE LOW STOCK</t>
  </si>
  <si>
    <t>#2703-DLB</t>
  </si>
  <si>
    <t>E^170^05^E8^287^07</t>
  </si>
  <si>
    <t>Ster 5 1/4" S/B Scr/100</t>
  </si>
  <si>
    <t>#2683-DLB</t>
  </si>
  <si>
    <t>VA^325^08^VA^287^25</t>
  </si>
  <si>
    <t>STER 10ML PLASTC LOR LL50</t>
  </si>
  <si>
    <t>#2684-DLB</t>
  </si>
  <si>
    <t>Ster 6mm Connector/400</t>
  </si>
  <si>
    <t>#2685-DLB</t>
  </si>
  <si>
    <t>Ster Catheter Plug/200</t>
  </si>
  <si>
    <t>#2689-DLB</t>
  </si>
  <si>
    <t xml:space="preserve"> Y</t>
  </si>
  <si>
    <t>F^170^25^F8^287^14</t>
  </si>
  <si>
    <t>Ster Suture Kit/50</t>
  </si>
  <si>
    <t>ADDITONAL 11 PIECES REQUIRED FOR 4TH QUARTER BIO-BURDEN TESTING; EXPEDITE LOWSTOCK HIGH SALES</t>
  </si>
  <si>
    <t>#2707-DLB</t>
  </si>
  <si>
    <t>F^170^25^F10^287^22</t>
  </si>
  <si>
    <t>Ster Staple Remover/48</t>
  </si>
  <si>
    <t>#2643-DLB</t>
  </si>
  <si>
    <t>7812R1</t>
  </si>
  <si>
    <t>X^009^58^68^906^56</t>
  </si>
  <si>
    <t>STERILE NERVE BLOCK T/20C</t>
  </si>
  <si>
    <t>#2644-DLB</t>
  </si>
  <si>
    <t>B6705R1</t>
  </si>
  <si>
    <t>X^009^58^68^901^56</t>
  </si>
  <si>
    <t>Ster 3.22 PELL/IN/Ty#2/20</t>
  </si>
  <si>
    <t xml:space="preserve"> LATE</t>
  </si>
  <si>
    <t>#2645-DLB</t>
  </si>
  <si>
    <t>B8120R1</t>
  </si>
  <si>
    <t>Ster 4.5MM/P/I/M/PVP T20C</t>
  </si>
  <si>
    <t>#2617-DLB</t>
  </si>
  <si>
    <t>#2653-DLB</t>
  </si>
  <si>
    <t>X^010^58^68^953^56</t>
  </si>
  <si>
    <t>Ster Universal B/Tray10RX</t>
  </si>
  <si>
    <t>#2655-DLB</t>
  </si>
  <si>
    <t>X^011^58^68^951^71</t>
  </si>
  <si>
    <t>Ster Nerve Block Ty2/10EX</t>
  </si>
  <si>
    <t>#2656-D</t>
  </si>
  <si>
    <t>X^008^58^68^928^56</t>
  </si>
  <si>
    <t>Ster Arthrogram Tray 10c</t>
  </si>
  <si>
    <t>#2657-DLB</t>
  </si>
  <si>
    <t>X^011^58^68^922^58</t>
  </si>
  <si>
    <t>Ster Lumbar Tray 10cs/RX</t>
  </si>
  <si>
    <t>#2658-D</t>
  </si>
  <si>
    <t>8600R1</t>
  </si>
  <si>
    <t>X^011^58^68^922^56</t>
  </si>
  <si>
    <t>Ster C/Epid/Anest T10/RX</t>
  </si>
  <si>
    <t>#2659-DLB</t>
  </si>
  <si>
    <t>6183R1</t>
  </si>
  <si>
    <t>#2661-DLB</t>
  </si>
  <si>
    <t>9387R1</t>
  </si>
  <si>
    <t>X^008^59^71^909^62</t>
  </si>
  <si>
    <t>Ster Hystero Tray 5/cs</t>
  </si>
  <si>
    <t>#2663-DLB</t>
  </si>
  <si>
    <t>X^009^58^68^951^59</t>
  </si>
  <si>
    <t>Ster Univ/B/T/W/O/Lidoc10</t>
  </si>
  <si>
    <t>#2664-DLB</t>
  </si>
  <si>
    <t>X^009^58^68^922^58</t>
  </si>
  <si>
    <t>Ster Universal B/Tray 10c</t>
  </si>
  <si>
    <t>#2677-D</t>
  </si>
  <si>
    <t>B8109</t>
  </si>
  <si>
    <t>SterSS 3.2MM P/I MEDPVP20</t>
  </si>
  <si>
    <t>#2675-D</t>
  </si>
  <si>
    <t>1668R1</t>
  </si>
  <si>
    <t>X^006^58^68^928^54</t>
  </si>
  <si>
    <t>Ster Suturing Tray/20cs</t>
  </si>
  <si>
    <t>#2582-D</t>
  </si>
  <si>
    <t>WPPCD645</t>
  </si>
  <si>
    <t>W^008^00^00^913^59</t>
  </si>
  <si>
    <t>S/PYROGEN PROCESS C/D/LUM</t>
  </si>
  <si>
    <t>1910392W</t>
  </si>
  <si>
    <t>#2583-DLB</t>
  </si>
  <si>
    <t>1910418W</t>
  </si>
  <si>
    <t>DS</t>
  </si>
  <si>
    <t>REW</t>
  </si>
  <si>
    <t>ORK</t>
  </si>
  <si>
    <t>W645</t>
  </si>
  <si>
    <t>W^009^00^00^913^59</t>
  </si>
  <si>
    <t>Ster PedLumbarTray10 RX</t>
  </si>
  <si>
    <t>1910419RW</t>
  </si>
  <si>
    <t>REWORK</t>
  </si>
  <si>
    <t>1910420RW</t>
  </si>
  <si>
    <t>#2647-DLB</t>
  </si>
  <si>
    <t>W1993R2</t>
  </si>
  <si>
    <t>W^009^00^00^914^59</t>
  </si>
  <si>
    <t>Ster Austin R/A/M/Ty10cRX</t>
  </si>
  <si>
    <t>1910405W</t>
  </si>
  <si>
    <t>1992C Make in House</t>
  </si>
  <si>
    <t>#2649-D</t>
  </si>
  <si>
    <t>W7791R1</t>
  </si>
  <si>
    <t>W^011^00^00^915^59</t>
  </si>
  <si>
    <t>Ster Boipsy Tray 10csRX</t>
  </si>
  <si>
    <t>1910421W</t>
  </si>
  <si>
    <t>#2666-DLB</t>
  </si>
  <si>
    <t>W1992</t>
  </si>
  <si>
    <t>W^011^00^00^913^59</t>
  </si>
  <si>
    <t>Ster Austin R/A/L/Ty10cRX</t>
  </si>
  <si>
    <t>1910426W</t>
  </si>
  <si>
    <t>#2687-D</t>
  </si>
  <si>
    <t>W946</t>
  </si>
  <si>
    <t>SterPedLumbr SAFETY/10 RX</t>
  </si>
  <si>
    <t>1910431W</t>
  </si>
  <si>
    <t>#2699-D</t>
  </si>
  <si>
    <t>1910434W</t>
  </si>
  <si>
    <t>#2682-D</t>
  </si>
  <si>
    <t>W835</t>
  </si>
  <si>
    <t>CNV2^KOCH</t>
  </si>
  <si>
    <t>W^007^00^00^928^53</t>
  </si>
  <si>
    <t>Ster C/Line Dress C/T30EX</t>
  </si>
  <si>
    <t>1910409W</t>
  </si>
  <si>
    <t>#2668-DLB</t>
  </si>
  <si>
    <t>#2702-DLB</t>
  </si>
  <si>
    <t>E^170^04^E3^287^10</t>
  </si>
  <si>
    <t>STER 5 1/2"S/BLUNT/S/50CS</t>
  </si>
  <si>
    <t>#2701-DLB</t>
  </si>
  <si>
    <t>#2686-DLB</t>
  </si>
  <si>
    <t>Ster Posi-Grip Forcep/100</t>
  </si>
  <si>
    <t>#2678-DLB</t>
  </si>
  <si>
    <t>X^019^58^68^905^56</t>
  </si>
  <si>
    <t>Ster Neurological 10RX,EX</t>
  </si>
  <si>
    <t>1052B Run Out (2/cs Short);8408C Make in House;LATE</t>
  </si>
  <si>
    <t>#2692-DLB</t>
  </si>
  <si>
    <t>B8110R1</t>
  </si>
  <si>
    <t>X^010^58^68^924^56</t>
  </si>
  <si>
    <t>Ster SS 3.2mm P/Ins/Ty20</t>
  </si>
  <si>
    <t>#2693-DLB</t>
  </si>
  <si>
    <t>Z^011^38^59^951^59</t>
  </si>
  <si>
    <t>#2696-DLB</t>
  </si>
  <si>
    <t>Z^011^38^59^953^56</t>
  </si>
  <si>
    <t>Ster Custom Pain Tray 10c</t>
  </si>
  <si>
    <t>#2718-DLB</t>
  </si>
  <si>
    <t>6295R2</t>
  </si>
  <si>
    <t>Ster S/S/Epidural/Ty10cRX</t>
  </si>
  <si>
    <t>EXPEDITE RUSH REQUESTED</t>
  </si>
  <si>
    <t>#2679-DLB</t>
  </si>
  <si>
    <t>5685R1</t>
  </si>
  <si>
    <t>X^010^58^68^922^56</t>
  </si>
  <si>
    <t>Ster Nerve B/Ty22gx 10/EX</t>
  </si>
  <si>
    <t>#2691-DLB</t>
  </si>
  <si>
    <t>B9176R1</t>
  </si>
  <si>
    <t>X^011^58^68^924^56</t>
  </si>
  <si>
    <t>Ster M/SS 4.5MM P/Ins T20</t>
  </si>
  <si>
    <t>2257B Make in House;8408C Make in House;9175C Run Out (5/cs Short)</t>
  </si>
  <si>
    <t>#2682-DS</t>
  </si>
  <si>
    <t>6510A-1</t>
  </si>
  <si>
    <t>G^370^16^G4^000^00</t>
  </si>
  <si>
    <t>BUSSE 24MIL BASIC BIOPTRY</t>
  </si>
  <si>
    <t>#2706-DLB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</si>
</sst>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2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i/>
      <sz val="22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8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4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b/>
      <u/>
      <sz val="11"/>
      <name val="Tahoma"/>
      <family val="2"/>
    </font>
    <font>
      <sz val="10"/>
      <name val="Wingdings"/>
      <charset val="2"/>
    </font>
    <font>
      <b/>
      <sz val="9"/>
      <name val="Wingdings"/>
      <charset val="2"/>
    </font>
    <font>
      <sz val="14"/>
      <name val="Tahoma"/>
      <family val="2"/>
    </font>
    <font>
      <sz val="6"/>
      <name val="Tahoma"/>
      <family val="2"/>
    </font>
    <font>
      <sz val="9"/>
      <name val="Wingdings"/>
      <charset val="2"/>
    </font>
    <font>
      <i/>
      <sz val="14"/>
      <name val="Tahoma"/>
      <family val="2"/>
    </font>
    <font>
      <b/>
      <u/>
      <sz val="10"/>
      <name val="Tahoma"/>
      <family val="2"/>
    </font>
    <font>
      <sz val="65"/>
      <name val="Busse99"/>
    </font>
    <font>
      <b/>
      <sz val="24"/>
      <name val="Tahoma"/>
      <family val="2"/>
    </font>
    <font>
      <sz val="54"/>
      <name val="Busse99"/>
    </font>
    <font>
      <b/>
      <u/>
      <sz val="20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22"/>
      <name val="Times New Roman"/>
      <family val="1"/>
    </font>
    <font>
      <b/>
      <shadow/>
      <sz val="14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9"/>
      <name val="Times New Roman"/>
      <family val="1"/>
    </font>
    <font>
      <b/>
      <sz val="8"/>
      <name val="Tahoma"/>
      <family val="2"/>
    </font>
    <font>
      <b/>
      <sz val="8"/>
      <name val="Arial Narrow"/>
      <family val="2"/>
    </font>
    <font>
      <b/>
      <sz val="8.5"/>
      <name val="Arial Narrow"/>
      <family val="2"/>
    </font>
    <font>
      <b/>
      <shadow/>
      <sz val="12"/>
      <name val="Arial Narrow"/>
      <family val="2"/>
    </font>
    <font>
      <shadow/>
      <sz val="11"/>
      <name val="Arial Narrow"/>
      <family val="2"/>
    </font>
    <font>
      <sz val="11"/>
      <name val="Arial Narrow"/>
      <family val="2"/>
    </font>
    <font>
      <sz val="9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6" fillId="0" borderId="0"/>
    <xf numFmtId="0" fontId="26" fillId="0" borderId="0"/>
  </cellStyleXfs>
  <cellXfs count="4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49" fontId="14" fillId="0" borderId="0" xfId="0" applyNumberFormat="1" applyFont="1"/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24" fillId="0" borderId="0" xfId="0" applyFont="1"/>
    <xf numFmtId="0" fontId="27" fillId="0" borderId="0" xfId="1" applyFont="1"/>
    <xf numFmtId="0" fontId="26" fillId="0" borderId="0" xfId="1"/>
    <xf numFmtId="0" fontId="31" fillId="0" borderId="0" xfId="1" applyFont="1"/>
    <xf numFmtId="0" fontId="26" fillId="0" borderId="0" xfId="1" applyAlignment="1">
      <alignment horizontal="center"/>
    </xf>
    <xf numFmtId="0" fontId="26" fillId="0" borderId="0" xfId="1" applyFont="1"/>
    <xf numFmtId="0" fontId="26" fillId="2" borderId="5" xfId="1" applyFill="1" applyBorder="1"/>
    <xf numFmtId="0" fontId="26" fillId="2" borderId="6" xfId="1" applyFill="1" applyBorder="1"/>
    <xf numFmtId="0" fontId="26" fillId="0" borderId="0" xfId="1" applyBorder="1"/>
    <xf numFmtId="0" fontId="26" fillId="2" borderId="0" xfId="1" applyFill="1" applyProtection="1">
      <protection locked="0"/>
    </xf>
    <xf numFmtId="0" fontId="26" fillId="0" borderId="3" xfId="1" applyBorder="1" applyProtection="1">
      <protection locked="0"/>
    </xf>
    <xf numFmtId="0" fontId="26" fillId="0" borderId="7" xfId="1" applyBorder="1" applyAlignment="1" applyProtection="1">
      <alignment horizontal="center"/>
      <protection locked="0"/>
    </xf>
    <xf numFmtId="0" fontId="26" fillId="0" borderId="18" xfId="1" applyBorder="1" applyAlignment="1" applyProtection="1">
      <alignment horizontal="center"/>
      <protection locked="0"/>
    </xf>
    <xf numFmtId="0" fontId="26" fillId="0" borderId="19" xfId="1" applyBorder="1" applyAlignment="1" applyProtection="1">
      <alignment horizontal="center"/>
      <protection locked="0"/>
    </xf>
    <xf numFmtId="0" fontId="26" fillId="0" borderId="8" xfId="1" applyBorder="1" applyProtection="1">
      <protection locked="0"/>
    </xf>
    <xf numFmtId="0" fontId="26" fillId="0" borderId="7" xfId="1" applyBorder="1" applyProtection="1">
      <protection locked="0"/>
    </xf>
    <xf numFmtId="0" fontId="26" fillId="0" borderId="18" xfId="1" applyBorder="1" applyProtection="1">
      <protection locked="0"/>
    </xf>
    <xf numFmtId="0" fontId="26" fillId="0" borderId="19" xfId="1" applyBorder="1" applyProtection="1">
      <protection locked="0"/>
    </xf>
    <xf numFmtId="0" fontId="26" fillId="0" borderId="10" xfId="1" applyBorder="1" applyProtection="1">
      <protection locked="0"/>
    </xf>
    <xf numFmtId="0" fontId="26" fillId="0" borderId="11" xfId="1" applyBorder="1" applyProtection="1">
      <protection locked="0"/>
    </xf>
    <xf numFmtId="0" fontId="26" fillId="0" borderId="21" xfId="1" applyBorder="1" applyProtection="1">
      <protection locked="0"/>
    </xf>
    <xf numFmtId="0" fontId="35" fillId="0" borderId="2" xfId="1" applyFont="1" applyBorder="1"/>
    <xf numFmtId="0" fontId="26" fillId="0" borderId="3" xfId="1" applyBorder="1"/>
    <xf numFmtId="0" fontId="25" fillId="0" borderId="3" xfId="1" applyFont="1" applyBorder="1" applyAlignment="1" applyProtection="1">
      <alignment horizontal="left"/>
      <protection locked="0"/>
    </xf>
    <xf numFmtId="0" fontId="26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8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9" fillId="0" borderId="0" xfId="0" applyFont="1" applyAlignment="1">
      <alignment textRotation="90"/>
    </xf>
    <xf numFmtId="0" fontId="40" fillId="0" borderId="0" xfId="0" applyFont="1"/>
    <xf numFmtId="0" fontId="41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5" fillId="0" borderId="0" xfId="0" applyFont="1"/>
    <xf numFmtId="0" fontId="46" fillId="0" borderId="0" xfId="0" applyFont="1"/>
    <xf numFmtId="0" fontId="39" fillId="0" borderId="0" xfId="0" applyFont="1" applyAlignment="1">
      <alignment horizontal="right" vertical="top" textRotation="90"/>
    </xf>
    <xf numFmtId="0" fontId="39" fillId="0" borderId="0" xfId="0" applyFont="1" applyAlignment="1">
      <alignment horizontal="center" textRotation="90"/>
    </xf>
    <xf numFmtId="0" fontId="40" fillId="0" borderId="0" xfId="0" applyFont="1" applyAlignment="1">
      <alignment horizontal="right"/>
    </xf>
    <xf numFmtId="0" fontId="40" fillId="0" borderId="22" xfId="0" applyFont="1" applyBorder="1"/>
    <xf numFmtId="0" fontId="46" fillId="0" borderId="0" xfId="0" applyFont="1" applyAlignment="1">
      <alignment horizontal="center"/>
    </xf>
    <xf numFmtId="49" fontId="40" fillId="0" borderId="22" xfId="0" applyNumberFormat="1" applyFont="1" applyBorder="1"/>
    <xf numFmtId="49" fontId="40" fillId="0" borderId="22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6" fillId="0" borderId="9" xfId="0" applyFont="1" applyBorder="1" applyAlignment="1">
      <alignment horizontal="center"/>
    </xf>
    <xf numFmtId="0" fontId="40" fillId="0" borderId="9" xfId="0" applyFont="1" applyBorder="1"/>
    <xf numFmtId="0" fontId="47" fillId="0" borderId="0" xfId="0" applyFont="1"/>
    <xf numFmtId="0" fontId="48" fillId="0" borderId="0" xfId="0" applyFont="1"/>
    <xf numFmtId="0" fontId="27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6" fillId="0" borderId="0" xfId="0" applyFont="1"/>
    <xf numFmtId="0" fontId="55" fillId="0" borderId="24" xfId="0" applyFont="1" applyBorder="1" applyAlignment="1" applyProtection="1">
      <alignment horizontal="left" vertical="top"/>
      <protection hidden="1"/>
    </xf>
    <xf numFmtId="0" fontId="55" fillId="0" borderId="25" xfId="0" applyFont="1" applyBorder="1" applyAlignment="1" applyProtection="1">
      <alignment horizontal="left" vertical="top"/>
      <protection hidden="1"/>
    </xf>
    <xf numFmtId="0" fontId="26" fillId="0" borderId="25" xfId="0" applyFont="1" applyBorder="1" applyProtection="1">
      <protection hidden="1"/>
    </xf>
    <xf numFmtId="0" fontId="26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6" fillId="0" borderId="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5" xfId="0" applyFont="1" applyBorder="1" applyProtection="1">
      <protection hidden="1"/>
    </xf>
    <xf numFmtId="0" fontId="55" fillId="0" borderId="27" xfId="0" applyFont="1" applyBorder="1" applyAlignment="1" applyProtection="1">
      <alignment horizontal="left" vertical="top"/>
      <protection hidden="1"/>
    </xf>
    <xf numFmtId="0" fontId="55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6" fillId="0" borderId="27" xfId="0" applyFont="1" applyBorder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27" xfId="0" applyFont="1" applyBorder="1" applyAlignment="1" applyProtection="1">
      <alignment vertical="top"/>
      <protection hidden="1"/>
    </xf>
    <xf numFmtId="0" fontId="58" fillId="0" borderId="0" xfId="0" applyFont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0" fontId="59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55" fillId="0" borderId="27" xfId="0" applyFont="1" applyBorder="1" applyProtection="1">
      <protection hidden="1"/>
    </xf>
    <xf numFmtId="0" fontId="55" fillId="0" borderId="0" xfId="0" applyFont="1" applyProtection="1">
      <protection hidden="1"/>
    </xf>
    <xf numFmtId="0" fontId="60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61" fillId="0" borderId="29" xfId="0" applyFont="1" applyBorder="1" applyProtection="1">
      <protection hidden="1"/>
    </xf>
    <xf numFmtId="0" fontId="61" fillId="0" borderId="7" xfId="0" applyFont="1" applyBorder="1" applyAlignment="1" applyProtection="1">
      <alignment horizontal="right"/>
      <protection hidden="1"/>
    </xf>
    <xf numFmtId="0" fontId="63" fillId="0" borderId="37" xfId="2" applyFont="1" applyBorder="1" applyAlignment="1">
      <alignment horizontal="left" vertical="center" wrapText="1"/>
    </xf>
    <xf numFmtId="0" fontId="63" fillId="0" borderId="38" xfId="2" applyFont="1" applyBorder="1" applyAlignment="1">
      <alignment horizontal="center" vertical="center" wrapText="1"/>
    </xf>
    <xf numFmtId="0" fontId="24" fillId="0" borderId="38" xfId="2" applyFont="1" applyBorder="1" applyAlignment="1">
      <alignment horizontal="center" vertical="center" wrapText="1"/>
    </xf>
    <xf numFmtId="0" fontId="24" fillId="0" borderId="38" xfId="2" applyFont="1" applyBorder="1"/>
    <xf numFmtId="0" fontId="63" fillId="0" borderId="39" xfId="2" applyFont="1" applyBorder="1" applyAlignment="1">
      <alignment horizontal="center" vertical="center" wrapText="1"/>
    </xf>
    <xf numFmtId="0" fontId="35" fillId="0" borderId="15" xfId="2" applyFont="1" applyBorder="1" applyAlignment="1">
      <alignment horizontal="left" vertical="center" wrapText="1"/>
    </xf>
    <xf numFmtId="0" fontId="63" fillId="0" borderId="9" xfId="2" applyFont="1" applyBorder="1" applyAlignment="1">
      <alignment horizontal="center" vertical="center" wrapText="1"/>
    </xf>
    <xf numFmtId="0" fontId="24" fillId="0" borderId="9" xfId="2" applyFont="1" applyBorder="1" applyAlignment="1">
      <alignment horizontal="center" vertical="center" wrapText="1"/>
    </xf>
    <xf numFmtId="0" fontId="24" fillId="0" borderId="9" xfId="2" applyFont="1" applyBorder="1"/>
    <xf numFmtId="0" fontId="63" fillId="0" borderId="35" xfId="2" applyFont="1" applyBorder="1" applyAlignment="1">
      <alignment horizontal="center" vertical="center" wrapText="1"/>
    </xf>
    <xf numFmtId="0" fontId="69" fillId="0" borderId="41" xfId="2" applyFont="1" applyBorder="1" applyAlignment="1">
      <alignment horizontal="left" vertical="center" wrapText="1"/>
    </xf>
    <xf numFmtId="0" fontId="72" fillId="0" borderId="11" xfId="2" applyFont="1" applyBorder="1" applyAlignment="1">
      <alignment horizontal="center" vertical="center" wrapText="1"/>
    </xf>
    <xf numFmtId="14" fontId="72" fillId="0" borderId="21" xfId="2" applyNumberFormat="1" applyFont="1" applyBorder="1" applyAlignment="1">
      <alignment horizontal="center" vertical="center" wrapText="1"/>
    </xf>
    <xf numFmtId="49" fontId="69" fillId="0" borderId="37" xfId="2" applyNumberFormat="1" applyFont="1" applyBorder="1" applyAlignment="1">
      <alignment horizontal="left" vertical="center" wrapText="1"/>
    </xf>
    <xf numFmtId="0" fontId="69" fillId="0" borderId="15" xfId="2" applyFont="1" applyBorder="1" applyAlignment="1">
      <alignment horizontal="left" vertical="center" wrapText="1"/>
    </xf>
    <xf numFmtId="0" fontId="72" fillId="0" borderId="9" xfId="2" applyFont="1" applyBorder="1" applyAlignment="1">
      <alignment horizontal="center" vertical="center" wrapText="1"/>
    </xf>
    <xf numFmtId="14" fontId="72" fillId="0" borderId="35" xfId="2" applyNumberFormat="1" applyFont="1" applyBorder="1" applyAlignment="1">
      <alignment horizontal="center" vertical="center" wrapText="1"/>
    </xf>
    <xf numFmtId="0" fontId="66" fillId="0" borderId="41" xfId="2" applyFont="1" applyBorder="1" applyAlignment="1">
      <alignment horizontal="left" vertical="center" wrapText="1"/>
    </xf>
    <xf numFmtId="0" fontId="26" fillId="0" borderId="13" xfId="2" applyBorder="1"/>
    <xf numFmtId="0" fontId="26" fillId="0" borderId="0" xfId="2"/>
    <xf numFmtId="0" fontId="26" fillId="0" borderId="30" xfId="2" applyBorder="1"/>
    <xf numFmtId="0" fontId="69" fillId="0" borderId="0" xfId="2" applyFont="1" applyAlignment="1">
      <alignment horizontal="left"/>
    </xf>
    <xf numFmtId="0" fontId="69" fillId="0" borderId="0" xfId="2" applyFont="1"/>
    <xf numFmtId="0" fontId="15" fillId="0" borderId="0" xfId="2" applyFont="1"/>
    <xf numFmtId="0" fontId="23" fillId="0" borderId="0" xfId="2" applyFont="1" applyAlignment="1">
      <alignment horizontal="left"/>
    </xf>
    <xf numFmtId="0" fontId="61" fillId="0" borderId="0" xfId="2" applyFont="1"/>
    <xf numFmtId="0" fontId="23" fillId="0" borderId="0" xfId="2" applyFont="1" applyAlignment="1">
      <alignment horizontal="right"/>
    </xf>
    <xf numFmtId="0" fontId="74" fillId="0" borderId="0" xfId="2" applyFont="1"/>
    <xf numFmtId="0" fontId="75" fillId="0" borderId="0" xfId="2" applyFont="1" applyAlignment="1">
      <alignment horizontal="left"/>
    </xf>
    <xf numFmtId="0" fontId="76" fillId="0" borderId="0" xfId="2" applyFont="1"/>
    <xf numFmtId="0" fontId="37" fillId="0" borderId="0" xfId="2" applyFont="1" applyAlignment="1">
      <alignment horizontal="left"/>
    </xf>
    <xf numFmtId="0" fontId="26" fillId="0" borderId="34" xfId="2" applyBorder="1"/>
    <xf numFmtId="0" fontId="27" fillId="0" borderId="0" xfId="2" applyFont="1"/>
    <xf numFmtId="0" fontId="26" fillId="0" borderId="42" xfId="2" applyBorder="1"/>
    <xf numFmtId="0" fontId="69" fillId="0" borderId="34" xfId="2" applyFont="1" applyBorder="1"/>
    <xf numFmtId="0" fontId="69" fillId="0" borderId="0" xfId="2" applyFont="1" applyAlignment="1">
      <alignment horizontal="center"/>
    </xf>
    <xf numFmtId="0" fontId="69" fillId="0" borderId="42" xfId="2" applyFont="1" applyBorder="1" applyAlignment="1">
      <alignment horizontal="center"/>
    </xf>
    <xf numFmtId="0" fontId="26" fillId="0" borderId="40" xfId="2" applyBorder="1"/>
    <xf numFmtId="0" fontId="26" fillId="0" borderId="1" xfId="2" applyBorder="1"/>
    <xf numFmtId="0" fontId="26" fillId="0" borderId="43" xfId="2" applyBorder="1"/>
    <xf numFmtId="0" fontId="24" fillId="0" borderId="0" xfId="2" applyFont="1"/>
    <xf numFmtId="49" fontId="40" fillId="0" borderId="0" xfId="0" applyNumberFormat="1" applyFont="1"/>
    <xf numFmtId="49" fontId="0" fillId="0" borderId="0" xfId="0" applyNumberFormat="1"/>
    <xf numFmtId="49" fontId="40" fillId="0" borderId="0" xfId="0" applyNumberFormat="1" applyFont="1" applyAlignment="1">
      <alignment horizontal="center"/>
    </xf>
    <xf numFmtId="49" fontId="81" fillId="0" borderId="0" xfId="0" applyNumberFormat="1" applyFont="1"/>
    <xf numFmtId="0" fontId="53" fillId="4" borderId="46" xfId="0" applyFont="1" applyFill="1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 wrapText="1"/>
    </xf>
    <xf numFmtId="0" fontId="83" fillId="0" borderId="1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84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88" fillId="0" borderId="0" xfId="0" applyNumberFormat="1" applyFont="1"/>
    <xf numFmtId="0" fontId="0" fillId="0" borderId="0" xfId="0"/>
    <xf numFmtId="49" fontId="0" fillId="0" borderId="0" xfId="0" applyNumberFormat="1"/>
    <xf numFmtId="0" fontId="89" fillId="0" borderId="0" xfId="0" applyFont="1" applyAlignment="1"/>
    <xf numFmtId="0" fontId="89" fillId="0" borderId="0" xfId="0" applyFont="1" applyBorder="1" applyAlignment="1">
      <alignment horizontal="center"/>
    </xf>
    <xf numFmtId="0" fontId="6" fillId="0" borderId="0" xfId="0" applyFont="1"/>
    <xf numFmtId="0" fontId="61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61" fillId="0" borderId="0" xfId="0" applyFont="1" applyAlignment="1">
      <alignment horizontal="right"/>
    </xf>
    <xf numFmtId="0" fontId="90" fillId="0" borderId="0" xfId="0" applyFont="1" applyAlignment="1">
      <alignment horizontal="center"/>
    </xf>
    <xf numFmtId="14" fontId="26" fillId="0" borderId="0" xfId="1" quotePrefix="1" applyNumberFormat="1"/>
    <xf numFmtId="0" fontId="26" fillId="0" borderId="0" xfId="1" quotePrefix="1"/>
    <xf numFmtId="0" fontId="0" fillId="0" borderId="0" xfId="0"/>
    <xf numFmtId="14" fontId="0" fillId="0" borderId="0" xfId="0" applyNumberFormat="1"/>
    <xf numFmtId="49" fontId="26" fillId="0" borderId="0" xfId="1" applyNumberFormat="1"/>
    <xf numFmtId="0" fontId="8" fillId="0" borderId="0" xfId="0" applyFont="1" applyBorder="1" applyAlignment="1">
      <alignment horizontal="right"/>
    </xf>
    <xf numFmtId="0" fontId="26" fillId="0" borderId="0" xfId="0" applyNumberFormat="1" applyFont="1" applyProtection="1">
      <protection hidden="1"/>
    </xf>
    <xf numFmtId="0" fontId="0" fillId="0" borderId="0" xfId="0" applyFont="1"/>
    <xf numFmtId="0" fontId="91" fillId="0" borderId="0" xfId="0" applyFont="1"/>
    <xf numFmtId="0" fontId="26" fillId="0" borderId="0" xfId="1" applyFill="1"/>
    <xf numFmtId="0" fontId="0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32" fillId="0" borderId="7" xfId="1" applyFont="1" applyFill="1" applyBorder="1" applyAlignment="1" applyProtection="1">
      <alignment horizontal="center"/>
    </xf>
    <xf numFmtId="0" fontId="33" fillId="0" borderId="8" xfId="1" applyFont="1" applyFill="1" applyBorder="1" applyAlignment="1" applyProtection="1">
      <alignment horizontal="center"/>
      <protection locked="0"/>
    </xf>
    <xf numFmtId="0" fontId="33" fillId="0" borderId="9" xfId="1" applyFont="1" applyFill="1" applyBorder="1" applyAlignment="1" applyProtection="1">
      <alignment horizontal="center"/>
      <protection locked="0"/>
    </xf>
    <xf numFmtId="0" fontId="26" fillId="0" borderId="5" xfId="1" applyFill="1" applyBorder="1" applyProtection="1">
      <protection locked="0"/>
    </xf>
    <xf numFmtId="0" fontId="26" fillId="0" borderId="6" xfId="1" applyFill="1" applyBorder="1" applyProtection="1">
      <protection locked="0"/>
    </xf>
    <xf numFmtId="0" fontId="26" fillId="0" borderId="5" xfId="1" applyFill="1" applyBorder="1" applyAlignment="1" applyProtection="1">
      <alignment horizontal="center"/>
      <protection locked="0"/>
    </xf>
    <xf numFmtId="0" fontId="26" fillId="0" borderId="6" xfId="1" applyFill="1" applyBorder="1" applyAlignment="1" applyProtection="1">
      <alignment horizontal="center"/>
      <protection locked="0"/>
    </xf>
    <xf numFmtId="0" fontId="26" fillId="0" borderId="0" xfId="1" applyFill="1" applyBorder="1"/>
    <xf numFmtId="0" fontId="33" fillId="0" borderId="0" xfId="1" applyFont="1" applyFill="1" applyBorder="1" applyAlignment="1" applyProtection="1">
      <alignment horizontal="center"/>
      <protection locked="0"/>
    </xf>
    <xf numFmtId="0" fontId="33" fillId="0" borderId="1" xfId="1" applyFont="1" applyFill="1" applyBorder="1" applyAlignment="1" applyProtection="1">
      <alignment horizontal="center"/>
      <protection locked="0"/>
    </xf>
    <xf numFmtId="0" fontId="33" fillId="0" borderId="43" xfId="1" applyFont="1" applyFill="1" applyBorder="1" applyAlignment="1" applyProtection="1">
      <alignment horizontal="center"/>
      <protection locked="0"/>
    </xf>
    <xf numFmtId="0" fontId="26" fillId="0" borderId="0" xfId="1" applyFill="1" applyProtection="1">
      <protection locked="0"/>
    </xf>
    <xf numFmtId="0" fontId="26" fillId="0" borderId="48" xfId="1" applyFill="1" applyBorder="1" applyAlignment="1" applyProtection="1">
      <alignment horizontal="center"/>
      <protection locked="0"/>
    </xf>
    <xf numFmtId="0" fontId="26" fillId="0" borderId="49" xfId="1" applyFill="1" applyBorder="1" applyAlignment="1" applyProtection="1">
      <alignment horizontal="center"/>
      <protection locked="0"/>
    </xf>
    <xf numFmtId="0" fontId="26" fillId="0" borderId="50" xfId="1" applyFill="1" applyBorder="1" applyAlignment="1" applyProtection="1">
      <alignment horizontal="center"/>
      <protection locked="0"/>
    </xf>
    <xf numFmtId="0" fontId="35" fillId="0" borderId="2" xfId="1" applyFont="1" applyFill="1" applyBorder="1" applyAlignment="1">
      <alignment horizontal="left"/>
    </xf>
    <xf numFmtId="0" fontId="30" fillId="0" borderId="2" xfId="1" applyFont="1" applyFill="1" applyBorder="1" applyAlignment="1" applyProtection="1">
      <protection locked="0"/>
    </xf>
    <xf numFmtId="49" fontId="26" fillId="0" borderId="3" xfId="1" applyNumberFormat="1" applyFill="1" applyBorder="1" applyProtection="1">
      <protection locked="0"/>
    </xf>
    <xf numFmtId="0" fontId="37" fillId="0" borderId="4" xfId="1" applyFont="1" applyFill="1" applyBorder="1" applyAlignment="1" applyProtection="1">
      <alignment horizontal="center"/>
      <protection locked="0"/>
    </xf>
    <xf numFmtId="0" fontId="96" fillId="0" borderId="22" xfId="0" applyFont="1" applyFill="1" applyBorder="1" applyAlignment="1" applyProtection="1">
      <alignment horizontal="center" vertical="top"/>
      <protection locked="0"/>
    </xf>
    <xf numFmtId="0" fontId="42" fillId="0" borderId="22" xfId="0" applyFont="1" applyBorder="1" applyAlignment="1">
      <alignment horizontal="right"/>
    </xf>
    <xf numFmtId="0" fontId="0" fillId="0" borderId="0" xfId="0"/>
    <xf numFmtId="0" fontId="26" fillId="0" borderId="22" xfId="2" applyFont="1" applyBorder="1"/>
    <xf numFmtId="0" fontId="26" fillId="0" borderId="22" xfId="2" applyFont="1" applyBorder="1" applyProtection="1">
      <protection hidden="1"/>
    </xf>
    <xf numFmtId="0" fontId="26" fillId="0" borderId="27" xfId="2" applyFont="1" applyBorder="1"/>
    <xf numFmtId="0" fontId="27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left"/>
      <protection hidden="1"/>
    </xf>
    <xf numFmtId="0" fontId="98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center"/>
      <protection hidden="1"/>
    </xf>
    <xf numFmtId="0" fontId="26" fillId="0" borderId="0" xfId="2" applyFont="1" applyBorder="1" applyProtection="1">
      <protection hidden="1"/>
    </xf>
    <xf numFmtId="0" fontId="26" fillId="0" borderId="5" xfId="2" applyFont="1" applyBorder="1"/>
    <xf numFmtId="0" fontId="26" fillId="0" borderId="0" xfId="2" applyFont="1" applyProtection="1">
      <protection hidden="1"/>
    </xf>
    <xf numFmtId="0" fontId="4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left" vertical="top"/>
      <protection hidden="1"/>
    </xf>
    <xf numFmtId="0" fontId="99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left" vertical="top"/>
      <protection hidden="1"/>
    </xf>
    <xf numFmtId="0" fontId="102" fillId="0" borderId="0" xfId="2" applyFont="1" applyBorder="1" applyAlignment="1" applyProtection="1">
      <alignment horizontal="left" vertical="top"/>
      <protection hidden="1"/>
    </xf>
    <xf numFmtId="0" fontId="47" fillId="0" borderId="0" xfId="2" applyFont="1" applyBorder="1" applyAlignment="1" applyProtection="1">
      <alignment horizontal="center" vertical="center" wrapText="1"/>
      <protection hidden="1"/>
    </xf>
    <xf numFmtId="0" fontId="101" fillId="0" borderId="0" xfId="2" applyFont="1" applyBorder="1" applyAlignment="1" applyProtection="1">
      <alignment horizontal="center" vertical="top"/>
      <protection hidden="1"/>
    </xf>
    <xf numFmtId="0" fontId="30" fillId="0" borderId="5" xfId="2" applyFont="1" applyBorder="1" applyAlignment="1">
      <alignment horizontal="center"/>
    </xf>
    <xf numFmtId="0" fontId="18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 vertical="top"/>
      <protection hidden="1"/>
    </xf>
    <xf numFmtId="0" fontId="7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center" wrapText="1"/>
      <protection hidden="1"/>
    </xf>
    <xf numFmtId="0" fontId="40" fillId="0" borderId="0" xfId="2" applyFont="1" applyBorder="1" applyAlignment="1" applyProtection="1">
      <alignment horizontal="center" vertical="top" wrapText="1"/>
      <protection hidden="1"/>
    </xf>
    <xf numFmtId="0" fontId="26" fillId="0" borderId="0" xfId="2" applyFont="1" applyBorder="1" applyAlignment="1" applyProtection="1">
      <alignment horizontal="center" wrapText="1"/>
      <protection hidden="1"/>
    </xf>
    <xf numFmtId="0" fontId="103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/>
      <protection hidden="1"/>
    </xf>
    <xf numFmtId="0" fontId="101" fillId="0" borderId="22" xfId="2" applyFont="1" applyBorder="1" applyAlignment="1" applyProtection="1">
      <alignment horizontal="center" vertical="top"/>
      <protection hidden="1"/>
    </xf>
    <xf numFmtId="0" fontId="101" fillId="0" borderId="22" xfId="2" applyFont="1" applyBorder="1" applyAlignment="1" applyProtection="1">
      <alignment horizontal="left"/>
      <protection hidden="1"/>
    </xf>
    <xf numFmtId="0" fontId="103" fillId="0" borderId="0" xfId="2" applyFont="1" applyBorder="1" applyAlignment="1" applyProtection="1">
      <alignment horizontal="right"/>
      <protection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1" fillId="0" borderId="0" xfId="2" applyFont="1" applyBorder="1" applyAlignment="1" applyProtection="1">
      <alignment horizontal="left"/>
      <protection hidden="1"/>
    </xf>
    <xf numFmtId="0" fontId="104" fillId="0" borderId="22" xfId="2" applyFont="1" applyBorder="1" applyAlignment="1" applyProtection="1">
      <alignment horizontal="center" vertical="top"/>
      <protection locked="0" hidden="1"/>
    </xf>
    <xf numFmtId="0" fontId="104" fillId="0" borderId="0" xfId="2" applyFont="1" applyBorder="1" applyAlignment="1" applyProtection="1">
      <alignment horizontal="center" vertical="top"/>
      <protection hidden="1"/>
    </xf>
    <xf numFmtId="0" fontId="64" fillId="0" borderId="0" xfId="2" applyFont="1" applyBorder="1" applyAlignment="1" applyProtection="1">
      <alignment horizontal="left" vertical="top"/>
      <protection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30" fillId="0" borderId="0" xfId="2" applyFont="1" applyBorder="1" applyAlignment="1" applyProtection="1">
      <alignment horizontal="left"/>
      <protection hidden="1"/>
    </xf>
    <xf numFmtId="0" fontId="105" fillId="0" borderId="0" xfId="2" applyFont="1" applyBorder="1" applyAlignment="1" applyProtection="1">
      <alignment horizontal="left"/>
      <protection hidden="1"/>
    </xf>
    <xf numFmtId="0" fontId="101" fillId="0" borderId="22" xfId="2" applyFont="1" applyBorder="1" applyAlignment="1" applyProtection="1">
      <alignment horizontal="left" vertical="top"/>
      <protection hidden="1"/>
    </xf>
    <xf numFmtId="0" fontId="26" fillId="0" borderId="5" xfId="2" applyFont="1" applyBorder="1" applyProtection="1"/>
    <xf numFmtId="0" fontId="40" fillId="0" borderId="0" xfId="2" applyFont="1" applyBorder="1" applyAlignment="1" applyProtection="1">
      <alignment horizontal="center" vertical="top"/>
      <protection hidden="1"/>
    </xf>
    <xf numFmtId="0" fontId="26" fillId="0" borderId="22" xfId="2" applyFont="1" applyBorder="1" applyAlignment="1" applyProtection="1">
      <alignment horizontal="left"/>
      <protection hidden="1"/>
    </xf>
    <xf numFmtId="0" fontId="102" fillId="0" borderId="0" xfId="2" applyFont="1" applyBorder="1" applyAlignment="1" applyProtection="1">
      <alignment horizontal="right" vertical="top"/>
      <protection hidden="1"/>
    </xf>
    <xf numFmtId="0" fontId="40" fillId="0" borderId="22" xfId="2" applyFont="1" applyBorder="1" applyAlignment="1" applyProtection="1">
      <alignment horizontal="left" vertical="top"/>
      <protection locked="0" hidden="1"/>
    </xf>
    <xf numFmtId="0" fontId="26" fillId="0" borderId="0" xfId="2" applyFont="1" applyBorder="1" applyAlignment="1" applyProtection="1">
      <alignment horizontal="left"/>
      <protection locked="0" hidden="1"/>
    </xf>
    <xf numFmtId="0" fontId="26" fillId="0" borderId="30" xfId="2" applyFont="1" applyBorder="1" applyAlignment="1" applyProtection="1">
      <alignment horizontal="left"/>
      <protection locked="0" hidden="1"/>
    </xf>
    <xf numFmtId="0" fontId="106" fillId="0" borderId="0" xfId="2" applyFont="1" applyBorder="1" applyAlignment="1" applyProtection="1">
      <alignment horizontal="left" vertical="top"/>
      <protection hidden="1"/>
    </xf>
    <xf numFmtId="0" fontId="107" fillId="0" borderId="0" xfId="2" applyFont="1" applyBorder="1" applyAlignment="1" applyProtection="1">
      <alignment horizontal="left" vertical="top"/>
      <protection hidden="1"/>
    </xf>
    <xf numFmtId="0" fontId="36" fillId="0" borderId="22" xfId="2" applyFont="1" applyBorder="1" applyAlignment="1" applyProtection="1">
      <alignment horizontal="center"/>
      <protection locked="0" hidden="1"/>
    </xf>
    <xf numFmtId="0" fontId="36" fillId="0" borderId="22" xfId="2" applyFont="1" applyBorder="1" applyProtection="1">
      <protection locked="0" hidden="1"/>
    </xf>
    <xf numFmtId="0" fontId="36" fillId="0" borderId="5" xfId="2" applyFont="1" applyBorder="1" applyProtection="1"/>
    <xf numFmtId="0" fontId="108" fillId="0" borderId="0" xfId="2" applyFont="1" applyBorder="1" applyAlignment="1" applyProtection="1">
      <alignment horizontal="left" vertical="top"/>
      <protection hidden="1"/>
    </xf>
    <xf numFmtId="0" fontId="15" fillId="0" borderId="29" xfId="2" applyFont="1" applyBorder="1"/>
    <xf numFmtId="0" fontId="15" fillId="0" borderId="22" xfId="2" applyFont="1" applyBorder="1" applyAlignment="1" applyProtection="1">
      <alignment horizontal="left"/>
      <protection hidden="1"/>
    </xf>
    <xf numFmtId="0" fontId="15" fillId="0" borderId="22" xfId="2" applyFont="1" applyBorder="1" applyAlignment="1" applyProtection="1">
      <alignment horizontal="center"/>
      <protection hidden="1"/>
    </xf>
    <xf numFmtId="0" fontId="15" fillId="0" borderId="22" xfId="2" applyFont="1" applyBorder="1" applyProtection="1">
      <protection hidden="1"/>
    </xf>
    <xf numFmtId="0" fontId="15" fillId="0" borderId="22" xfId="2" applyFont="1" applyBorder="1" applyAlignment="1" applyProtection="1">
      <alignment horizontal="right" vertical="center"/>
      <protection hidden="1"/>
    </xf>
    <xf numFmtId="0" fontId="15" fillId="0" borderId="7" xfId="2" applyFont="1" applyBorder="1"/>
    <xf numFmtId="0" fontId="26" fillId="0" borderId="0" xfId="2" applyProtection="1">
      <protection hidden="1"/>
    </xf>
    <xf numFmtId="0" fontId="30" fillId="6" borderId="7" xfId="1" applyFont="1" applyFill="1" applyBorder="1"/>
    <xf numFmtId="0" fontId="30" fillId="0" borderId="5" xfId="1" applyFont="1" applyFill="1" applyBorder="1"/>
    <xf numFmtId="0" fontId="63" fillId="0" borderId="44" xfId="1" applyFont="1" applyFill="1" applyBorder="1" applyAlignment="1">
      <alignment wrapText="1"/>
    </xf>
    <xf numFmtId="0" fontId="63" fillId="0" borderId="41" xfId="1" applyFont="1" applyFill="1" applyBorder="1" applyAlignment="1">
      <alignment wrapText="1"/>
    </xf>
    <xf numFmtId="0" fontId="30" fillId="0" borderId="17" xfId="1" applyFont="1" applyBorder="1" applyAlignment="1">
      <alignment wrapText="1"/>
    </xf>
    <xf numFmtId="0" fontId="30" fillId="0" borderId="15" xfId="1" applyFont="1" applyBorder="1" applyAlignment="1">
      <alignment vertical="center"/>
    </xf>
    <xf numFmtId="0" fontId="63" fillId="0" borderId="15" xfId="1" applyFont="1" applyBorder="1" applyAlignment="1">
      <alignment wrapText="1"/>
    </xf>
    <xf numFmtId="0" fontId="30" fillId="0" borderId="20" xfId="1" applyFont="1" applyBorder="1" applyAlignment="1">
      <alignment vertical="center"/>
    </xf>
    <xf numFmtId="0" fontId="30" fillId="0" borderId="2" xfId="1" applyFont="1" applyFill="1" applyBorder="1" applyAlignment="1" applyProtection="1">
      <alignment horizontal="left"/>
      <protection locked="0"/>
    </xf>
    <xf numFmtId="0" fontId="0" fillId="0" borderId="0" xfId="0"/>
    <xf numFmtId="0" fontId="0" fillId="0" borderId="5" xfId="0" applyBorder="1"/>
    <xf numFmtId="0" fontId="90" fillId="0" borderId="0" xfId="0" applyFont="1" applyAlignment="1">
      <alignment vertical="center"/>
    </xf>
    <xf numFmtId="0" fontId="0" fillId="0" borderId="0" xfId="0"/>
    <xf numFmtId="49" fontId="0" fillId="0" borderId="0" xfId="0" applyNumberFormat="1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9" xfId="0" applyBorder="1"/>
    <xf numFmtId="0" fontId="0" fillId="0" borderId="35" xfId="0" applyBorder="1"/>
    <xf numFmtId="0" fontId="32" fillId="6" borderId="7" xfId="1" applyFont="1" applyFill="1" applyBorder="1" applyAlignment="1" applyProtection="1">
      <alignment horizontal="center"/>
    </xf>
    <xf numFmtId="0" fontId="91" fillId="0" borderId="0" xfId="0" applyFont="1" applyAlignment="1"/>
    <xf numFmtId="0" fontId="30" fillId="0" borderId="16" xfId="1" applyFont="1" applyFill="1" applyBorder="1" applyAlignment="1" applyProtection="1">
      <alignment horizontal="left"/>
      <protection locked="0"/>
    </xf>
    <xf numFmtId="22" fontId="0" fillId="0" borderId="0" xfId="0" applyNumberFormat="1"/>
    <xf numFmtId="0" fontId="46" fillId="0" borderId="9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39" fillId="0" borderId="0" xfId="0" applyFont="1" applyAlignment="1">
      <alignment horizontal="center" textRotation="90"/>
    </xf>
    <xf numFmtId="0" fontId="39" fillId="0" borderId="5" xfId="0" applyFont="1" applyBorder="1" applyAlignment="1">
      <alignment horizontal="center" textRotation="90"/>
    </xf>
    <xf numFmtId="49" fontId="97" fillId="0" borderId="22" xfId="0" applyNumberFormat="1" applyFont="1" applyBorder="1" applyAlignment="1">
      <alignment horizontal="left"/>
    </xf>
    <xf numFmtId="0" fontId="43" fillId="3" borderId="0" xfId="0" applyFont="1" applyFill="1" applyAlignment="1">
      <alignment horizontal="center"/>
    </xf>
    <xf numFmtId="0" fontId="39" fillId="0" borderId="0" xfId="0" applyFont="1" applyAlignment="1">
      <alignment horizontal="center" vertical="top" textRotation="90"/>
    </xf>
    <xf numFmtId="0" fontId="46" fillId="0" borderId="0" xfId="0" applyFont="1" applyAlignment="1">
      <alignment horizontal="center"/>
    </xf>
    <xf numFmtId="0" fontId="40" fillId="0" borderId="22" xfId="0" applyFont="1" applyBorder="1" applyAlignment="1">
      <alignment horizontal="center"/>
    </xf>
    <xf numFmtId="49" fontId="40" fillId="0" borderId="22" xfId="0" applyNumberFormat="1" applyFont="1" applyBorder="1" applyAlignment="1">
      <alignment horizontal="center"/>
    </xf>
    <xf numFmtId="0" fontId="40" fillId="0" borderId="9" xfId="0" applyFont="1" applyBorder="1" applyAlignment="1">
      <alignment horizontal="center"/>
    </xf>
    <xf numFmtId="0" fontId="40" fillId="0" borderId="23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26" fillId="0" borderId="0" xfId="1" applyAlignment="1">
      <alignment horizontal="center"/>
    </xf>
    <xf numFmtId="0" fontId="34" fillId="0" borderId="12" xfId="1" applyFont="1" applyBorder="1" applyAlignment="1">
      <alignment horizontal="center"/>
    </xf>
    <xf numFmtId="0" fontId="26" fillId="0" borderId="13" xfId="1" applyBorder="1" applyAlignment="1">
      <alignment horizontal="center"/>
    </xf>
    <xf numFmtId="0" fontId="26" fillId="0" borderId="14" xfId="1" applyBorder="1" applyAlignment="1">
      <alignment horizontal="center"/>
    </xf>
    <xf numFmtId="49" fontId="37" fillId="0" borderId="3" xfId="1" applyNumberFormat="1" applyFont="1" applyFill="1" applyBorder="1" applyAlignment="1">
      <alignment horizontal="center"/>
    </xf>
    <xf numFmtId="0" fontId="37" fillId="0" borderId="4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3" fillId="0" borderId="13" xfId="1" applyFont="1" applyFill="1" applyBorder="1" applyAlignment="1" applyProtection="1">
      <alignment horizontal="center"/>
      <protection locked="0"/>
    </xf>
    <xf numFmtId="0" fontId="33" fillId="0" borderId="14" xfId="1" applyFont="1" applyFill="1" applyBorder="1" applyAlignment="1" applyProtection="1">
      <alignment horizontal="center"/>
      <protection locked="0"/>
    </xf>
    <xf numFmtId="0" fontId="28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right" vertical="center"/>
    </xf>
    <xf numFmtId="0" fontId="34" fillId="0" borderId="12" xfId="1" applyFont="1" applyFill="1" applyBorder="1" applyAlignment="1">
      <alignment horizontal="center"/>
    </xf>
    <xf numFmtId="0" fontId="26" fillId="0" borderId="32" xfId="1" applyFill="1" applyBorder="1" applyAlignment="1">
      <alignment horizontal="center"/>
    </xf>
    <xf numFmtId="0" fontId="26" fillId="0" borderId="33" xfId="1" applyFill="1" applyBorder="1" applyAlignment="1">
      <alignment horizontal="center"/>
    </xf>
    <xf numFmtId="0" fontId="30" fillId="0" borderId="16" xfId="1" applyFont="1" applyFill="1" applyBorder="1" applyAlignment="1" applyProtection="1">
      <alignment horizontal="left"/>
      <protection locked="0"/>
    </xf>
    <xf numFmtId="0" fontId="0" fillId="0" borderId="3" xfId="0" applyFill="1" applyBorder="1" applyAlignment="1"/>
    <xf numFmtId="0" fontId="30" fillId="0" borderId="31" xfId="1" applyFont="1" applyFill="1" applyBorder="1" applyAlignment="1">
      <alignment horizontal="left"/>
    </xf>
    <xf numFmtId="0" fontId="30" fillId="0" borderId="40" xfId="1" applyFont="1" applyFill="1" applyBorder="1" applyAlignment="1">
      <alignment horizontal="left"/>
    </xf>
    <xf numFmtId="0" fontId="0" fillId="0" borderId="22" xfId="0" applyBorder="1" applyAlignment="1">
      <alignment horizontal="center"/>
    </xf>
    <xf numFmtId="0" fontId="90" fillId="0" borderId="22" xfId="0" applyFont="1" applyBorder="1" applyAlignment="1">
      <alignment horizontal="left" vertical="center"/>
    </xf>
    <xf numFmtId="0" fontId="90" fillId="0" borderId="0" xfId="0" applyFont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5" fillId="0" borderId="1" xfId="0" applyFont="1" applyBorder="1" applyAlignment="1">
      <alignment horizontal="center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49" fillId="0" borderId="27" xfId="0" applyFont="1" applyBorder="1" applyAlignment="1" applyProtection="1">
      <alignment horizontal="center"/>
      <protection hidden="1"/>
    </xf>
    <xf numFmtId="0" fontId="0" fillId="0" borderId="0" xfId="0"/>
    <xf numFmtId="0" fontId="0" fillId="0" borderId="5" xfId="0" applyBorder="1"/>
    <xf numFmtId="0" fontId="50" fillId="0" borderId="27" xfId="0" applyFont="1" applyBorder="1" applyProtection="1">
      <protection hidden="1"/>
    </xf>
    <xf numFmtId="0" fontId="24" fillId="0" borderId="0" xfId="0" applyFont="1"/>
    <xf numFmtId="0" fontId="26" fillId="0" borderId="22" xfId="0" applyFont="1" applyFill="1" applyBorder="1" applyAlignment="1" applyProtection="1">
      <alignment horizontal="center"/>
      <protection hidden="1"/>
    </xf>
    <xf numFmtId="0" fontId="26" fillId="0" borderId="7" xfId="0" applyFont="1" applyFill="1" applyBorder="1" applyAlignment="1" applyProtection="1">
      <alignment horizontal="center"/>
      <protection hidden="1"/>
    </xf>
    <xf numFmtId="0" fontId="52" fillId="4" borderId="27" xfId="0" applyFont="1" applyFill="1" applyBorder="1" applyAlignment="1" applyProtection="1">
      <alignment horizontal="center" vertical="center"/>
      <protection hidden="1"/>
    </xf>
    <xf numFmtId="0" fontId="52" fillId="4" borderId="9" xfId="0" applyFont="1" applyFill="1" applyBorder="1" applyAlignment="1" applyProtection="1">
      <alignment horizontal="center" vertical="center"/>
      <protection hidden="1"/>
    </xf>
    <xf numFmtId="0" fontId="26" fillId="0" borderId="23" xfId="0" applyNumberFormat="1" applyFont="1" applyBorder="1" applyAlignment="1" applyProtection="1">
      <alignment horizontal="center"/>
      <protection hidden="1"/>
    </xf>
    <xf numFmtId="0" fontId="26" fillId="0" borderId="30" xfId="0" applyNumberFormat="1" applyFont="1" applyBorder="1" applyAlignment="1" applyProtection="1">
      <alignment horizontal="center"/>
      <protection hidden="1"/>
    </xf>
    <xf numFmtId="0" fontId="26" fillId="0" borderId="8" xfId="0" applyNumberFormat="1" applyFont="1" applyBorder="1" applyAlignment="1" applyProtection="1">
      <alignment horizontal="center"/>
      <protection hidden="1"/>
    </xf>
    <xf numFmtId="0" fontId="26" fillId="0" borderId="9" xfId="0" applyNumberFormat="1" applyFont="1" applyBorder="1" applyAlignment="1" applyProtection="1">
      <alignment horizontal="center"/>
      <protection hidden="1"/>
    </xf>
    <xf numFmtId="0" fontId="53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50" fillId="0" borderId="24" xfId="0" applyFont="1" applyBorder="1" applyAlignment="1" applyProtection="1">
      <alignment horizontal="center" vertical="center"/>
      <protection hidden="1"/>
    </xf>
    <xf numFmtId="0" fontId="50" fillId="0" borderId="25" xfId="0" applyFont="1" applyBorder="1" applyAlignment="1" applyProtection="1">
      <alignment horizontal="center" vertical="center"/>
      <protection hidden="1"/>
    </xf>
    <xf numFmtId="0" fontId="50" fillId="0" borderId="26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7" xfId="0" applyFont="1" applyBorder="1" applyAlignment="1" applyProtection="1">
      <alignment horizontal="center" vertical="center"/>
      <protection hidden="1"/>
    </xf>
    <xf numFmtId="0" fontId="50" fillId="0" borderId="24" xfId="0" applyFont="1" applyBorder="1" applyAlignment="1" applyProtection="1">
      <alignment horizontal="center" vertical="center" wrapText="1"/>
      <protection hidden="1"/>
    </xf>
    <xf numFmtId="0" fontId="50" fillId="0" borderId="26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50" fillId="0" borderId="7" xfId="0" applyFont="1" applyBorder="1" applyAlignment="1" applyProtection="1">
      <alignment horizontal="center" vertical="center" wrapText="1"/>
      <protection hidden="1"/>
    </xf>
    <xf numFmtId="0" fontId="54" fillId="0" borderId="23" xfId="0" applyFont="1" applyBorder="1" applyAlignment="1" applyProtection="1">
      <alignment horizontal="left" vertical="top"/>
      <protection hidden="1"/>
    </xf>
    <xf numFmtId="0" fontId="54" fillId="0" borderId="30" xfId="0" applyFont="1" applyBorder="1" applyAlignment="1" applyProtection="1">
      <alignment horizontal="left" vertical="top"/>
      <protection hidden="1"/>
    </xf>
    <xf numFmtId="0" fontId="54" fillId="0" borderId="8" xfId="0" applyFont="1" applyBorder="1" applyAlignment="1" applyProtection="1">
      <alignment horizontal="left" vertical="top"/>
      <protection hidden="1"/>
    </xf>
    <xf numFmtId="0" fontId="24" fillId="5" borderId="23" xfId="0" applyFont="1" applyFill="1" applyBorder="1" applyAlignment="1" applyProtection="1">
      <alignment horizontal="center"/>
      <protection hidden="1"/>
    </xf>
    <xf numFmtId="0" fontId="24" fillId="5" borderId="8" xfId="0" applyFont="1" applyFill="1" applyBorder="1" applyAlignment="1" applyProtection="1">
      <alignment horizontal="center"/>
      <protection hidden="1"/>
    </xf>
    <xf numFmtId="0" fontId="50" fillId="0" borderId="24" xfId="0" applyFont="1" applyBorder="1" applyAlignment="1" applyProtection="1">
      <alignment horizontal="center" wrapText="1"/>
      <protection hidden="1"/>
    </xf>
    <xf numFmtId="0" fontId="50" fillId="0" borderId="26" xfId="0" applyFont="1" applyBorder="1" applyAlignment="1" applyProtection="1">
      <alignment horizontal="center"/>
      <protection hidden="1"/>
    </xf>
    <xf numFmtId="0" fontId="50" fillId="0" borderId="29" xfId="0" applyFont="1" applyBorder="1" applyAlignment="1" applyProtection="1">
      <alignment horizontal="center"/>
      <protection hidden="1"/>
    </xf>
    <xf numFmtId="0" fontId="50" fillId="0" borderId="7" xfId="0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0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49" fontId="61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0" fillId="0" borderId="25" xfId="0" applyBorder="1" applyAlignment="1">
      <alignment horizontal="center"/>
    </xf>
    <xf numFmtId="0" fontId="24" fillId="0" borderId="23" xfId="0" applyFont="1" applyBorder="1" applyAlignment="1" applyProtection="1">
      <alignment horizontal="center"/>
      <protection hidden="1"/>
    </xf>
    <xf numFmtId="0" fontId="24" fillId="0" borderId="8" xfId="0" applyFont="1" applyBorder="1" applyAlignment="1" applyProtection="1">
      <alignment horizontal="center"/>
      <protection hidden="1"/>
    </xf>
    <xf numFmtId="0" fontId="77" fillId="0" borderId="31" xfId="2" applyFont="1" applyBorder="1" applyAlignment="1">
      <alignment horizontal="center" vertical="center"/>
    </xf>
    <xf numFmtId="0" fontId="77" fillId="0" borderId="32" xfId="2" applyFont="1" applyBorder="1" applyAlignment="1">
      <alignment horizontal="center" vertical="center"/>
    </xf>
    <xf numFmtId="0" fontId="77" fillId="0" borderId="33" xfId="2" applyFont="1" applyBorder="1" applyAlignment="1">
      <alignment horizontal="center" vertical="center"/>
    </xf>
    <xf numFmtId="0" fontId="62" fillId="4" borderId="31" xfId="2" applyFont="1" applyFill="1" applyBorder="1" applyAlignment="1">
      <alignment horizontal="center" vertical="center"/>
    </xf>
    <xf numFmtId="0" fontId="62" fillId="4" borderId="32" xfId="2" applyFont="1" applyFill="1" applyBorder="1" applyAlignment="1">
      <alignment horizontal="center" vertical="center"/>
    </xf>
    <xf numFmtId="0" fontId="62" fillId="4" borderId="33" xfId="2" applyFont="1" applyFill="1" applyBorder="1" applyAlignment="1">
      <alignment horizontal="center" vertical="center"/>
    </xf>
    <xf numFmtId="0" fontId="63" fillId="0" borderId="34" xfId="2" applyFont="1" applyBorder="1" applyAlignment="1">
      <alignment horizontal="center" vertical="center" wrapText="1"/>
    </xf>
    <xf numFmtId="0" fontId="63" fillId="0" borderId="5" xfId="2" applyFont="1" applyBorder="1" applyAlignment="1">
      <alignment horizontal="center" vertical="center" wrapText="1"/>
    </xf>
    <xf numFmtId="0" fontId="64" fillId="0" borderId="27" xfId="2" applyFont="1" applyBorder="1" applyAlignment="1">
      <alignment horizontal="center" vertical="center" wrapText="1"/>
    </xf>
    <xf numFmtId="0" fontId="64" fillId="0" borderId="5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64" fillId="0" borderId="35" xfId="2" applyFont="1" applyBorder="1" applyAlignment="1">
      <alignment horizontal="center" vertical="center" wrapText="1"/>
    </xf>
    <xf numFmtId="0" fontId="64" fillId="0" borderId="36" xfId="2" applyFont="1" applyBorder="1" applyAlignment="1">
      <alignment horizontal="center" vertical="center" wrapText="1"/>
    </xf>
    <xf numFmtId="0" fontId="64" fillId="0" borderId="9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/>
    </xf>
    <xf numFmtId="0" fontId="64" fillId="0" borderId="28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 vertical="center" wrapText="1"/>
    </xf>
    <xf numFmtId="0" fontId="35" fillId="0" borderId="38" xfId="2" applyFont="1" applyBorder="1" applyAlignment="1">
      <alignment horizontal="center" vertical="center" wrapText="1"/>
    </xf>
    <xf numFmtId="0" fontId="63" fillId="0" borderId="9" xfId="2" applyFont="1" applyBorder="1" applyAlignment="1">
      <alignment horizontal="center" vertical="center" wrapText="1"/>
    </xf>
    <xf numFmtId="0" fontId="35" fillId="0" borderId="9" xfId="2" applyFont="1" applyBorder="1" applyAlignment="1">
      <alignment horizontal="center" vertical="center" wrapText="1"/>
    </xf>
    <xf numFmtId="0" fontId="63" fillId="0" borderId="11" xfId="2" applyFont="1" applyBorder="1" applyAlignment="1">
      <alignment horizontal="center" vertical="center" wrapText="1"/>
    </xf>
    <xf numFmtId="0" fontId="35" fillId="0" borderId="11" xfId="2" applyFont="1" applyBorder="1" applyAlignment="1">
      <alignment horizontal="center" vertical="center" wrapText="1"/>
    </xf>
    <xf numFmtId="0" fontId="26" fillId="0" borderId="11" xfId="2" applyBorder="1" applyAlignment="1">
      <alignment horizontal="center"/>
    </xf>
    <xf numFmtId="0" fontId="35" fillId="0" borderId="32" xfId="2" applyFont="1" applyBorder="1" applyAlignment="1">
      <alignment horizontal="right"/>
    </xf>
    <xf numFmtId="0" fontId="63" fillId="0" borderId="34" xfId="2" applyFont="1" applyBorder="1" applyAlignment="1">
      <alignment horizontal="center" vertical="center" textRotation="90"/>
    </xf>
    <xf numFmtId="0" fontId="63" fillId="0" borderId="40" xfId="2" applyFont="1" applyBorder="1" applyAlignment="1">
      <alignment horizontal="center" vertical="center" textRotation="90"/>
    </xf>
    <xf numFmtId="0" fontId="63" fillId="0" borderId="38" xfId="2" applyFont="1" applyBorder="1" applyAlignment="1">
      <alignment horizontal="center" vertical="center" wrapText="1"/>
    </xf>
    <xf numFmtId="0" fontId="26" fillId="0" borderId="38" xfId="2" applyBorder="1" applyAlignment="1">
      <alignment horizontal="center"/>
    </xf>
    <xf numFmtId="0" fontId="26" fillId="0" borderId="9" xfId="2" applyBorder="1" applyAlignment="1">
      <alignment horizontal="center"/>
    </xf>
    <xf numFmtId="0" fontId="63" fillId="0" borderId="31" xfId="2" applyFont="1" applyBorder="1" applyAlignment="1">
      <alignment horizontal="center" vertical="center" textRotation="90"/>
    </xf>
    <xf numFmtId="49" fontId="53" fillId="4" borderId="44" xfId="0" applyNumberFormat="1" applyFont="1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7" fillId="0" borderId="0" xfId="0" applyFont="1"/>
    <xf numFmtId="0" fontId="49" fillId="0" borderId="0" xfId="0" applyFont="1" applyAlignment="1">
      <alignment horizontal="center" vertical="center"/>
    </xf>
    <xf numFmtId="0" fontId="78" fillId="0" borderId="0" xfId="0" applyFont="1" applyAlignment="1">
      <alignment horizontal="center"/>
    </xf>
    <xf numFmtId="0" fontId="81" fillId="0" borderId="0" xfId="0" applyFont="1" applyAlignment="1">
      <alignment horizontal="center"/>
    </xf>
    <xf numFmtId="0" fontId="82" fillId="0" borderId="12" xfId="0" applyFont="1" applyBorder="1" applyAlignment="1">
      <alignment horizontal="center"/>
    </xf>
    <xf numFmtId="0" fontId="82" fillId="0" borderId="13" xfId="0" applyFont="1" applyBorder="1"/>
    <xf numFmtId="0" fontId="82" fillId="0" borderId="14" xfId="0" applyFont="1" applyBorder="1"/>
    <xf numFmtId="0" fontId="82" fillId="0" borderId="13" xfId="0" applyFont="1" applyBorder="1" applyAlignment="1">
      <alignment horizontal="center"/>
    </xf>
    <xf numFmtId="0" fontId="82" fillId="0" borderId="14" xfId="0" applyFont="1" applyBorder="1" applyAlignment="1">
      <alignment horizontal="center"/>
    </xf>
    <xf numFmtId="0" fontId="92" fillId="0" borderId="15" xfId="0" applyNumberFormat="1" applyFont="1" applyFill="1" applyBorder="1" applyAlignment="1" applyProtection="1">
      <alignment horizontal="center" vertical="center"/>
      <protection locked="0"/>
    </xf>
    <xf numFmtId="0" fontId="93" fillId="0" borderId="9" xfId="0" applyNumberFormat="1" applyFont="1" applyFill="1" applyBorder="1" applyProtection="1">
      <protection locked="0"/>
    </xf>
    <xf numFmtId="0" fontId="9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" xfId="0" applyBorder="1" applyProtection="1">
      <protection locked="0"/>
    </xf>
    <xf numFmtId="0" fontId="0" fillId="0" borderId="35" xfId="0" applyBorder="1" applyProtection="1">
      <protection locked="0"/>
    </xf>
    <xf numFmtId="0" fontId="51" fillId="0" borderId="9" xfId="0" applyFont="1" applyBorder="1" applyProtection="1">
      <protection locked="0"/>
    </xf>
    <xf numFmtId="0" fontId="51" fillId="0" borderId="35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85" fillId="0" borderId="2" xfId="0" applyFont="1" applyBorder="1"/>
    <xf numFmtId="0" fontId="0" fillId="0" borderId="3" xfId="0" applyBorder="1"/>
    <xf numFmtId="0" fontId="0" fillId="0" borderId="4" xfId="0" applyBorder="1"/>
    <xf numFmtId="49" fontId="80" fillId="0" borderId="0" xfId="0" applyNumberFormat="1" applyFont="1" applyAlignment="1">
      <alignment horizontal="left"/>
    </xf>
    <xf numFmtId="49" fontId="0" fillId="0" borderId="0" xfId="0" applyNumberFormat="1"/>
    <xf numFmtId="0" fontId="0" fillId="0" borderId="22" xfId="0" applyBorder="1" applyProtection="1">
      <protection locked="0"/>
    </xf>
    <xf numFmtId="0" fontId="87" fillId="0" borderId="25" xfId="0" applyFont="1" applyBorder="1" applyAlignment="1">
      <alignment horizontal="center"/>
    </xf>
    <xf numFmtId="0" fontId="92" fillId="0" borderId="44" xfId="0" applyNumberFormat="1" applyFont="1" applyFill="1" applyBorder="1" applyAlignment="1" applyProtection="1">
      <alignment horizontal="center" vertical="center"/>
      <protection locked="0"/>
    </xf>
    <xf numFmtId="0" fontId="92" fillId="0" borderId="8" xfId="0" applyNumberFormat="1" applyFont="1" applyFill="1" applyBorder="1" applyAlignment="1" applyProtection="1">
      <alignment horizontal="center" vertical="center"/>
      <protection locked="0"/>
    </xf>
    <xf numFmtId="0" fontId="26" fillId="0" borderId="30" xfId="2" applyFont="1" applyBorder="1" applyAlignment="1" applyProtection="1">
      <alignment horizontal="center"/>
      <protection locked="0" hidden="1"/>
    </xf>
    <xf numFmtId="0" fontId="100" fillId="0" borderId="22" xfId="2" applyFont="1" applyBorder="1" applyAlignment="1" applyProtection="1">
      <alignment horizontal="center" vertical="top"/>
      <protection locked="0" hidden="1"/>
    </xf>
    <xf numFmtId="0" fontId="30" fillId="0" borderId="22" xfId="2" applyFont="1" applyBorder="1" applyAlignment="1" applyProtection="1">
      <alignment horizontal="center"/>
      <protection locked="0"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26" fillId="0" borderId="22" xfId="2" applyFont="1" applyBorder="1" applyAlignment="1" applyProtection="1">
      <alignment horizontal="center"/>
      <protection hidden="1"/>
    </xf>
    <xf numFmtId="0" fontId="26" fillId="0" borderId="22" xfId="2" applyFont="1" applyBorder="1" applyAlignment="1" applyProtection="1">
      <alignment horizontal="center"/>
      <protection locked="0" hidden="1"/>
    </xf>
    <xf numFmtId="0" fontId="111" fillId="0" borderId="22" xfId="2" applyFont="1" applyBorder="1" applyAlignment="1" applyProtection="1">
      <alignment horizontal="center"/>
      <protection locked="0" hidden="1"/>
    </xf>
    <xf numFmtId="0" fontId="108" fillId="0" borderId="30" xfId="2" applyFont="1" applyBorder="1" applyAlignment="1" applyProtection="1">
      <alignment horizontal="center" vertical="top"/>
      <protection locked="0" hidden="1"/>
    </xf>
  </cellXfs>
  <cellStyles count="3">
    <cellStyle name="Normal" xfId="0" builtinId="0"/>
    <cellStyle name="Normal 2" xfId="2" xr:uid="{00000000-0005-0000-0000-000001000000}"/>
    <cellStyle name="Normal_FORM #'s 09-32-01 and 09-35-01 Rev A Biological Indicator Sheet" xfId="1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</xdr:row>
          <xdr:rowOff>152400</xdr:rowOff>
        </xdr:from>
        <xdr:to>
          <xdr:col>4</xdr:col>
          <xdr:colOff>723900</xdr:colOff>
          <xdr:row>5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5</xdr:row>
          <xdr:rowOff>180975</xdr:rowOff>
        </xdr:from>
        <xdr:to>
          <xdr:col>4</xdr:col>
          <xdr:colOff>723900</xdr:colOff>
          <xdr:row>7</xdr:row>
          <xdr:rowOff>47625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</xdr:row>
          <xdr:rowOff>171450</xdr:rowOff>
        </xdr:from>
        <xdr:to>
          <xdr:col>4</xdr:col>
          <xdr:colOff>714375</xdr:colOff>
          <xdr:row>9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9</xdr:row>
          <xdr:rowOff>171450</xdr:rowOff>
        </xdr:from>
        <xdr:to>
          <xdr:col>4</xdr:col>
          <xdr:colOff>723900</xdr:colOff>
          <xdr:row>11</xdr:row>
          <xdr:rowOff>38100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19050</xdr:rowOff>
        </xdr:from>
        <xdr:to>
          <xdr:col>4</xdr:col>
          <xdr:colOff>47625</xdr:colOff>
          <xdr:row>30</xdr:row>
          <xdr:rowOff>247650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171450</xdr:rowOff>
        </xdr:from>
        <xdr:to>
          <xdr:col>4</xdr:col>
          <xdr:colOff>723900</xdr:colOff>
          <xdr:row>13</xdr:row>
          <xdr:rowOff>28575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2181225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058400" y="8658225"/>
          <a:ext cx="71437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349567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2276475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0535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59150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712470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833437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44050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1075372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1196340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13173075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1438275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155924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2276475" y="981075"/>
          <a:ext cx="30304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3038475" y="782955"/>
          <a:ext cx="304800" cy="18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2706350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19824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1508105" y="1000125"/>
          <a:ext cx="302989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0793730" y="763905"/>
          <a:ext cx="284339" cy="1980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0793730" y="981075"/>
          <a:ext cx="2843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10267950" y="962025"/>
          <a:ext cx="29527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9561195" y="981075"/>
          <a:ext cx="29664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9067800" y="981075"/>
          <a:ext cx="30371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7840980" y="809625"/>
          <a:ext cx="30304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784098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143750" y="1017270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6638925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590550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5448300" y="1017270"/>
          <a:ext cx="294144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4724400" y="828675"/>
          <a:ext cx="2952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472440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4278630" y="981075"/>
          <a:ext cx="29314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3514725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3038475" y="963930"/>
          <a:ext cx="304800" cy="1984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83248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5099030" y="962025"/>
          <a:ext cx="30304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13173075" y="809625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3190220" y="981075"/>
          <a:ext cx="28782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3904595" y="962025"/>
          <a:ext cx="296156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4403705" y="981075"/>
          <a:ext cx="3029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981075"/>
          <a:ext cx="514350" cy="2001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5" name="Text Box 200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6325850" y="1000125"/>
          <a:ext cx="303712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6" name="Text Box 201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5640050" y="1017270"/>
          <a:ext cx="277596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7" name="Text Box 202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6325850" y="800100"/>
          <a:ext cx="303712" cy="200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4</xdr:row>
          <xdr:rowOff>47625</xdr:rowOff>
        </xdr:from>
        <xdr:to>
          <xdr:col>20</xdr:col>
          <xdr:colOff>571500</xdr:colOff>
          <xdr:row>4</xdr:row>
          <xdr:rowOff>447675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25</xdr:row>
      <xdr:rowOff>171450</xdr:rowOff>
    </xdr:from>
    <xdr:to>
      <xdr:col>3</xdr:col>
      <xdr:colOff>0</xdr:colOff>
      <xdr:row>25</xdr:row>
      <xdr:rowOff>171450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348740" y="539115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4</xdr:row>
          <xdr:rowOff>57150</xdr:rowOff>
        </xdr:from>
        <xdr:to>
          <xdr:col>13</xdr:col>
          <xdr:colOff>657225</xdr:colOff>
          <xdr:row>7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Loop Through Valid Lots and 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seMeeting.BUSSEINC/AppData/Local/Microsoft/Windows/INetCache/Content.Outlook/JBAQUXMM/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pkgclerk/LOCALS~1/Temp/Sterile%20Finished%20Goods%20Projec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PKG%20Schedule\Released%20Schedul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/>
      <sheetData sheetId="1">
        <row r="1">
          <cell r="C1" t="str">
            <v>Parts</v>
          </cell>
          <cell r="D1" t="str">
            <v>Ready</v>
          </cell>
          <cell r="K1" t="str">
            <v>Machine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  <cell r="J2" t="str">
            <v>Item</v>
          </cell>
          <cell r="K2" t="str">
            <v>/Area</v>
          </cell>
          <cell r="L2" t="str">
            <v>Description</v>
          </cell>
          <cell r="M2" t="str">
            <v>Qty</v>
          </cell>
        </row>
        <row r="3">
          <cell r="E3" t="str">
            <v>Date</v>
          </cell>
        </row>
        <row r="4">
          <cell r="A4" t="str">
            <v>1950089</v>
          </cell>
          <cell r="B4" t="str">
            <v>Y</v>
          </cell>
          <cell r="C4" t="str">
            <v>Y</v>
          </cell>
          <cell r="D4" t="str">
            <v>Y</v>
          </cell>
          <cell r="E4">
            <v>43769</v>
          </cell>
          <cell r="F4">
            <v>43773</v>
          </cell>
          <cell r="G4" t="str">
            <v xml:space="preserve"> 1st Shift</v>
          </cell>
          <cell r="H4">
            <v>43775</v>
          </cell>
          <cell r="I4">
            <v>0.27758101851851852</v>
          </cell>
          <cell r="J4" t="str">
            <v>6730B</v>
          </cell>
          <cell r="K4" t="str">
            <v>MULTI</v>
          </cell>
          <cell r="L4" t="str">
            <v>BUSSE LOW PROFILE BTM TRY</v>
          </cell>
          <cell r="M4">
            <v>20000</v>
          </cell>
        </row>
        <row r="5">
          <cell r="A5" t="str">
            <v>1931305</v>
          </cell>
          <cell r="B5" t="str">
            <v>Y</v>
          </cell>
          <cell r="C5" t="str">
            <v>Y</v>
          </cell>
          <cell r="D5" t="str">
            <v>Y</v>
          </cell>
          <cell r="E5">
            <v>43769</v>
          </cell>
          <cell r="F5">
            <v>43773</v>
          </cell>
          <cell r="G5" t="str">
            <v xml:space="preserve"> 1st Shift</v>
          </cell>
          <cell r="H5">
            <v>43775</v>
          </cell>
          <cell r="I5">
            <v>0.48016203703703703</v>
          </cell>
          <cell r="J5">
            <v>8489</v>
          </cell>
          <cell r="K5" t="str">
            <v>CNV1</v>
          </cell>
          <cell r="L5" t="str">
            <v>Ster C/General Biopsy T10</v>
          </cell>
          <cell r="M5">
            <v>40</v>
          </cell>
        </row>
        <row r="6">
          <cell r="A6" t="str">
            <v>1931314</v>
          </cell>
          <cell r="B6" t="str">
            <v>Y</v>
          </cell>
          <cell r="C6" t="str">
            <v>Y</v>
          </cell>
          <cell r="D6" t="str">
            <v>Y</v>
          </cell>
          <cell r="E6">
            <v>43769</v>
          </cell>
          <cell r="F6">
            <v>43773</v>
          </cell>
          <cell r="G6" t="str">
            <v xml:space="preserve"> 1st Shift</v>
          </cell>
          <cell r="H6">
            <v>43775</v>
          </cell>
          <cell r="I6">
            <v>0.53224537037037034</v>
          </cell>
          <cell r="J6">
            <v>7339</v>
          </cell>
          <cell r="K6" t="str">
            <v>CNV1</v>
          </cell>
          <cell r="L6" t="str">
            <v>Sterile Suture Tray 10/cs</v>
          </cell>
          <cell r="M6">
            <v>20</v>
          </cell>
        </row>
        <row r="7">
          <cell r="A7" t="str">
            <v>1931312</v>
          </cell>
          <cell r="B7" t="str">
            <v>Y</v>
          </cell>
          <cell r="C7" t="str">
            <v>Y</v>
          </cell>
          <cell r="D7" t="str">
            <v>Y</v>
          </cell>
          <cell r="E7">
            <v>43769</v>
          </cell>
          <cell r="F7">
            <v>43773</v>
          </cell>
          <cell r="G7" t="str">
            <v xml:space="preserve"> 1st Shift</v>
          </cell>
          <cell r="H7">
            <v>43775</v>
          </cell>
          <cell r="I7">
            <v>0.56870370370370371</v>
          </cell>
          <cell r="J7" t="str">
            <v>3705R5</v>
          </cell>
          <cell r="K7" t="str">
            <v>CNV1</v>
          </cell>
          <cell r="L7" t="str">
            <v>Ster Epidural Pain Ty10RX</v>
          </cell>
          <cell r="M7">
            <v>20</v>
          </cell>
        </row>
        <row r="8">
          <cell r="A8" t="str">
            <v>1931287</v>
          </cell>
          <cell r="B8" t="str">
            <v>Y</v>
          </cell>
          <cell r="C8" t="str">
            <v>Y</v>
          </cell>
          <cell r="D8" t="str">
            <v>Y</v>
          </cell>
          <cell r="E8">
            <v>43769</v>
          </cell>
          <cell r="F8">
            <v>43773</v>
          </cell>
          <cell r="G8" t="str">
            <v xml:space="preserve"> 1st Shift</v>
          </cell>
          <cell r="H8">
            <v>43775</v>
          </cell>
          <cell r="I8">
            <v>0.70307870370370373</v>
          </cell>
          <cell r="J8" t="str">
            <v>1422R1</v>
          </cell>
          <cell r="K8" t="str">
            <v>CNV1</v>
          </cell>
          <cell r="L8" t="str">
            <v>Ster Nerve Block Kit/10cs</v>
          </cell>
          <cell r="M8">
            <v>40</v>
          </cell>
        </row>
        <row r="9">
          <cell r="A9" t="str">
            <v>1931358</v>
          </cell>
          <cell r="B9" t="str">
            <v>Y</v>
          </cell>
          <cell r="C9" t="str">
            <v>Y</v>
          </cell>
          <cell r="D9" t="str">
            <v>Y</v>
          </cell>
          <cell r="E9">
            <v>43769</v>
          </cell>
          <cell r="F9">
            <v>43773</v>
          </cell>
          <cell r="G9" t="str">
            <v xml:space="preserve"> 1st Shift</v>
          </cell>
          <cell r="H9">
            <v>43775</v>
          </cell>
          <cell r="I9">
            <v>0.76064814814814818</v>
          </cell>
          <cell r="J9">
            <v>2893</v>
          </cell>
          <cell r="K9" t="str">
            <v>CNV1</v>
          </cell>
          <cell r="L9" t="str">
            <v>Ster S/S Epidural Tray10c</v>
          </cell>
          <cell r="M9">
            <v>50</v>
          </cell>
        </row>
        <row r="10">
          <cell r="A10" t="str">
            <v>1931354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43769</v>
          </cell>
          <cell r="F10">
            <v>43773</v>
          </cell>
          <cell r="G10" t="str">
            <v xml:space="preserve"> 1st Shift</v>
          </cell>
          <cell r="H10">
            <v>43775</v>
          </cell>
          <cell r="I10">
            <v>0.82054398148148155</v>
          </cell>
          <cell r="J10">
            <v>2916</v>
          </cell>
          <cell r="K10" t="str">
            <v>CNV1</v>
          </cell>
          <cell r="L10" t="str">
            <v>Ster Vetinary B/Pack 5/cs</v>
          </cell>
          <cell r="M10">
            <v>120</v>
          </cell>
        </row>
        <row r="11">
          <cell r="A11" t="str">
            <v>1931252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43769</v>
          </cell>
          <cell r="F11">
            <v>43773</v>
          </cell>
          <cell r="G11" t="str">
            <v xml:space="preserve"> 2nd Shift</v>
          </cell>
          <cell r="H11">
            <v>43775</v>
          </cell>
          <cell r="I11">
            <v>0.27567129629629633</v>
          </cell>
          <cell r="J11">
            <v>9267</v>
          </cell>
          <cell r="K11" t="str">
            <v>CNV1</v>
          </cell>
          <cell r="L11" t="str">
            <v>Ster Anesthesia T 10RX EX</v>
          </cell>
          <cell r="M11">
            <v>20</v>
          </cell>
        </row>
        <row r="12">
          <cell r="A12" t="str">
            <v>1940075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43769</v>
          </cell>
          <cell r="F12">
            <v>43773</v>
          </cell>
          <cell r="G12" t="str">
            <v xml:space="preserve"> 2nd Shift</v>
          </cell>
          <cell r="H12">
            <v>43774</v>
          </cell>
          <cell r="I12">
            <v>0.27625</v>
          </cell>
          <cell r="J12">
            <v>696</v>
          </cell>
          <cell r="K12" t="str">
            <v>CIRCLE</v>
          </cell>
          <cell r="L12" t="str">
            <v>Ster Polylined Drape/300</v>
          </cell>
          <cell r="M12">
            <v>223</v>
          </cell>
        </row>
        <row r="13">
          <cell r="A13" t="str">
            <v>1931266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43769</v>
          </cell>
          <cell r="F13">
            <v>43773</v>
          </cell>
          <cell r="G13" t="str">
            <v xml:space="preserve"> 2nd Shift</v>
          </cell>
          <cell r="H13">
            <v>43775</v>
          </cell>
          <cell r="I13">
            <v>0.30692129629629633</v>
          </cell>
          <cell r="J13">
            <v>5535</v>
          </cell>
          <cell r="K13" t="str">
            <v>CNV1</v>
          </cell>
          <cell r="L13" t="str">
            <v>Ster DR Murphy N/B/Ty10rx</v>
          </cell>
          <cell r="M13">
            <v>10</v>
          </cell>
        </row>
        <row r="14">
          <cell r="A14" t="str">
            <v>1931317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43769</v>
          </cell>
          <cell r="F14">
            <v>43773</v>
          </cell>
          <cell r="G14" t="str">
            <v xml:space="preserve"> 2nd Shift</v>
          </cell>
          <cell r="H14">
            <v>43775</v>
          </cell>
          <cell r="I14">
            <v>0.33432870370370371</v>
          </cell>
          <cell r="J14">
            <v>7478</v>
          </cell>
          <cell r="K14" t="str">
            <v>CNV1</v>
          </cell>
          <cell r="L14" t="str">
            <v>STER MOORE 82768 TRAY/20</v>
          </cell>
          <cell r="M14">
            <v>90</v>
          </cell>
        </row>
        <row r="15">
          <cell r="A15" t="str">
            <v>1910408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43769</v>
          </cell>
          <cell r="F15">
            <v>43773</v>
          </cell>
          <cell r="G15" t="str">
            <v xml:space="preserve"> 2nd Shift</v>
          </cell>
          <cell r="H15">
            <v>43775</v>
          </cell>
          <cell r="I15">
            <v>0.56473379629629628</v>
          </cell>
          <cell r="J15">
            <v>714</v>
          </cell>
          <cell r="K15" t="str">
            <v>KOCH</v>
          </cell>
          <cell r="L15" t="str">
            <v>Sterile Trach Set 20cs</v>
          </cell>
          <cell r="M15">
            <v>45</v>
          </cell>
        </row>
        <row r="16">
          <cell r="A16" t="str">
            <v>1931327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43769</v>
          </cell>
          <cell r="F16">
            <v>43773</v>
          </cell>
          <cell r="G16" t="str">
            <v xml:space="preserve"> 2nd Shift</v>
          </cell>
          <cell r="H16">
            <v>43775</v>
          </cell>
          <cell r="I16">
            <v>0.61453703703703699</v>
          </cell>
          <cell r="J16">
            <v>5291</v>
          </cell>
          <cell r="K16" t="str">
            <v>CNV1</v>
          </cell>
          <cell r="L16" t="str">
            <v>Ster S/S/Epid Tray10cEX</v>
          </cell>
          <cell r="M16">
            <v>10</v>
          </cell>
        </row>
        <row r="17">
          <cell r="A17" t="str">
            <v>1920910W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43769</v>
          </cell>
          <cell r="F17">
            <v>43773</v>
          </cell>
          <cell r="G17" t="str">
            <v xml:space="preserve"> 2nd Shift</v>
          </cell>
          <cell r="H17">
            <v>43775</v>
          </cell>
          <cell r="I17">
            <v>0.67019675925925926</v>
          </cell>
          <cell r="J17" t="str">
            <v>W153</v>
          </cell>
          <cell r="K17" t="str">
            <v>TBL^DV2</v>
          </cell>
          <cell r="L17" t="str">
            <v>Ster3/8"Tbg&amp;Hdl&amp;Adpt/25</v>
          </cell>
          <cell r="M17">
            <v>3760</v>
          </cell>
        </row>
        <row r="18">
          <cell r="A18" t="str">
            <v>1920903W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43769</v>
          </cell>
          <cell r="F18">
            <v>43773</v>
          </cell>
          <cell r="G18" t="str">
            <v xml:space="preserve"> 2nd Shift</v>
          </cell>
          <cell r="H18">
            <v>43775</v>
          </cell>
          <cell r="I18">
            <v>0.85488425925925926</v>
          </cell>
          <cell r="J18" t="str">
            <v>W3220</v>
          </cell>
          <cell r="K18" t="str">
            <v>CNV2^DV1</v>
          </cell>
          <cell r="L18" t="str">
            <v>Ster Minor Pack/80</v>
          </cell>
          <cell r="M18">
            <v>3840</v>
          </cell>
        </row>
        <row r="19">
          <cell r="A19" t="str">
            <v>1931375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43769</v>
          </cell>
          <cell r="F19">
            <v>43773</v>
          </cell>
          <cell r="G19" t="str">
            <v xml:space="preserve"> 2nd Shift</v>
          </cell>
          <cell r="H19">
            <v>43775</v>
          </cell>
          <cell r="I19">
            <v>0.93512731481481481</v>
          </cell>
          <cell r="J19" t="str">
            <v>3325R1</v>
          </cell>
          <cell r="K19" t="str">
            <v>CNV1</v>
          </cell>
          <cell r="L19" t="str">
            <v>STER SURGICAL Pk 5CS</v>
          </cell>
          <cell r="M19">
            <v>10</v>
          </cell>
        </row>
        <row r="20">
          <cell r="A20" t="str">
            <v>1931251</v>
          </cell>
          <cell r="E20">
            <v>43773</v>
          </cell>
          <cell r="F20">
            <v>43774</v>
          </cell>
          <cell r="G20" t="str">
            <v xml:space="preserve"> 1st Shift</v>
          </cell>
          <cell r="H20">
            <v>43776</v>
          </cell>
          <cell r="I20">
            <v>0.47486111111111112</v>
          </cell>
          <cell r="J20">
            <v>7995</v>
          </cell>
          <cell r="K20" t="str">
            <v>CNV1</v>
          </cell>
          <cell r="L20" t="str">
            <v>Ster Univ B/Ty/W/LID10/RX</v>
          </cell>
          <cell r="M20">
            <v>100</v>
          </cell>
        </row>
        <row r="21">
          <cell r="A21" t="str">
            <v>1931274</v>
          </cell>
          <cell r="E21">
            <v>43773</v>
          </cell>
          <cell r="F21">
            <v>43774</v>
          </cell>
          <cell r="G21" t="str">
            <v xml:space="preserve"> 1st Shift</v>
          </cell>
          <cell r="H21">
            <v>43776</v>
          </cell>
          <cell r="I21">
            <v>0.62069444444444444</v>
          </cell>
          <cell r="J21">
            <v>5857</v>
          </cell>
          <cell r="K21" t="str">
            <v>CNV1</v>
          </cell>
          <cell r="L21" t="str">
            <v>Ster Nerve Block Tray 10c</v>
          </cell>
          <cell r="M21">
            <v>10</v>
          </cell>
        </row>
        <row r="22">
          <cell r="A22" t="str">
            <v>1920918</v>
          </cell>
          <cell r="E22">
            <v>43773</v>
          </cell>
          <cell r="F22">
            <v>43774</v>
          </cell>
          <cell r="G22" t="str">
            <v xml:space="preserve"> 1st Shift</v>
          </cell>
          <cell r="H22">
            <v>43775</v>
          </cell>
          <cell r="I22">
            <v>0.68233796296296301</v>
          </cell>
          <cell r="J22">
            <v>299</v>
          </cell>
          <cell r="K22" t="str">
            <v>DV2</v>
          </cell>
          <cell r="L22" t="str">
            <v>Ster Yank w/vent/bulb/50</v>
          </cell>
          <cell r="M22">
            <v>254</v>
          </cell>
        </row>
        <row r="23">
          <cell r="A23" t="str">
            <v>1931276</v>
          </cell>
          <cell r="E23">
            <v>43773</v>
          </cell>
          <cell r="F23">
            <v>43774</v>
          </cell>
          <cell r="G23" t="str">
            <v xml:space="preserve"> 1st Shift</v>
          </cell>
          <cell r="H23">
            <v>43776</v>
          </cell>
          <cell r="I23">
            <v>0.69569444444444439</v>
          </cell>
          <cell r="J23">
            <v>8171</v>
          </cell>
          <cell r="K23" t="str">
            <v>CNV1</v>
          </cell>
          <cell r="L23" t="str">
            <v>Ster Amniocentesis T/10RX</v>
          </cell>
          <cell r="M23">
            <v>12</v>
          </cell>
        </row>
        <row r="24">
          <cell r="A24" t="str">
            <v>1931292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43773</v>
          </cell>
          <cell r="F24">
            <v>43774</v>
          </cell>
          <cell r="G24" t="str">
            <v xml:space="preserve"> 1st Shift</v>
          </cell>
          <cell r="H24">
            <v>43776</v>
          </cell>
          <cell r="I24">
            <v>0.72590277777777779</v>
          </cell>
          <cell r="J24">
            <v>1550</v>
          </cell>
          <cell r="K24" t="str">
            <v>CNV1</v>
          </cell>
          <cell r="L24" t="str">
            <v>Ster Epidural Tray 10/cs</v>
          </cell>
          <cell r="M24">
            <v>20</v>
          </cell>
        </row>
        <row r="25">
          <cell r="A25" t="str">
            <v>1931298</v>
          </cell>
          <cell r="E25">
            <v>43773</v>
          </cell>
          <cell r="F25">
            <v>43774</v>
          </cell>
          <cell r="G25" t="str">
            <v xml:space="preserve"> 1st Shift</v>
          </cell>
          <cell r="H25">
            <v>43776</v>
          </cell>
          <cell r="I25">
            <v>0.77173611111111118</v>
          </cell>
          <cell r="J25">
            <v>7287</v>
          </cell>
          <cell r="K25" t="str">
            <v>CNV1</v>
          </cell>
          <cell r="L25" t="str">
            <v>Ster S/S/Epidural Tray10c</v>
          </cell>
          <cell r="M25">
            <v>10</v>
          </cell>
        </row>
        <row r="26">
          <cell r="A26" t="str">
            <v>1931331</v>
          </cell>
          <cell r="E26">
            <v>43773</v>
          </cell>
          <cell r="F26">
            <v>43774</v>
          </cell>
          <cell r="G26" t="str">
            <v xml:space="preserve"> 1st Shift</v>
          </cell>
          <cell r="H26">
            <v>43776</v>
          </cell>
          <cell r="I26">
            <v>0.80819444444444455</v>
          </cell>
          <cell r="J26">
            <v>6054</v>
          </cell>
          <cell r="K26" t="str">
            <v>CNV1</v>
          </cell>
          <cell r="L26" t="str">
            <v>Ster Nerve Block Ty 10cRX</v>
          </cell>
          <cell r="M26">
            <v>10</v>
          </cell>
        </row>
        <row r="27">
          <cell r="A27" t="str">
            <v>1931285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43773</v>
          </cell>
          <cell r="F27">
            <v>43774</v>
          </cell>
          <cell r="G27" t="str">
            <v xml:space="preserve"> 1st Shift</v>
          </cell>
          <cell r="H27">
            <v>43776</v>
          </cell>
          <cell r="I27">
            <v>0.84152777777777776</v>
          </cell>
          <cell r="J27">
            <v>679</v>
          </cell>
          <cell r="K27" t="str">
            <v>CNV1</v>
          </cell>
          <cell r="L27" t="str">
            <v>STER SS EPID TRY 18G LL10</v>
          </cell>
          <cell r="M27">
            <v>15</v>
          </cell>
        </row>
        <row r="28">
          <cell r="A28" t="str">
            <v>1920937</v>
          </cell>
          <cell r="E28">
            <v>43773</v>
          </cell>
          <cell r="F28">
            <v>43774</v>
          </cell>
          <cell r="G28" t="str">
            <v xml:space="preserve"> 1st Shift</v>
          </cell>
          <cell r="H28">
            <v>43775</v>
          </cell>
          <cell r="I28">
            <v>0.85465277777777782</v>
          </cell>
          <cell r="J28">
            <v>134</v>
          </cell>
          <cell r="K28" t="str">
            <v>DV2</v>
          </cell>
          <cell r="L28" t="str">
            <v>Ster 8mm Str. Curette/25</v>
          </cell>
          <cell r="M28">
            <v>29</v>
          </cell>
        </row>
        <row r="29">
          <cell r="A29" t="str">
            <v>1920916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43773</v>
          </cell>
          <cell r="F29">
            <v>43774</v>
          </cell>
          <cell r="G29" t="str">
            <v xml:space="preserve"> 1st Shift</v>
          </cell>
          <cell r="H29">
            <v>43775</v>
          </cell>
          <cell r="I29">
            <v>0.87384259259259256</v>
          </cell>
          <cell r="J29">
            <v>565</v>
          </cell>
          <cell r="K29" t="str">
            <v>DV2</v>
          </cell>
          <cell r="L29" t="str">
            <v>STER 22GX5" QUINCKE/50</v>
          </cell>
          <cell r="M29">
            <v>60</v>
          </cell>
        </row>
        <row r="30">
          <cell r="A30" t="str">
            <v>1931222</v>
          </cell>
          <cell r="B30" t="str">
            <v>Y</v>
          </cell>
          <cell r="C30" t="str">
            <v>Y</v>
          </cell>
          <cell r="D30" t="str">
            <v>Y</v>
          </cell>
          <cell r="E30">
            <v>43773</v>
          </cell>
          <cell r="F30">
            <v>43774</v>
          </cell>
          <cell r="G30" t="str">
            <v xml:space="preserve"> 2nd Shift</v>
          </cell>
          <cell r="H30">
            <v>43776</v>
          </cell>
          <cell r="I30">
            <v>0.27434027777777775</v>
          </cell>
          <cell r="J30">
            <v>3937</v>
          </cell>
          <cell r="K30" t="str">
            <v>CNV1</v>
          </cell>
          <cell r="L30" t="str">
            <v>Sterile Procedure Tray 10</v>
          </cell>
          <cell r="M30">
            <v>50</v>
          </cell>
        </row>
        <row r="31">
          <cell r="A31" t="str">
            <v>1950093</v>
          </cell>
          <cell r="B31" t="str">
            <v>Y</v>
          </cell>
          <cell r="C31" t="str">
            <v>Y</v>
          </cell>
          <cell r="D31" t="str">
            <v>Y</v>
          </cell>
          <cell r="E31">
            <v>43773</v>
          </cell>
          <cell r="F31">
            <v>43774</v>
          </cell>
          <cell r="G31" t="str">
            <v xml:space="preserve"> 2nd Shift</v>
          </cell>
          <cell r="H31">
            <v>43775</v>
          </cell>
          <cell r="I31">
            <v>0.27625</v>
          </cell>
          <cell r="J31" t="str">
            <v>1923A</v>
          </cell>
          <cell r="K31" t="str">
            <v>KOCH</v>
          </cell>
          <cell r="L31" t="str">
            <v>SHALLOW ONE COMP. TRAY</v>
          </cell>
          <cell r="M31">
            <v>2650</v>
          </cell>
        </row>
        <row r="32">
          <cell r="A32" t="str">
            <v>1920867</v>
          </cell>
          <cell r="B32" t="str">
            <v>Y</v>
          </cell>
          <cell r="C32" t="str">
            <v>Y</v>
          </cell>
          <cell r="D32" t="str">
            <v>Y</v>
          </cell>
          <cell r="E32">
            <v>43773</v>
          </cell>
          <cell r="F32">
            <v>43774</v>
          </cell>
          <cell r="G32" t="str">
            <v xml:space="preserve"> 2nd Shift</v>
          </cell>
          <cell r="H32">
            <v>43775</v>
          </cell>
          <cell r="I32">
            <v>0.27630787037037036</v>
          </cell>
          <cell r="J32">
            <v>750</v>
          </cell>
          <cell r="K32" t="str">
            <v>DV1</v>
          </cell>
          <cell r="L32" t="str">
            <v>Ster Mnr Laceration Pk/20</v>
          </cell>
          <cell r="M32">
            <v>60</v>
          </cell>
        </row>
        <row r="33">
          <cell r="A33" t="str">
            <v>1920874</v>
          </cell>
          <cell r="B33" t="str">
            <v>Y</v>
          </cell>
          <cell r="C33" t="str">
            <v>Y</v>
          </cell>
          <cell r="D33" t="str">
            <v>Y</v>
          </cell>
          <cell r="E33">
            <v>43773</v>
          </cell>
          <cell r="F33">
            <v>43774</v>
          </cell>
          <cell r="G33" t="str">
            <v xml:space="preserve"> 2nd Shift</v>
          </cell>
          <cell r="H33">
            <v>43775</v>
          </cell>
          <cell r="I33">
            <v>0.27630787037037036</v>
          </cell>
          <cell r="J33">
            <v>298</v>
          </cell>
          <cell r="K33" t="str">
            <v>DV2</v>
          </cell>
          <cell r="L33" t="str">
            <v>Ster Yank w/o vent blb/50</v>
          </cell>
          <cell r="M33">
            <v>29</v>
          </cell>
        </row>
        <row r="34">
          <cell r="A34" t="str">
            <v>1920835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43773</v>
          </cell>
          <cell r="F34">
            <v>43774</v>
          </cell>
          <cell r="G34" t="str">
            <v xml:space="preserve"> 2nd Shift</v>
          </cell>
          <cell r="H34">
            <v>43775</v>
          </cell>
          <cell r="I34">
            <v>0.27630787037037036</v>
          </cell>
          <cell r="J34">
            <v>726</v>
          </cell>
          <cell r="K34" t="str">
            <v>DV3</v>
          </cell>
          <cell r="L34" t="str">
            <v>Ster Suture Removal/50</v>
          </cell>
          <cell r="M34">
            <v>97</v>
          </cell>
        </row>
        <row r="35">
          <cell r="A35" t="str">
            <v>1940076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43773</v>
          </cell>
          <cell r="F35">
            <v>43774</v>
          </cell>
          <cell r="G35" t="str">
            <v xml:space="preserve"> 2nd Shift</v>
          </cell>
          <cell r="H35">
            <v>43775</v>
          </cell>
          <cell r="I35">
            <v>0.28885416666666669</v>
          </cell>
          <cell r="J35">
            <v>696</v>
          </cell>
          <cell r="K35" t="str">
            <v>CIRCLE</v>
          </cell>
          <cell r="L35" t="str">
            <v>Ster Polylined Drape/300</v>
          </cell>
          <cell r="M35">
            <v>240</v>
          </cell>
        </row>
        <row r="36">
          <cell r="A36" t="str">
            <v>1920908</v>
          </cell>
          <cell r="B36" t="str">
            <v>Y</v>
          </cell>
          <cell r="C36" t="str">
            <v>Y</v>
          </cell>
          <cell r="D36" t="str">
            <v>Y</v>
          </cell>
          <cell r="E36">
            <v>43773</v>
          </cell>
          <cell r="F36">
            <v>43774</v>
          </cell>
          <cell r="G36" t="str">
            <v xml:space="preserve"> 2nd Shift</v>
          </cell>
          <cell r="H36">
            <v>43775</v>
          </cell>
          <cell r="I36">
            <v>0.29518518518518516</v>
          </cell>
          <cell r="J36">
            <v>296</v>
          </cell>
          <cell r="K36" t="str">
            <v>DV2</v>
          </cell>
          <cell r="L36" t="str">
            <v>Ster Yank w/o Vent/50</v>
          </cell>
          <cell r="M36">
            <v>520</v>
          </cell>
        </row>
        <row r="37">
          <cell r="A37" t="str">
            <v>1931272</v>
          </cell>
          <cell r="B37" t="str">
            <v>Y</v>
          </cell>
          <cell r="C37" t="str">
            <v>Y</v>
          </cell>
          <cell r="D37" t="str">
            <v>Y</v>
          </cell>
          <cell r="E37">
            <v>43773</v>
          </cell>
          <cell r="F37">
            <v>43774</v>
          </cell>
          <cell r="G37" t="str">
            <v xml:space="preserve"> 2nd Shift</v>
          </cell>
          <cell r="H37">
            <v>43776</v>
          </cell>
          <cell r="I37">
            <v>0.33423611111111112</v>
          </cell>
          <cell r="J37">
            <v>1114</v>
          </cell>
          <cell r="K37" t="str">
            <v>CNV1</v>
          </cell>
          <cell r="L37" t="str">
            <v>Ster S/S Epidural Tray 10</v>
          </cell>
          <cell r="M37">
            <v>10</v>
          </cell>
        </row>
        <row r="38">
          <cell r="A38" t="str">
            <v>1920901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43773</v>
          </cell>
          <cell r="F38">
            <v>43774</v>
          </cell>
          <cell r="G38" t="str">
            <v xml:space="preserve"> 2nd Shift</v>
          </cell>
          <cell r="H38">
            <v>43775</v>
          </cell>
          <cell r="I38">
            <v>0.34327546296296302</v>
          </cell>
          <cell r="J38">
            <v>8992</v>
          </cell>
          <cell r="K38" t="str">
            <v>DV1</v>
          </cell>
          <cell r="L38" t="str">
            <v>Ster Gen Purp/Instr/T 20C</v>
          </cell>
          <cell r="M38">
            <v>50</v>
          </cell>
        </row>
        <row r="39">
          <cell r="A39" t="str">
            <v>1920834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43773</v>
          </cell>
          <cell r="F39">
            <v>43774</v>
          </cell>
          <cell r="G39" t="str">
            <v xml:space="preserve"> 2nd Shift</v>
          </cell>
          <cell r="H39">
            <v>43775</v>
          </cell>
          <cell r="I39">
            <v>0.36168981481481483</v>
          </cell>
          <cell r="J39">
            <v>732</v>
          </cell>
          <cell r="K39" t="str">
            <v>DV3</v>
          </cell>
          <cell r="L39" t="str">
            <v>Ster Suture Removal/50</v>
          </cell>
          <cell r="M39">
            <v>50</v>
          </cell>
        </row>
        <row r="40">
          <cell r="A40" t="str">
            <v>1931273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43773</v>
          </cell>
          <cell r="F40">
            <v>43774</v>
          </cell>
          <cell r="G40" t="str">
            <v xml:space="preserve"> 2nd Shift</v>
          </cell>
          <cell r="H40">
            <v>43776</v>
          </cell>
          <cell r="I40">
            <v>0.36288194444444444</v>
          </cell>
          <cell r="J40">
            <v>1115</v>
          </cell>
          <cell r="K40" t="str">
            <v>CNV1</v>
          </cell>
          <cell r="L40" t="str">
            <v>Ster Universal Block T10c</v>
          </cell>
          <cell r="M40">
            <v>10</v>
          </cell>
        </row>
        <row r="41">
          <cell r="A41" t="str">
            <v>1931267</v>
          </cell>
          <cell r="E41">
            <v>43773</v>
          </cell>
          <cell r="F41">
            <v>43774</v>
          </cell>
          <cell r="G41" t="str">
            <v xml:space="preserve"> 2nd Shift</v>
          </cell>
          <cell r="H41">
            <v>43776</v>
          </cell>
          <cell r="I41">
            <v>0.39152777777777775</v>
          </cell>
          <cell r="J41" t="str">
            <v>8563R1</v>
          </cell>
          <cell r="K41" t="str">
            <v>CNV1</v>
          </cell>
          <cell r="L41" t="str">
            <v>Ster Spine Inject/T10/RX</v>
          </cell>
          <cell r="M41">
            <v>40</v>
          </cell>
        </row>
        <row r="42">
          <cell r="A42" t="str">
            <v>1920860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43773</v>
          </cell>
          <cell r="F42">
            <v>43774</v>
          </cell>
          <cell r="G42" t="str">
            <v xml:space="preserve"> 2nd Shift</v>
          </cell>
          <cell r="H42">
            <v>43775</v>
          </cell>
          <cell r="I42">
            <v>0.41903935185185182</v>
          </cell>
          <cell r="J42">
            <v>5822</v>
          </cell>
          <cell r="K42" t="str">
            <v>DV3</v>
          </cell>
          <cell r="L42" t="str">
            <v>Ster HS SRK 112-5822/50C</v>
          </cell>
          <cell r="M42">
            <v>432</v>
          </cell>
        </row>
        <row r="43">
          <cell r="A43" t="str">
            <v>1920866</v>
          </cell>
          <cell r="B43" t="str">
            <v>Y</v>
          </cell>
          <cell r="E43">
            <v>43773</v>
          </cell>
          <cell r="F43">
            <v>43774</v>
          </cell>
          <cell r="G43" t="str">
            <v xml:space="preserve"> 2nd Shift</v>
          </cell>
          <cell r="H43">
            <v>43775</v>
          </cell>
          <cell r="I43">
            <v>0.42827546296296298</v>
          </cell>
          <cell r="J43">
            <v>751</v>
          </cell>
          <cell r="K43" t="str">
            <v>DV1</v>
          </cell>
          <cell r="L43" t="str">
            <v>Ster Mnr Laceration Pk/20</v>
          </cell>
          <cell r="M43">
            <v>300</v>
          </cell>
        </row>
        <row r="44">
          <cell r="A44" t="str">
            <v>1920930W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43773</v>
          </cell>
          <cell r="F44">
            <v>43774</v>
          </cell>
          <cell r="G44" t="str">
            <v xml:space="preserve"> 2nd Shift</v>
          </cell>
          <cell r="H44">
            <v>43776</v>
          </cell>
          <cell r="I44">
            <v>0.54655092592592591</v>
          </cell>
          <cell r="J44" t="str">
            <v>W6417R1</v>
          </cell>
          <cell r="K44" t="str">
            <v>CNV2^DV2</v>
          </cell>
          <cell r="L44" t="str">
            <v>Ster Bone Marrow Ty10cRX</v>
          </cell>
          <cell r="M44">
            <v>200</v>
          </cell>
        </row>
        <row r="45">
          <cell r="A45" t="str">
            <v>1910414W</v>
          </cell>
          <cell r="E45">
            <v>43773</v>
          </cell>
          <cell r="F45">
            <v>43774</v>
          </cell>
          <cell r="G45" t="str">
            <v xml:space="preserve"> 2nd Shift</v>
          </cell>
          <cell r="H45">
            <v>43776</v>
          </cell>
          <cell r="I45">
            <v>0.59863425925925928</v>
          </cell>
          <cell r="J45" t="str">
            <v>W975</v>
          </cell>
          <cell r="K45" t="str">
            <v>CNV2^MULTI</v>
          </cell>
          <cell r="L45" t="str">
            <v>SterDELUXELUMTRAY/RX/10CS</v>
          </cell>
          <cell r="M45">
            <v>150</v>
          </cell>
        </row>
        <row r="46">
          <cell r="A46" t="str">
            <v>1910391W</v>
          </cell>
          <cell r="B46" t="str">
            <v>Y</v>
          </cell>
          <cell r="E46">
            <v>43773</v>
          </cell>
          <cell r="F46">
            <v>43774</v>
          </cell>
          <cell r="G46" t="str">
            <v xml:space="preserve"> 2nd Shift</v>
          </cell>
          <cell r="H46">
            <v>43776</v>
          </cell>
          <cell r="I46">
            <v>0.68457175925925917</v>
          </cell>
          <cell r="J46" t="str">
            <v>W646</v>
          </cell>
          <cell r="K46" t="str">
            <v>CNV2^MULTI</v>
          </cell>
          <cell r="L46" t="str">
            <v>SterPedLumbr w/oMan/10 RX</v>
          </cell>
          <cell r="M46">
            <v>150</v>
          </cell>
        </row>
        <row r="47">
          <cell r="A47" t="str">
            <v>1910389W</v>
          </cell>
          <cell r="B47" t="str">
            <v>Y</v>
          </cell>
          <cell r="C47" t="str">
            <v>Y</v>
          </cell>
          <cell r="D47" t="str">
            <v>Y</v>
          </cell>
          <cell r="E47">
            <v>43773</v>
          </cell>
          <cell r="F47">
            <v>43774</v>
          </cell>
          <cell r="G47" t="str">
            <v xml:space="preserve"> 2nd Shift</v>
          </cell>
          <cell r="H47">
            <v>43776</v>
          </cell>
          <cell r="I47">
            <v>0.72671296296296306</v>
          </cell>
          <cell r="J47" t="str">
            <v>W648</v>
          </cell>
          <cell r="K47" t="str">
            <v>CNV2^MULTI</v>
          </cell>
          <cell r="L47" t="str">
            <v>SterLumbrTray w/20g/10 RX</v>
          </cell>
          <cell r="M47">
            <v>1350</v>
          </cell>
        </row>
        <row r="48">
          <cell r="A48" t="str">
            <v>1931316</v>
          </cell>
          <cell r="B48" t="str">
            <v>Y</v>
          </cell>
          <cell r="C48" t="str">
            <v>Y</v>
          </cell>
          <cell r="D48" t="str">
            <v>Y</v>
          </cell>
          <cell r="E48">
            <v>43773</v>
          </cell>
          <cell r="F48">
            <v>43774</v>
          </cell>
          <cell r="G48" t="str">
            <v xml:space="preserve"> 2nd Shift</v>
          </cell>
          <cell r="H48">
            <v>43776</v>
          </cell>
          <cell r="I48">
            <v>0.88111111111111118</v>
          </cell>
          <cell r="J48">
            <v>677</v>
          </cell>
          <cell r="K48" t="str">
            <v>CNV1</v>
          </cell>
          <cell r="L48" t="str">
            <v>STER SS EPID TRY 20G LL10</v>
          </cell>
          <cell r="M48">
            <v>45</v>
          </cell>
        </row>
        <row r="49">
          <cell r="A49" t="str">
            <v>1910404W</v>
          </cell>
          <cell r="B49" t="str">
            <v>Y</v>
          </cell>
          <cell r="C49" t="str">
            <v>Y</v>
          </cell>
          <cell r="D49" t="str">
            <v>Y</v>
          </cell>
          <cell r="E49">
            <v>43773</v>
          </cell>
          <cell r="F49">
            <v>43774</v>
          </cell>
          <cell r="G49" t="str">
            <v xml:space="preserve"> 2nd Shift</v>
          </cell>
          <cell r="H49">
            <v>43776</v>
          </cell>
          <cell r="I49">
            <v>0.9393055555555555</v>
          </cell>
          <cell r="J49" t="str">
            <v>W647</v>
          </cell>
          <cell r="K49" t="str">
            <v>CNV2^MULTI</v>
          </cell>
          <cell r="L49" t="str">
            <v>SterLumbrTray w/18g/10 RX</v>
          </cell>
          <cell r="M49">
            <v>150</v>
          </cell>
        </row>
        <row r="50">
          <cell r="A50" t="str">
            <v>1931333</v>
          </cell>
          <cell r="E50">
            <v>43773</v>
          </cell>
          <cell r="F50">
            <v>43774</v>
          </cell>
          <cell r="G50" t="str">
            <v xml:space="preserve"> 2nd Shift</v>
          </cell>
          <cell r="H50">
            <v>43776</v>
          </cell>
          <cell r="I50">
            <v>0.95819444444444446</v>
          </cell>
          <cell r="J50" t="str">
            <v>1892R1</v>
          </cell>
          <cell r="K50" t="str">
            <v>CNV1</v>
          </cell>
          <cell r="L50" t="str">
            <v>Ster Laceration Tray/20</v>
          </cell>
          <cell r="M50">
            <v>15</v>
          </cell>
        </row>
        <row r="51">
          <cell r="A51" t="str">
            <v>1910403W</v>
          </cell>
          <cell r="B51" t="str">
            <v>Y</v>
          </cell>
          <cell r="E51">
            <v>43774</v>
          </cell>
          <cell r="F51">
            <v>43775</v>
          </cell>
          <cell r="G51" t="str">
            <v xml:space="preserve"> 1st Shift</v>
          </cell>
          <cell r="H51">
            <v>43780</v>
          </cell>
          <cell r="I51">
            <v>0.27311342592592591</v>
          </cell>
          <cell r="J51" t="str">
            <v>W649</v>
          </cell>
          <cell r="K51" t="str">
            <v>CNV2^MULTI</v>
          </cell>
          <cell r="L51" t="str">
            <v>SterLumbrTray w/22g/10 RX</v>
          </cell>
          <cell r="M51">
            <v>450</v>
          </cell>
        </row>
        <row r="52">
          <cell r="A52" t="str">
            <v>1910396</v>
          </cell>
          <cell r="E52">
            <v>43774</v>
          </cell>
          <cell r="F52">
            <v>43775</v>
          </cell>
          <cell r="G52" t="str">
            <v xml:space="preserve"> 1st Shift</v>
          </cell>
          <cell r="H52">
            <v>43780</v>
          </cell>
          <cell r="I52">
            <v>0.28348379629629633</v>
          </cell>
          <cell r="J52">
            <v>711</v>
          </cell>
          <cell r="K52" t="str">
            <v>KOCH</v>
          </cell>
          <cell r="L52" t="str">
            <v>Ster Trach Set/24</v>
          </cell>
          <cell r="M52">
            <v>540</v>
          </cell>
        </row>
        <row r="53">
          <cell r="A53" t="str">
            <v>1910417W</v>
          </cell>
          <cell r="B53" t="str">
            <v>Y</v>
          </cell>
          <cell r="C53" t="str">
            <v>Y</v>
          </cell>
          <cell r="D53" t="str">
            <v>Y</v>
          </cell>
          <cell r="E53">
            <v>43774</v>
          </cell>
          <cell r="F53">
            <v>43775</v>
          </cell>
          <cell r="G53" t="str">
            <v xml:space="preserve"> 1st Shift</v>
          </cell>
          <cell r="H53">
            <v>43780</v>
          </cell>
          <cell r="I53">
            <v>0.35787037037037034</v>
          </cell>
          <cell r="J53" t="str">
            <v>W6487</v>
          </cell>
          <cell r="K53" t="str">
            <v>CNV2^MULTI</v>
          </cell>
          <cell r="L53" t="str">
            <v>Ster O&amp;M 1111LPT648 10RX</v>
          </cell>
          <cell r="M53">
            <v>450</v>
          </cell>
        </row>
        <row r="54">
          <cell r="A54" t="str">
            <v>1920898</v>
          </cell>
          <cell r="E54">
            <v>43774</v>
          </cell>
          <cell r="F54">
            <v>43775</v>
          </cell>
          <cell r="G54" t="str">
            <v xml:space="preserve"> 1st Shift</v>
          </cell>
          <cell r="H54">
            <v>43776</v>
          </cell>
          <cell r="I54">
            <v>0.69103009259259263</v>
          </cell>
          <cell r="J54">
            <v>148</v>
          </cell>
          <cell r="K54" t="str">
            <v>DV2</v>
          </cell>
          <cell r="L54" t="str">
            <v>Ster 2OZ K/Bulb Syringe24</v>
          </cell>
          <cell r="M54">
            <v>100</v>
          </cell>
        </row>
        <row r="55">
          <cell r="A55" t="str">
            <v>1920896</v>
          </cell>
          <cell r="E55">
            <v>43774</v>
          </cell>
          <cell r="F55">
            <v>43775</v>
          </cell>
          <cell r="G55" t="str">
            <v xml:space="preserve"> 1st Shift</v>
          </cell>
          <cell r="H55">
            <v>43776</v>
          </cell>
          <cell r="I55">
            <v>0.75584490740740751</v>
          </cell>
          <cell r="J55">
            <v>142</v>
          </cell>
          <cell r="K55" t="str">
            <v>DV2</v>
          </cell>
          <cell r="L55" t="str">
            <v>Ster 2oz Bulb Syringe/50</v>
          </cell>
          <cell r="M55">
            <v>600</v>
          </cell>
        </row>
        <row r="56">
          <cell r="A56" t="str">
            <v>1920873</v>
          </cell>
          <cell r="E56">
            <v>43774</v>
          </cell>
          <cell r="F56">
            <v>43775</v>
          </cell>
          <cell r="G56" t="str">
            <v xml:space="preserve"> 2nd Shift</v>
          </cell>
          <cell r="H56">
            <v>43776</v>
          </cell>
          <cell r="I56">
            <v>0.27436342592592594</v>
          </cell>
          <cell r="J56">
            <v>143</v>
          </cell>
          <cell r="K56" t="str">
            <v>DV2</v>
          </cell>
          <cell r="L56" t="str">
            <v>Ster 3oz Bulb Syringe/50</v>
          </cell>
          <cell r="M56">
            <v>360</v>
          </cell>
        </row>
        <row r="57">
          <cell r="A57" t="str">
            <v>1920922</v>
          </cell>
          <cell r="E57">
            <v>43774</v>
          </cell>
          <cell r="F57">
            <v>43775</v>
          </cell>
          <cell r="G57" t="str">
            <v xml:space="preserve"> 2nd Shift</v>
          </cell>
          <cell r="H57">
            <v>43776</v>
          </cell>
          <cell r="I57">
            <v>0.27436342592592594</v>
          </cell>
          <cell r="J57">
            <v>766</v>
          </cell>
          <cell r="K57" t="str">
            <v>DV3</v>
          </cell>
          <cell r="L57" t="str">
            <v>Sterile Saf-Shield 50/cs</v>
          </cell>
          <cell r="M57">
            <v>624</v>
          </cell>
        </row>
        <row r="58">
          <cell r="A58" t="str">
            <v>1931176</v>
          </cell>
          <cell r="E58">
            <v>43774</v>
          </cell>
          <cell r="F58">
            <v>43775</v>
          </cell>
          <cell r="G58" t="str">
            <v xml:space="preserve"> 2nd Shift</v>
          </cell>
          <cell r="H58">
            <v>43780</v>
          </cell>
          <cell r="I58">
            <v>0.29413194444444446</v>
          </cell>
          <cell r="J58">
            <v>9103</v>
          </cell>
          <cell r="K58" t="str">
            <v>CNV1</v>
          </cell>
          <cell r="L58" t="str">
            <v>SterEndoTestopk5000492/10</v>
          </cell>
          <cell r="M58">
            <v>1200</v>
          </cell>
        </row>
        <row r="59">
          <cell r="A59" t="str">
            <v>1920892</v>
          </cell>
          <cell r="E59">
            <v>43774</v>
          </cell>
          <cell r="F59">
            <v>43775</v>
          </cell>
          <cell r="G59" t="str">
            <v xml:space="preserve"> 2nd Shift</v>
          </cell>
          <cell r="H59">
            <v>43776</v>
          </cell>
          <cell r="I59">
            <v>0.41438657407407403</v>
          </cell>
          <cell r="J59">
            <v>752</v>
          </cell>
          <cell r="K59" t="str">
            <v>DV1</v>
          </cell>
          <cell r="L59" t="str">
            <v>Ster Instrument Tray/20</v>
          </cell>
          <cell r="M59">
            <v>50</v>
          </cell>
        </row>
        <row r="60">
          <cell r="A60" t="str">
            <v>1910390W</v>
          </cell>
          <cell r="B60" t="str">
            <v>Y</v>
          </cell>
          <cell r="C60" t="str">
            <v>Y</v>
          </cell>
          <cell r="D60" t="str">
            <v>Y</v>
          </cell>
          <cell r="E60">
            <v>43774</v>
          </cell>
          <cell r="F60">
            <v>43775</v>
          </cell>
          <cell r="G60" t="str">
            <v xml:space="preserve"> 2nd Shift</v>
          </cell>
          <cell r="H60">
            <v>43780</v>
          </cell>
          <cell r="I60">
            <v>0.44901620370370371</v>
          </cell>
          <cell r="J60" t="str">
            <v>W656</v>
          </cell>
          <cell r="K60" t="str">
            <v>CNV2^MULTI</v>
          </cell>
          <cell r="L60" t="str">
            <v>SterMyelogramTray 10cs RX</v>
          </cell>
          <cell r="M60">
            <v>900</v>
          </cell>
        </row>
        <row r="61">
          <cell r="A61" t="str">
            <v>1910400W</v>
          </cell>
          <cell r="B61" t="str">
            <v>Y</v>
          </cell>
          <cell r="C61" t="str">
            <v>Y</v>
          </cell>
          <cell r="D61" t="str">
            <v>Y</v>
          </cell>
          <cell r="E61">
            <v>43774</v>
          </cell>
          <cell r="F61">
            <v>43775</v>
          </cell>
          <cell r="G61" t="str">
            <v xml:space="preserve"> 2nd Shift</v>
          </cell>
          <cell r="H61">
            <v>43780</v>
          </cell>
          <cell r="I61">
            <v>0.59768518518518521</v>
          </cell>
          <cell r="J61" t="str">
            <v>W3910</v>
          </cell>
          <cell r="K61" t="str">
            <v>CNV2^MULTI</v>
          </cell>
          <cell r="L61" t="str">
            <v>Ster Arthrogram Tray 10cs</v>
          </cell>
          <cell r="M61">
            <v>150</v>
          </cell>
        </row>
        <row r="62">
          <cell r="A62" t="str">
            <v>1910413W</v>
          </cell>
          <cell r="B62" t="str">
            <v>Y</v>
          </cell>
          <cell r="C62" t="str">
            <v>Y</v>
          </cell>
          <cell r="D62" t="str">
            <v>Y</v>
          </cell>
          <cell r="E62">
            <v>43774</v>
          </cell>
          <cell r="F62">
            <v>43775</v>
          </cell>
          <cell r="G62" t="str">
            <v xml:space="preserve"> 2nd Shift</v>
          </cell>
          <cell r="H62">
            <v>43780</v>
          </cell>
          <cell r="I62">
            <v>0.68362268518518521</v>
          </cell>
          <cell r="J62" t="str">
            <v>W651</v>
          </cell>
          <cell r="K62" t="str">
            <v>CNV2^MULTI</v>
          </cell>
          <cell r="L62" t="str">
            <v>SterBasicBiopsyTray/10 RX</v>
          </cell>
          <cell r="M62">
            <v>900</v>
          </cell>
        </row>
        <row r="63">
          <cell r="A63" t="str">
            <v>1910416W</v>
          </cell>
          <cell r="E63">
            <v>43774</v>
          </cell>
          <cell r="F63">
            <v>43775</v>
          </cell>
          <cell r="G63" t="str">
            <v xml:space="preserve"> 2nd Shift</v>
          </cell>
          <cell r="H63">
            <v>43780</v>
          </cell>
          <cell r="I63">
            <v>0.81695601851851851</v>
          </cell>
          <cell r="J63" t="str">
            <v>W956</v>
          </cell>
          <cell r="K63" t="str">
            <v>CNV2^MULTI</v>
          </cell>
          <cell r="L63" t="str">
            <v>Ster MYELOGRM SFTY/10 RX</v>
          </cell>
          <cell r="M63">
            <v>100</v>
          </cell>
        </row>
        <row r="64">
          <cell r="A64" t="str">
            <v>1910415W</v>
          </cell>
          <cell r="B64" t="str">
            <v>Y</v>
          </cell>
          <cell r="C64" t="str">
            <v>Y</v>
          </cell>
          <cell r="D64" t="str">
            <v>Y</v>
          </cell>
          <cell r="E64">
            <v>43774</v>
          </cell>
          <cell r="F64">
            <v>43775</v>
          </cell>
          <cell r="G64" t="str">
            <v xml:space="preserve"> 2nd Shift</v>
          </cell>
          <cell r="H64">
            <v>43780</v>
          </cell>
          <cell r="I64">
            <v>0.85341435185185188</v>
          </cell>
          <cell r="J64" t="str">
            <v>W974</v>
          </cell>
          <cell r="K64" t="str">
            <v>CNV2^MULTI</v>
          </cell>
          <cell r="L64" t="str">
            <v>Ster Deluxe Lumbar Ty10RX</v>
          </cell>
          <cell r="M64">
            <v>450</v>
          </cell>
        </row>
        <row r="65">
          <cell r="A65" t="str">
            <v>1931259</v>
          </cell>
          <cell r="E65">
            <v>43775</v>
          </cell>
          <cell r="F65">
            <v>43776</v>
          </cell>
          <cell r="G65" t="str">
            <v xml:space="preserve"> 1st Shift</v>
          </cell>
          <cell r="H65">
            <v>43781</v>
          </cell>
          <cell r="I65">
            <v>0.56496527777777772</v>
          </cell>
          <cell r="J65" t="str">
            <v>3057R3</v>
          </cell>
          <cell r="K65" t="str">
            <v>CNV1</v>
          </cell>
          <cell r="L65" t="str">
            <v>Ster Epidur/Tray 10cRX/EX</v>
          </cell>
          <cell r="M65">
            <v>18</v>
          </cell>
        </row>
        <row r="66">
          <cell r="A66" t="str">
            <v>1931290</v>
          </cell>
          <cell r="E66">
            <v>43775</v>
          </cell>
          <cell r="F66">
            <v>43776</v>
          </cell>
          <cell r="G66" t="str">
            <v xml:space="preserve"> 1st Shift</v>
          </cell>
          <cell r="H66">
            <v>43781</v>
          </cell>
          <cell r="I66">
            <v>0.61392361111111116</v>
          </cell>
          <cell r="J66">
            <v>9585</v>
          </cell>
          <cell r="K66" t="str">
            <v>CNV1</v>
          </cell>
          <cell r="L66" t="str">
            <v>Ster Spinal Tray 10/CS RX</v>
          </cell>
          <cell r="M66">
            <v>16</v>
          </cell>
        </row>
        <row r="67">
          <cell r="A67" t="str">
            <v>1931341</v>
          </cell>
          <cell r="E67">
            <v>43775</v>
          </cell>
          <cell r="F67">
            <v>43776</v>
          </cell>
          <cell r="G67" t="str">
            <v xml:space="preserve"> 1st Shift</v>
          </cell>
          <cell r="H67">
            <v>43781</v>
          </cell>
          <cell r="I67">
            <v>0.70142361111111118</v>
          </cell>
          <cell r="J67" t="str">
            <v>41065R3</v>
          </cell>
          <cell r="K67" t="str">
            <v>CNV1</v>
          </cell>
          <cell r="L67" t="str">
            <v>Ster Port Access T20EX/RX</v>
          </cell>
          <cell r="M67">
            <v>20</v>
          </cell>
        </row>
        <row r="68">
          <cell r="A68" t="str">
            <v>1931318</v>
          </cell>
          <cell r="E68">
            <v>43775</v>
          </cell>
          <cell r="F68">
            <v>43776</v>
          </cell>
          <cell r="G68" t="str">
            <v xml:space="preserve"> 1st Shift</v>
          </cell>
          <cell r="H68">
            <v>43781</v>
          </cell>
          <cell r="I68">
            <v>0.75350694444444455</v>
          </cell>
          <cell r="J68">
            <v>748</v>
          </cell>
          <cell r="K68" t="str">
            <v>CNV1</v>
          </cell>
          <cell r="L68" t="str">
            <v>Ster E.R.Laceration Ty/20</v>
          </cell>
          <cell r="M68">
            <v>90</v>
          </cell>
        </row>
        <row r="69">
          <cell r="A69" t="str">
            <v>1920919</v>
          </cell>
          <cell r="E69">
            <v>43775</v>
          </cell>
          <cell r="F69">
            <v>43776</v>
          </cell>
          <cell r="G69" t="str">
            <v xml:space="preserve"> 2nd Shift</v>
          </cell>
          <cell r="H69">
            <v>43780</v>
          </cell>
          <cell r="I69">
            <v>0.27410879629629631</v>
          </cell>
          <cell r="J69">
            <v>508</v>
          </cell>
          <cell r="K69" t="str">
            <v>DV3</v>
          </cell>
          <cell r="L69" t="str">
            <v>Ster 3/8" Y-Connector/200</v>
          </cell>
          <cell r="M69">
            <v>20</v>
          </cell>
        </row>
        <row r="70">
          <cell r="A70" t="str">
            <v>1920885</v>
          </cell>
          <cell r="E70">
            <v>43775</v>
          </cell>
          <cell r="F70">
            <v>43776</v>
          </cell>
          <cell r="G70" t="str">
            <v xml:space="preserve"> 2nd Shift</v>
          </cell>
          <cell r="H70">
            <v>43780</v>
          </cell>
          <cell r="I70">
            <v>0.52436342592592589</v>
          </cell>
          <cell r="J70">
            <v>198</v>
          </cell>
          <cell r="K70" t="str">
            <v>DV1</v>
          </cell>
          <cell r="L70" t="str">
            <v>NS/DSTAFF/P/KITWHT/F/B/20</v>
          </cell>
          <cell r="M70">
            <v>50</v>
          </cell>
        </row>
        <row r="71">
          <cell r="A71" t="str">
            <v>1920861</v>
          </cell>
          <cell r="B71" t="str">
            <v>Y</v>
          </cell>
          <cell r="C71" t="str">
            <v>Y</v>
          </cell>
          <cell r="D71" t="str">
            <v>Y</v>
          </cell>
          <cell r="E71">
            <v>43775</v>
          </cell>
          <cell r="F71">
            <v>43776</v>
          </cell>
          <cell r="G71" t="str">
            <v xml:space="preserve"> 2nd Shift</v>
          </cell>
          <cell r="H71">
            <v>43780</v>
          </cell>
          <cell r="I71">
            <v>0.60744212962962962</v>
          </cell>
          <cell r="J71">
            <v>822</v>
          </cell>
          <cell r="K71" t="str">
            <v>DV3</v>
          </cell>
          <cell r="L71" t="str">
            <v>Sterile IV Start Kit /50</v>
          </cell>
          <cell r="M71">
            <v>192</v>
          </cell>
        </row>
        <row r="72">
          <cell r="A72" t="str">
            <v>1931320</v>
          </cell>
          <cell r="B72" t="str">
            <v>Y</v>
          </cell>
          <cell r="C72" t="str">
            <v>Y</v>
          </cell>
          <cell r="D72" t="str">
            <v>Y</v>
          </cell>
          <cell r="E72">
            <v>43775</v>
          </cell>
          <cell r="F72">
            <v>43776</v>
          </cell>
          <cell r="G72" t="str">
            <v xml:space="preserve"> 2nd Shift</v>
          </cell>
          <cell r="H72">
            <v>43781</v>
          </cell>
          <cell r="I72">
            <v>0.93505787037037036</v>
          </cell>
          <cell r="J72">
            <v>674</v>
          </cell>
          <cell r="K72" t="str">
            <v>CNV1</v>
          </cell>
          <cell r="L72" t="str">
            <v>Ster Basic Pain Tray 10cs</v>
          </cell>
          <cell r="M72">
            <v>180</v>
          </cell>
        </row>
        <row r="73">
          <cell r="A73" t="str">
            <v>1910397</v>
          </cell>
          <cell r="E73">
            <v>43776</v>
          </cell>
          <cell r="F73">
            <v>43780</v>
          </cell>
          <cell r="G73" t="str">
            <v xml:space="preserve"> 1st Shift</v>
          </cell>
          <cell r="H73">
            <v>43782</v>
          </cell>
          <cell r="I73">
            <v>0.27827546296296296</v>
          </cell>
          <cell r="J73">
            <v>711</v>
          </cell>
          <cell r="K73" t="str">
            <v>KOCH</v>
          </cell>
          <cell r="L73" t="str">
            <v>Ster Trach Set/24</v>
          </cell>
          <cell r="M73">
            <v>540</v>
          </cell>
        </row>
        <row r="74">
          <cell r="A74" t="str">
            <v>1931306</v>
          </cell>
          <cell r="E74">
            <v>43776</v>
          </cell>
          <cell r="F74">
            <v>43780</v>
          </cell>
          <cell r="G74" t="str">
            <v xml:space="preserve"> 1st Shift</v>
          </cell>
          <cell r="H74">
            <v>43782</v>
          </cell>
          <cell r="I74">
            <v>0.47255787037037034</v>
          </cell>
          <cell r="J74">
            <v>3611</v>
          </cell>
          <cell r="K74" t="str">
            <v>CNV1</v>
          </cell>
          <cell r="L74" t="str">
            <v>Ster S/S/Epidural Ty 10c</v>
          </cell>
          <cell r="M74">
            <v>30</v>
          </cell>
        </row>
        <row r="75">
          <cell r="A75" t="str">
            <v>1931338</v>
          </cell>
          <cell r="E75">
            <v>43776</v>
          </cell>
          <cell r="F75">
            <v>43780</v>
          </cell>
          <cell r="G75" t="str">
            <v xml:space="preserve"> 1st Shift</v>
          </cell>
          <cell r="H75">
            <v>43782</v>
          </cell>
          <cell r="I75">
            <v>0.51682870370370371</v>
          </cell>
          <cell r="J75" t="str">
            <v>6183R1</v>
          </cell>
          <cell r="K75" t="str">
            <v>CNV1</v>
          </cell>
          <cell r="L75" t="str">
            <v>Ster S/S/Epidural Tray10c</v>
          </cell>
          <cell r="M75">
            <v>20</v>
          </cell>
        </row>
        <row r="76">
          <cell r="A76" t="str">
            <v>1931328</v>
          </cell>
          <cell r="E76">
            <v>43776</v>
          </cell>
          <cell r="F76">
            <v>43780</v>
          </cell>
          <cell r="G76" t="str">
            <v xml:space="preserve"> 1st Shift</v>
          </cell>
          <cell r="H76">
            <v>43782</v>
          </cell>
          <cell r="I76">
            <v>0.55328703703703697</v>
          </cell>
          <cell r="J76" t="str">
            <v>7347R1</v>
          </cell>
          <cell r="K76" t="str">
            <v>CNV1</v>
          </cell>
          <cell r="L76" t="str">
            <v>Ster Pump Refill Kit 10cs</v>
          </cell>
          <cell r="M76">
            <v>10</v>
          </cell>
        </row>
        <row r="77">
          <cell r="A77" t="str">
            <v>1931284</v>
          </cell>
          <cell r="B77" t="str">
            <v>Y</v>
          </cell>
          <cell r="C77" t="str">
            <v>Y</v>
          </cell>
          <cell r="D77" t="str">
            <v>Y</v>
          </cell>
          <cell r="E77">
            <v>43776</v>
          </cell>
          <cell r="F77">
            <v>43780</v>
          </cell>
          <cell r="G77" t="str">
            <v xml:space="preserve"> 1st Shift</v>
          </cell>
          <cell r="H77">
            <v>43782</v>
          </cell>
          <cell r="I77">
            <v>0.58069444444444451</v>
          </cell>
          <cell r="J77">
            <v>5823</v>
          </cell>
          <cell r="K77" t="str">
            <v>CNV1</v>
          </cell>
          <cell r="L77" t="str">
            <v>STER HS ER LAC112-5823/20</v>
          </cell>
          <cell r="M77">
            <v>225</v>
          </cell>
        </row>
        <row r="78">
          <cell r="A78" t="str">
            <v>1920878</v>
          </cell>
          <cell r="E78">
            <v>43776</v>
          </cell>
          <cell r="F78">
            <v>43780</v>
          </cell>
          <cell r="G78" t="str">
            <v xml:space="preserve"> 2nd Shift</v>
          </cell>
          <cell r="H78">
            <v>43781</v>
          </cell>
          <cell r="I78">
            <v>0.28105324074074073</v>
          </cell>
          <cell r="J78">
            <v>723</v>
          </cell>
          <cell r="K78" t="str">
            <v>DV3</v>
          </cell>
          <cell r="L78" t="str">
            <v>Ster Suture Removal/50</v>
          </cell>
          <cell r="M78">
            <v>864</v>
          </cell>
        </row>
        <row r="79">
          <cell r="A79" t="str">
            <v>1920894</v>
          </cell>
          <cell r="E79">
            <v>43776</v>
          </cell>
          <cell r="F79">
            <v>43780</v>
          </cell>
          <cell r="G79" t="str">
            <v xml:space="preserve"> 2nd Shift</v>
          </cell>
          <cell r="H79">
            <v>43781</v>
          </cell>
          <cell r="I79">
            <v>0.28362268518518519</v>
          </cell>
          <cell r="J79">
            <v>162</v>
          </cell>
          <cell r="K79" t="str">
            <v>DV2</v>
          </cell>
          <cell r="L79" t="str">
            <v>Ster 8FR Frazier/50</v>
          </cell>
          <cell r="M79">
            <v>30</v>
          </cell>
        </row>
        <row r="80">
          <cell r="A80" t="str">
            <v>1920942</v>
          </cell>
          <cell r="E80">
            <v>43776</v>
          </cell>
          <cell r="F80">
            <v>43780</v>
          </cell>
          <cell r="G80" t="str">
            <v xml:space="preserve"> 2nd Shift</v>
          </cell>
          <cell r="H80">
            <v>43781</v>
          </cell>
          <cell r="I80">
            <v>0.31487268518518519</v>
          </cell>
          <cell r="J80">
            <v>163</v>
          </cell>
          <cell r="K80" t="str">
            <v>DV2</v>
          </cell>
          <cell r="L80" t="str">
            <v>Ster 10FR Frazier/50</v>
          </cell>
          <cell r="M80">
            <v>50</v>
          </cell>
        </row>
        <row r="81">
          <cell r="A81" t="str">
            <v>1920895</v>
          </cell>
          <cell r="E81">
            <v>43776</v>
          </cell>
          <cell r="F81">
            <v>43780</v>
          </cell>
          <cell r="G81" t="str">
            <v xml:space="preserve"> 2nd Shift</v>
          </cell>
          <cell r="H81">
            <v>43781</v>
          </cell>
          <cell r="I81">
            <v>0.37390046296296298</v>
          </cell>
          <cell r="J81">
            <v>406</v>
          </cell>
          <cell r="K81" t="str">
            <v>DV2</v>
          </cell>
          <cell r="L81" t="str">
            <v>Ster 40cc Mucus Trap/24</v>
          </cell>
          <cell r="M81">
            <v>1300</v>
          </cell>
        </row>
        <row r="82">
          <cell r="A82" t="str">
            <v>1920889</v>
          </cell>
          <cell r="E82">
            <v>43776</v>
          </cell>
          <cell r="F82">
            <v>43780</v>
          </cell>
          <cell r="G82" t="str">
            <v xml:space="preserve"> 2nd Shift</v>
          </cell>
          <cell r="H82">
            <v>43781</v>
          </cell>
          <cell r="I82">
            <v>0.43336805555555552</v>
          </cell>
          <cell r="J82">
            <v>388</v>
          </cell>
          <cell r="K82" t="str">
            <v>DV1</v>
          </cell>
          <cell r="L82" t="str">
            <v>N/Ster Emergency OB K/10C</v>
          </cell>
          <cell r="M82">
            <v>120</v>
          </cell>
        </row>
        <row r="83">
          <cell r="A83" t="str">
            <v>1920909</v>
          </cell>
          <cell r="E83">
            <v>43776</v>
          </cell>
          <cell r="F83">
            <v>43780</v>
          </cell>
          <cell r="G83" t="str">
            <v xml:space="preserve"> 2nd Shift</v>
          </cell>
          <cell r="H83">
            <v>43781</v>
          </cell>
          <cell r="I83">
            <v>0.93170138888888887</v>
          </cell>
          <cell r="J83">
            <v>407</v>
          </cell>
          <cell r="K83" t="str">
            <v>DV2</v>
          </cell>
          <cell r="L83" t="str">
            <v>Ster 80cc Mucus Trap/100</v>
          </cell>
          <cell r="M83">
            <v>120</v>
          </cell>
        </row>
        <row r="84">
          <cell r="A84" t="str">
            <v>1920944</v>
          </cell>
          <cell r="E84">
            <v>43780</v>
          </cell>
          <cell r="F84">
            <v>43781</v>
          </cell>
          <cell r="G84" t="str">
            <v xml:space="preserve"> 1st Shift</v>
          </cell>
          <cell r="H84">
            <v>43782</v>
          </cell>
          <cell r="I84">
            <v>0.41781249999999998</v>
          </cell>
          <cell r="J84">
            <v>405</v>
          </cell>
          <cell r="K84" t="str">
            <v>DV2</v>
          </cell>
          <cell r="L84" t="str">
            <v>Ster 40cc Muc.TrpW/cap/24</v>
          </cell>
          <cell r="M84">
            <v>550</v>
          </cell>
        </row>
        <row r="85">
          <cell r="A85" t="str">
            <v>1931359</v>
          </cell>
          <cell r="E85">
            <v>43780</v>
          </cell>
          <cell r="F85">
            <v>43781</v>
          </cell>
          <cell r="G85" t="str">
            <v xml:space="preserve"> 1st Shift</v>
          </cell>
          <cell r="H85">
            <v>43783</v>
          </cell>
          <cell r="I85">
            <v>0.48109953703703701</v>
          </cell>
          <cell r="J85" t="str">
            <v>6133R1</v>
          </cell>
          <cell r="K85" t="str">
            <v>CNV1</v>
          </cell>
          <cell r="L85" t="str">
            <v>Ster Nerve Block Tray 10c</v>
          </cell>
          <cell r="M85">
            <v>12</v>
          </cell>
        </row>
        <row r="86">
          <cell r="A86" t="str">
            <v>1931363</v>
          </cell>
          <cell r="E86">
            <v>43780</v>
          </cell>
          <cell r="F86">
            <v>43781</v>
          </cell>
          <cell r="G86" t="str">
            <v xml:space="preserve"> 1st Shift</v>
          </cell>
          <cell r="H86">
            <v>43783</v>
          </cell>
          <cell r="I86">
            <v>0.5113078703703704</v>
          </cell>
          <cell r="J86" t="str">
            <v>8477R2</v>
          </cell>
          <cell r="K86" t="str">
            <v>CNV1</v>
          </cell>
          <cell r="L86" t="str">
            <v>Ster Unive Pain Tray 10RX</v>
          </cell>
          <cell r="M86">
            <v>30</v>
          </cell>
        </row>
        <row r="87">
          <cell r="A87" t="str">
            <v>1931416</v>
          </cell>
          <cell r="E87">
            <v>43780</v>
          </cell>
          <cell r="F87">
            <v>43781</v>
          </cell>
          <cell r="G87" t="str">
            <v xml:space="preserve"> 1st Shift</v>
          </cell>
          <cell r="H87">
            <v>43783</v>
          </cell>
          <cell r="I87">
            <v>0.55188657407407404</v>
          </cell>
          <cell r="J87" t="str">
            <v>8234R1</v>
          </cell>
          <cell r="K87" t="str">
            <v>CNV1</v>
          </cell>
          <cell r="L87" t="str">
            <v>Ster 25GX3.5"NERV/B/T10RX</v>
          </cell>
          <cell r="M87">
            <v>10</v>
          </cell>
        </row>
        <row r="88">
          <cell r="A88" t="str">
            <v>1931365</v>
          </cell>
          <cell r="E88">
            <v>43780</v>
          </cell>
          <cell r="F88">
            <v>43781</v>
          </cell>
          <cell r="G88" t="str">
            <v xml:space="preserve"> 1st Shift</v>
          </cell>
          <cell r="H88">
            <v>43783</v>
          </cell>
          <cell r="I88">
            <v>0.57929398148148148</v>
          </cell>
          <cell r="J88">
            <v>7478</v>
          </cell>
          <cell r="K88" t="str">
            <v>CNV1</v>
          </cell>
          <cell r="L88" t="str">
            <v>STER MOORE 82768 TRAY/20</v>
          </cell>
          <cell r="M88">
            <v>135</v>
          </cell>
        </row>
        <row r="89">
          <cell r="A89" t="str">
            <v>1931397</v>
          </cell>
          <cell r="E89">
            <v>43780</v>
          </cell>
          <cell r="F89">
            <v>43781</v>
          </cell>
          <cell r="G89" t="str">
            <v xml:space="preserve"> 1st Shift</v>
          </cell>
          <cell r="H89">
            <v>43783</v>
          </cell>
          <cell r="I89">
            <v>0.82929398148148137</v>
          </cell>
          <cell r="J89">
            <v>8660</v>
          </cell>
          <cell r="K89" t="str">
            <v>CNV1</v>
          </cell>
          <cell r="L89" t="str">
            <v>DR.Gage sterile Pain Ty20</v>
          </cell>
          <cell r="M89">
            <v>12</v>
          </cell>
        </row>
        <row r="90">
          <cell r="A90" t="str">
            <v>1931383</v>
          </cell>
          <cell r="E90">
            <v>43780</v>
          </cell>
          <cell r="F90">
            <v>43781</v>
          </cell>
          <cell r="G90" t="str">
            <v xml:space="preserve"> 1st Shift</v>
          </cell>
          <cell r="H90">
            <v>43783</v>
          </cell>
          <cell r="I90">
            <v>0.86887731481481489</v>
          </cell>
          <cell r="J90">
            <v>8413</v>
          </cell>
          <cell r="K90" t="str">
            <v>CNV1</v>
          </cell>
          <cell r="L90" t="str">
            <v>Ster P/Management Ty10/RX</v>
          </cell>
          <cell r="M90">
            <v>20</v>
          </cell>
        </row>
        <row r="91">
          <cell r="A91" t="str">
            <v>1931309</v>
          </cell>
          <cell r="E91">
            <v>43780</v>
          </cell>
          <cell r="F91">
            <v>43781</v>
          </cell>
          <cell r="G91" t="str">
            <v xml:space="preserve"> 2nd Shift</v>
          </cell>
          <cell r="H91">
            <v>43783</v>
          </cell>
          <cell r="I91">
            <v>0.28642361111111109</v>
          </cell>
          <cell r="J91" t="str">
            <v>7815R2</v>
          </cell>
          <cell r="K91" t="str">
            <v>CNV1</v>
          </cell>
          <cell r="L91" t="str">
            <v>Ster Nerve Block Tray10RX</v>
          </cell>
          <cell r="M91">
            <v>60</v>
          </cell>
        </row>
        <row r="92">
          <cell r="A92" t="str">
            <v>1931335</v>
          </cell>
          <cell r="E92">
            <v>43780</v>
          </cell>
          <cell r="F92">
            <v>43781</v>
          </cell>
          <cell r="G92" t="str">
            <v xml:space="preserve"> 2nd Shift</v>
          </cell>
          <cell r="H92">
            <v>43783</v>
          </cell>
          <cell r="I92">
            <v>0.34672453703703704</v>
          </cell>
          <cell r="J92" t="str">
            <v>9259R1</v>
          </cell>
          <cell r="K92" t="str">
            <v>CNV1</v>
          </cell>
          <cell r="L92" t="str">
            <v>Ster Nerve Block T 10RXEX</v>
          </cell>
          <cell r="M92">
            <v>10</v>
          </cell>
        </row>
        <row r="93">
          <cell r="A93" t="str">
            <v>1920900</v>
          </cell>
          <cell r="E93">
            <v>43780</v>
          </cell>
          <cell r="F93">
            <v>43781</v>
          </cell>
          <cell r="G93" t="str">
            <v xml:space="preserve"> 2nd Shift</v>
          </cell>
          <cell r="H93">
            <v>43782</v>
          </cell>
          <cell r="I93">
            <v>0.37281249999999999</v>
          </cell>
          <cell r="J93">
            <v>726</v>
          </cell>
          <cell r="K93" t="str">
            <v>DV3</v>
          </cell>
          <cell r="L93" t="str">
            <v>Ster Suture Removal/50</v>
          </cell>
          <cell r="M93">
            <v>432</v>
          </cell>
        </row>
        <row r="94">
          <cell r="A94" t="str">
            <v>1931342</v>
          </cell>
          <cell r="E94">
            <v>43780</v>
          </cell>
          <cell r="F94">
            <v>43781</v>
          </cell>
          <cell r="G94" t="str">
            <v xml:space="preserve"> 2nd Shift</v>
          </cell>
          <cell r="H94">
            <v>43783</v>
          </cell>
          <cell r="I94">
            <v>0.38318287037037035</v>
          </cell>
          <cell r="J94">
            <v>8413</v>
          </cell>
          <cell r="K94" t="str">
            <v>CNV1</v>
          </cell>
          <cell r="L94" t="str">
            <v>Ster P/Management Ty10/RX</v>
          </cell>
          <cell r="M94">
            <v>20</v>
          </cell>
        </row>
        <row r="95">
          <cell r="A95" t="str">
            <v>1931360</v>
          </cell>
          <cell r="E95">
            <v>43780</v>
          </cell>
          <cell r="F95">
            <v>43781</v>
          </cell>
          <cell r="G95" t="str">
            <v xml:space="preserve"> 2nd Shift</v>
          </cell>
          <cell r="H95">
            <v>43783</v>
          </cell>
          <cell r="I95">
            <v>0.42901620370370369</v>
          </cell>
          <cell r="J95">
            <v>6774</v>
          </cell>
          <cell r="K95" t="str">
            <v>CNV1</v>
          </cell>
          <cell r="L95" t="str">
            <v>Ster Universal B/Tray 10c</v>
          </cell>
          <cell r="M95">
            <v>20</v>
          </cell>
        </row>
        <row r="96">
          <cell r="A96" t="str">
            <v>1931459</v>
          </cell>
          <cell r="E96">
            <v>43780</v>
          </cell>
          <cell r="F96">
            <v>43781</v>
          </cell>
          <cell r="G96" t="str">
            <v xml:space="preserve"> 2nd Shift</v>
          </cell>
          <cell r="H96">
            <v>43783</v>
          </cell>
          <cell r="I96">
            <v>0.91471064814814806</v>
          </cell>
          <cell r="J96" t="str">
            <v>41065R3</v>
          </cell>
          <cell r="K96" t="str">
            <v>CNV1</v>
          </cell>
          <cell r="L96" t="str">
            <v>Ster Port Access T20EX/RX</v>
          </cell>
          <cell r="M96">
            <v>20</v>
          </cell>
        </row>
        <row r="97">
          <cell r="A97" t="str">
            <v>1910398</v>
          </cell>
          <cell r="E97">
            <v>43781</v>
          </cell>
          <cell r="F97">
            <v>43782</v>
          </cell>
          <cell r="G97" t="str">
            <v xml:space="preserve"> 1st Shift</v>
          </cell>
          <cell r="H97">
            <v>43787</v>
          </cell>
          <cell r="I97">
            <v>0.28001157407407407</v>
          </cell>
          <cell r="J97">
            <v>711</v>
          </cell>
          <cell r="K97" t="str">
            <v>KOCH</v>
          </cell>
          <cell r="L97" t="str">
            <v>Ster Trach Set/24</v>
          </cell>
          <cell r="M97">
            <v>540</v>
          </cell>
        </row>
        <row r="98">
          <cell r="A98" t="str">
            <v>1920938</v>
          </cell>
          <cell r="E98">
            <v>43781</v>
          </cell>
          <cell r="F98">
            <v>43782</v>
          </cell>
          <cell r="G98" t="str">
            <v xml:space="preserve"> 1st Shift</v>
          </cell>
          <cell r="H98">
            <v>43783</v>
          </cell>
          <cell r="I98">
            <v>0.52136574074074071</v>
          </cell>
          <cell r="J98">
            <v>510</v>
          </cell>
          <cell r="K98" t="str">
            <v>DV2</v>
          </cell>
          <cell r="L98" t="str">
            <v>Ster Catheter Plug/200</v>
          </cell>
          <cell r="M98">
            <v>80</v>
          </cell>
        </row>
        <row r="99">
          <cell r="A99" t="str">
            <v>1920914</v>
          </cell>
          <cell r="E99">
            <v>43781</v>
          </cell>
          <cell r="F99">
            <v>43782</v>
          </cell>
          <cell r="G99" t="str">
            <v xml:space="preserve"> 1st Shift</v>
          </cell>
          <cell r="H99">
            <v>43783</v>
          </cell>
          <cell r="I99">
            <v>0.62124999999999997</v>
          </cell>
          <cell r="J99">
            <v>7190</v>
          </cell>
          <cell r="K99" t="str">
            <v>DV2</v>
          </cell>
          <cell r="L99" t="str">
            <v>Ster Posi-Grip Forcep/100</v>
          </cell>
          <cell r="M99">
            <v>640</v>
          </cell>
        </row>
        <row r="100">
          <cell r="A100" t="str">
            <v>1931294</v>
          </cell>
          <cell r="C100">
            <v>96</v>
          </cell>
          <cell r="D100" t="str">
            <v>31B</v>
          </cell>
          <cell r="E100">
            <v>43781</v>
          </cell>
          <cell r="F100">
            <v>43782</v>
          </cell>
          <cell r="G100" t="str">
            <v xml:space="preserve"> 1st Shift</v>
          </cell>
          <cell r="H100">
            <v>43787</v>
          </cell>
          <cell r="I100">
            <v>0.78537037037037039</v>
          </cell>
          <cell r="J100" t="str">
            <v>3122R1</v>
          </cell>
          <cell r="K100" t="str">
            <v>CNV1</v>
          </cell>
          <cell r="L100" t="str">
            <v>Sterile Surgery Pack 5 cs</v>
          </cell>
          <cell r="M100">
            <v>30</v>
          </cell>
        </row>
        <row r="101">
          <cell r="A101" t="str">
            <v>1920899</v>
          </cell>
          <cell r="E101">
            <v>43780</v>
          </cell>
          <cell r="F101">
            <v>43782</v>
          </cell>
          <cell r="G101" t="str">
            <v xml:space="preserve"> 1st Shift</v>
          </cell>
          <cell r="H101">
            <v>43782</v>
          </cell>
          <cell r="I101">
            <v>0.81211805555555561</v>
          </cell>
          <cell r="J101">
            <v>718</v>
          </cell>
          <cell r="K101" t="str">
            <v>DV3</v>
          </cell>
          <cell r="L101" t="str">
            <v>Ster Suture Kit/50</v>
          </cell>
          <cell r="M101">
            <v>1344</v>
          </cell>
        </row>
        <row r="102">
          <cell r="A102" t="str">
            <v>1920897</v>
          </cell>
          <cell r="E102">
            <v>43781</v>
          </cell>
          <cell r="F102">
            <v>43782</v>
          </cell>
          <cell r="G102" t="str">
            <v xml:space="preserve"> 2nd Shift</v>
          </cell>
          <cell r="H102">
            <v>43783</v>
          </cell>
          <cell r="I102">
            <v>0.27436342592592594</v>
          </cell>
          <cell r="J102">
            <v>595</v>
          </cell>
          <cell r="K102" t="str">
            <v>DV2</v>
          </cell>
          <cell r="L102" t="str">
            <v>STER 10ML PLASTC LOR LL50</v>
          </cell>
          <cell r="M102">
            <v>100</v>
          </cell>
        </row>
        <row r="103">
          <cell r="A103" t="str">
            <v>1931329</v>
          </cell>
          <cell r="E103">
            <v>43781</v>
          </cell>
          <cell r="F103">
            <v>43782</v>
          </cell>
          <cell r="G103" t="str">
            <v xml:space="preserve"> 2nd Shift</v>
          </cell>
          <cell r="H103">
            <v>43787</v>
          </cell>
          <cell r="I103">
            <v>0.2749537037037037</v>
          </cell>
          <cell r="J103" t="str">
            <v>7812R1</v>
          </cell>
          <cell r="K103" t="str">
            <v>CNV1</v>
          </cell>
          <cell r="L103" t="str">
            <v>STERILE NERVE BLOCK T/20C</v>
          </cell>
          <cell r="M103">
            <v>300</v>
          </cell>
        </row>
        <row r="104">
          <cell r="A104" t="str">
            <v>1931184</v>
          </cell>
          <cell r="E104">
            <v>43781</v>
          </cell>
          <cell r="F104">
            <v>43782</v>
          </cell>
          <cell r="G104" t="str">
            <v xml:space="preserve"> 2nd Shift</v>
          </cell>
          <cell r="H104">
            <v>43784</v>
          </cell>
          <cell r="I104">
            <v>0.27564814814814814</v>
          </cell>
          <cell r="J104" t="str">
            <v>PCDB</v>
          </cell>
          <cell r="K104" t="str">
            <v>CNV1</v>
          </cell>
          <cell r="L104" t="str">
            <v>S/PYROGEN/PROCESS D/R/6</v>
          </cell>
          <cell r="M104">
            <v>6</v>
          </cell>
        </row>
        <row r="105">
          <cell r="A105" t="str">
            <v>1931185</v>
          </cell>
          <cell r="E105">
            <v>43781</v>
          </cell>
          <cell r="F105">
            <v>43782</v>
          </cell>
          <cell r="G105" t="str">
            <v xml:space="preserve"> 2nd Shift</v>
          </cell>
          <cell r="H105">
            <v>43784</v>
          </cell>
          <cell r="I105">
            <v>0.28013888888888888</v>
          </cell>
          <cell r="J105" t="str">
            <v>PCDA</v>
          </cell>
          <cell r="K105" t="str">
            <v>CNV1</v>
          </cell>
          <cell r="L105" t="str">
            <v>S/PYROGEN PROCESS D/R/C12</v>
          </cell>
          <cell r="M105">
            <v>1</v>
          </cell>
        </row>
        <row r="106">
          <cell r="A106" t="str">
            <v>1920912</v>
          </cell>
          <cell r="E106">
            <v>43781</v>
          </cell>
          <cell r="F106">
            <v>43782</v>
          </cell>
          <cell r="G106" t="str">
            <v xml:space="preserve"> 2nd Shift</v>
          </cell>
          <cell r="H106">
            <v>43783</v>
          </cell>
          <cell r="I106">
            <v>0.30987268518518518</v>
          </cell>
          <cell r="J106">
            <v>504</v>
          </cell>
          <cell r="K106" t="str">
            <v>DV2</v>
          </cell>
          <cell r="L106" t="str">
            <v>Ster 6mm Connector/400</v>
          </cell>
          <cell r="M106">
            <v>15</v>
          </cell>
        </row>
        <row r="107">
          <cell r="A107" t="str">
            <v>1920941</v>
          </cell>
          <cell r="E107">
            <v>43781</v>
          </cell>
          <cell r="F107">
            <v>43782</v>
          </cell>
          <cell r="G107" t="str">
            <v xml:space="preserve"> 2nd Shift</v>
          </cell>
          <cell r="H107">
            <v>43783</v>
          </cell>
          <cell r="I107">
            <v>0.35078703703703701</v>
          </cell>
          <cell r="J107">
            <v>501</v>
          </cell>
          <cell r="K107" t="str">
            <v>DV2</v>
          </cell>
          <cell r="L107" t="str">
            <v>Ster 5in1 Connector/200</v>
          </cell>
          <cell r="M107">
            <v>144</v>
          </cell>
        </row>
        <row r="108">
          <cell r="A108" t="str">
            <v>1970032</v>
          </cell>
          <cell r="E108">
            <v>43781</v>
          </cell>
          <cell r="F108">
            <v>43782</v>
          </cell>
          <cell r="G108" t="str">
            <v xml:space="preserve"> 2nd Shift</v>
          </cell>
          <cell r="H108">
            <v>43787</v>
          </cell>
          <cell r="I108">
            <v>0.67019675925925926</v>
          </cell>
          <cell r="J108">
            <v>400</v>
          </cell>
          <cell r="K108" t="str">
            <v>AMOTEK</v>
          </cell>
          <cell r="L108" t="str">
            <v>Ster 16oz Sponge Bowls/75</v>
          </cell>
          <cell r="M108">
            <v>144</v>
          </cell>
        </row>
        <row r="109">
          <cell r="A109" t="str">
            <v>1910392W</v>
          </cell>
          <cell r="E109">
            <v>43781</v>
          </cell>
          <cell r="F109">
            <v>43782</v>
          </cell>
          <cell r="G109" t="str">
            <v xml:space="preserve"> 2nd Shift</v>
          </cell>
          <cell r="H109">
            <v>43787</v>
          </cell>
          <cell r="I109">
            <v>0.69456018518518514</v>
          </cell>
          <cell r="J109" t="str">
            <v>WPPCD645</v>
          </cell>
          <cell r="K109" t="str">
            <v>CNV2^MULTI</v>
          </cell>
          <cell r="L109" t="str">
            <v>S/PYROGEN PROCESS C/D/LUM</v>
          </cell>
          <cell r="M109">
            <v>10</v>
          </cell>
        </row>
        <row r="110">
          <cell r="A110" t="str">
            <v>1910418W</v>
          </cell>
          <cell r="E110">
            <v>43781</v>
          </cell>
          <cell r="F110">
            <v>43782</v>
          </cell>
          <cell r="G110" t="str">
            <v xml:space="preserve"> 2nd Shift</v>
          </cell>
          <cell r="H110">
            <v>43787</v>
          </cell>
          <cell r="I110">
            <v>0.69612268518518527</v>
          </cell>
          <cell r="J110" t="str">
            <v>W648</v>
          </cell>
          <cell r="K110" t="str">
            <v>CNV2^MULTI</v>
          </cell>
          <cell r="L110" t="str">
            <v>SterLumbrTray w/20g/10 RX</v>
          </cell>
          <cell r="M110">
            <v>900</v>
          </cell>
        </row>
        <row r="111">
          <cell r="A111" t="str">
            <v>1910419RW</v>
          </cell>
          <cell r="E111">
            <v>43781</v>
          </cell>
          <cell r="F111">
            <v>43782</v>
          </cell>
          <cell r="G111" t="str">
            <v xml:space="preserve"> 2nd Shift</v>
          </cell>
          <cell r="H111">
            <v>43787</v>
          </cell>
          <cell r="I111">
            <v>0.84479166666666661</v>
          </cell>
          <cell r="J111" t="str">
            <v>W645</v>
          </cell>
          <cell r="K111" t="str">
            <v>CNV2^MULTI</v>
          </cell>
          <cell r="L111" t="str">
            <v>Ster PedLumbarTray10 RX</v>
          </cell>
          <cell r="M111">
            <v>150</v>
          </cell>
        </row>
        <row r="112">
          <cell r="A112" t="str">
            <v>1931315</v>
          </cell>
          <cell r="E112">
            <v>43781</v>
          </cell>
          <cell r="F112">
            <v>43782</v>
          </cell>
          <cell r="G112" t="str">
            <v xml:space="preserve"> 2nd Shift</v>
          </cell>
          <cell r="H112">
            <v>43787</v>
          </cell>
          <cell r="I112">
            <v>0.88633101851851848</v>
          </cell>
          <cell r="J112">
            <v>7916</v>
          </cell>
          <cell r="K112" t="str">
            <v>CNV1</v>
          </cell>
          <cell r="L112" t="str">
            <v>Ster Nerve Block Ty2/10EX</v>
          </cell>
          <cell r="M112">
            <v>40</v>
          </cell>
        </row>
        <row r="113">
          <cell r="A113" t="str">
            <v>1910420RW</v>
          </cell>
          <cell r="E113">
            <v>43781</v>
          </cell>
          <cell r="F113">
            <v>43782</v>
          </cell>
          <cell r="G113" t="str">
            <v xml:space="preserve"> 2nd Shift</v>
          </cell>
          <cell r="H113">
            <v>43787</v>
          </cell>
          <cell r="I113">
            <v>0.88693287037037039</v>
          </cell>
          <cell r="J113" t="str">
            <v>W645</v>
          </cell>
          <cell r="K113" t="str">
            <v>CNV2^MULTI</v>
          </cell>
          <cell r="L113" t="str">
            <v>Ster PedLumbarTray10 RX</v>
          </cell>
          <cell r="M113">
            <v>120</v>
          </cell>
        </row>
        <row r="114">
          <cell r="A114" t="str">
            <v>1910425W</v>
          </cell>
          <cell r="E114">
            <v>43781</v>
          </cell>
          <cell r="F114">
            <v>43782</v>
          </cell>
          <cell r="G114" t="str">
            <v xml:space="preserve"> 2nd Shift</v>
          </cell>
          <cell r="H114">
            <v>43787</v>
          </cell>
          <cell r="I114">
            <v>0.92481481481481476</v>
          </cell>
          <cell r="J114" t="str">
            <v>W651B</v>
          </cell>
          <cell r="K114" t="str">
            <v>CNV2^MULTI</v>
          </cell>
          <cell r="L114" t="str">
            <v>Ster Basic Biopsy Ty 10c</v>
          </cell>
          <cell r="M114">
            <v>1540</v>
          </cell>
        </row>
        <row r="115">
          <cell r="A115" t="str">
            <v>1931361</v>
          </cell>
          <cell r="E115">
            <v>43781</v>
          </cell>
          <cell r="F115">
            <v>43782</v>
          </cell>
          <cell r="G115" t="str">
            <v xml:space="preserve"> 2nd Shift</v>
          </cell>
          <cell r="H115">
            <v>43787</v>
          </cell>
          <cell r="I115">
            <v>0.95716435185185189</v>
          </cell>
          <cell r="J115">
            <v>7360</v>
          </cell>
          <cell r="K115" t="str">
            <v>CNV1</v>
          </cell>
          <cell r="L115" t="str">
            <v>Ster Arthrogram Tray 10c</v>
          </cell>
          <cell r="M115">
            <v>20</v>
          </cell>
        </row>
        <row r="116">
          <cell r="A116" t="str">
            <v>1931396</v>
          </cell>
          <cell r="E116">
            <v>43782</v>
          </cell>
          <cell r="F116">
            <v>43783</v>
          </cell>
          <cell r="G116" t="str">
            <v xml:space="preserve"> 1st Shift</v>
          </cell>
          <cell r="H116">
            <v>43788</v>
          </cell>
          <cell r="I116">
            <v>0.46810185185185182</v>
          </cell>
          <cell r="J116" t="str">
            <v>8499R1</v>
          </cell>
          <cell r="K116" t="str">
            <v>CNV1</v>
          </cell>
          <cell r="L116" t="str">
            <v>STERILE PAIN TRAY 20/CS</v>
          </cell>
          <cell r="M116">
            <v>12</v>
          </cell>
        </row>
        <row r="117">
          <cell r="A117" t="str">
            <v>1931385</v>
          </cell>
          <cell r="E117">
            <v>43782</v>
          </cell>
          <cell r="F117">
            <v>43783</v>
          </cell>
          <cell r="G117" t="str">
            <v xml:space="preserve"> 1st Shift</v>
          </cell>
          <cell r="H117">
            <v>43788</v>
          </cell>
          <cell r="I117">
            <v>0.50768518518518524</v>
          </cell>
          <cell r="J117" t="str">
            <v>9387R1</v>
          </cell>
          <cell r="K117" t="str">
            <v>CNV1</v>
          </cell>
          <cell r="L117" t="str">
            <v>Ster Hystero Tray 5/cs</v>
          </cell>
          <cell r="M117">
            <v>16</v>
          </cell>
        </row>
        <row r="118">
          <cell r="A118" t="str">
            <v>1931412</v>
          </cell>
          <cell r="E118">
            <v>43782</v>
          </cell>
          <cell r="F118">
            <v>43783</v>
          </cell>
          <cell r="G118" t="str">
            <v xml:space="preserve"> 1st Shift</v>
          </cell>
          <cell r="H118">
            <v>43788</v>
          </cell>
          <cell r="I118">
            <v>0.55351851851851852</v>
          </cell>
          <cell r="J118">
            <v>1165</v>
          </cell>
          <cell r="K118" t="str">
            <v>CNV1</v>
          </cell>
          <cell r="L118" t="str">
            <v>Ster S/S Edpidural Ty10CS</v>
          </cell>
          <cell r="M118">
            <v>10</v>
          </cell>
        </row>
        <row r="119">
          <cell r="A119" t="str">
            <v>1931417</v>
          </cell>
          <cell r="E119">
            <v>43782</v>
          </cell>
          <cell r="F119">
            <v>43783</v>
          </cell>
          <cell r="G119" t="str">
            <v xml:space="preserve"> 1st Shift</v>
          </cell>
          <cell r="H119">
            <v>43788</v>
          </cell>
          <cell r="I119">
            <v>0.58216435185185189</v>
          </cell>
          <cell r="J119">
            <v>7994</v>
          </cell>
          <cell r="K119" t="str">
            <v>CNV1</v>
          </cell>
          <cell r="L119" t="str">
            <v>Ster Univ/B/T/W/O/Lidoc10</v>
          </cell>
          <cell r="M119">
            <v>70</v>
          </cell>
        </row>
        <row r="120">
          <cell r="A120" t="str">
            <v>1931421</v>
          </cell>
          <cell r="E120">
            <v>43782</v>
          </cell>
          <cell r="F120">
            <v>43783</v>
          </cell>
          <cell r="G120" t="str">
            <v xml:space="preserve"> 1st Shift</v>
          </cell>
          <cell r="H120">
            <v>43788</v>
          </cell>
          <cell r="I120">
            <v>0.7321643518518518</v>
          </cell>
          <cell r="J120">
            <v>6774</v>
          </cell>
          <cell r="K120" t="str">
            <v>CNV1</v>
          </cell>
          <cell r="L120" t="str">
            <v>Ster Universal B/Tray 10c</v>
          </cell>
          <cell r="M120">
            <v>20</v>
          </cell>
        </row>
        <row r="121">
          <cell r="A121" t="str">
            <v>1931319</v>
          </cell>
          <cell r="E121">
            <v>43782</v>
          </cell>
          <cell r="F121">
            <v>43783</v>
          </cell>
          <cell r="G121" t="str">
            <v xml:space="preserve"> 1st Shift</v>
          </cell>
          <cell r="H121">
            <v>43788</v>
          </cell>
          <cell r="I121">
            <v>0.78424768518518517</v>
          </cell>
          <cell r="J121">
            <v>747</v>
          </cell>
          <cell r="K121" t="str">
            <v>CNV1</v>
          </cell>
          <cell r="L121" t="str">
            <v>Ster Suturing Tray/20</v>
          </cell>
          <cell r="M121">
            <v>135</v>
          </cell>
        </row>
        <row r="122">
          <cell r="A122" t="str">
            <v>1920907</v>
          </cell>
          <cell r="E122">
            <v>43782</v>
          </cell>
          <cell r="F122">
            <v>43783</v>
          </cell>
          <cell r="G122" t="str">
            <v xml:space="preserve"> 2nd Shift</v>
          </cell>
          <cell r="H122">
            <v>43787</v>
          </cell>
          <cell r="I122">
            <v>0.27476851851851852</v>
          </cell>
          <cell r="J122">
            <v>750</v>
          </cell>
          <cell r="K122" t="str">
            <v>DV1</v>
          </cell>
          <cell r="L122" t="str">
            <v>Ster Mnr Laceration Pk/20</v>
          </cell>
          <cell r="M122">
            <v>60</v>
          </cell>
        </row>
        <row r="123">
          <cell r="A123" t="str">
            <v>1940077</v>
          </cell>
          <cell r="E123">
            <v>43782</v>
          </cell>
          <cell r="F123">
            <v>43783</v>
          </cell>
          <cell r="G123" t="str">
            <v xml:space="preserve"> 2nd Shift</v>
          </cell>
          <cell r="H123">
            <v>43787</v>
          </cell>
          <cell r="I123">
            <v>0.27729166666666666</v>
          </cell>
          <cell r="J123">
            <v>696</v>
          </cell>
          <cell r="K123" t="str">
            <v>CIRCLE</v>
          </cell>
          <cell r="L123" t="str">
            <v>Ster Polylined Drape/300</v>
          </cell>
          <cell r="M123">
            <v>240</v>
          </cell>
        </row>
        <row r="124">
          <cell r="A124" t="str">
            <v>1931371</v>
          </cell>
          <cell r="E124">
            <v>43782</v>
          </cell>
          <cell r="F124">
            <v>43783</v>
          </cell>
          <cell r="G124" t="str">
            <v xml:space="preserve"> 2nd Shift</v>
          </cell>
          <cell r="H124">
            <v>43788</v>
          </cell>
          <cell r="I124">
            <v>0.30091435185185184</v>
          </cell>
          <cell r="J124">
            <v>1091</v>
          </cell>
          <cell r="K124" t="str">
            <v>CNV1</v>
          </cell>
          <cell r="L124" t="str">
            <v>Ster Lumbar Tray 10cs/RX</v>
          </cell>
          <cell r="M124">
            <v>32</v>
          </cell>
        </row>
        <row r="125">
          <cell r="A125" t="str">
            <v>1920843</v>
          </cell>
          <cell r="E125">
            <v>43782</v>
          </cell>
          <cell r="F125">
            <v>43783</v>
          </cell>
          <cell r="G125" t="str">
            <v xml:space="preserve"> 2nd Shift</v>
          </cell>
          <cell r="H125">
            <v>43787</v>
          </cell>
          <cell r="I125">
            <v>0.34173611111111107</v>
          </cell>
          <cell r="J125">
            <v>754</v>
          </cell>
          <cell r="K125" t="str">
            <v>DV1</v>
          </cell>
          <cell r="L125" t="str">
            <v>Ster Instrument Tray/20</v>
          </cell>
          <cell r="M125">
            <v>45</v>
          </cell>
        </row>
        <row r="126">
          <cell r="A126" t="str">
            <v>1931384</v>
          </cell>
          <cell r="E126">
            <v>43782</v>
          </cell>
          <cell r="F126">
            <v>43783</v>
          </cell>
          <cell r="G126" t="str">
            <v xml:space="preserve"> 2nd Shift</v>
          </cell>
          <cell r="H126">
            <v>43788</v>
          </cell>
          <cell r="I126">
            <v>0.37174768518518514</v>
          </cell>
          <cell r="J126" t="str">
            <v>8600R1</v>
          </cell>
          <cell r="K126" t="str">
            <v>CNV1</v>
          </cell>
          <cell r="L126" t="str">
            <v>Ster C/Epid/Anest T10/RX</v>
          </cell>
          <cell r="M126">
            <v>15</v>
          </cell>
        </row>
        <row r="127">
          <cell r="A127" t="str">
            <v>1931392</v>
          </cell>
          <cell r="E127">
            <v>43782</v>
          </cell>
          <cell r="F127">
            <v>43783</v>
          </cell>
          <cell r="G127" t="str">
            <v xml:space="preserve"> 2nd Shift</v>
          </cell>
          <cell r="H127">
            <v>43788</v>
          </cell>
          <cell r="I127">
            <v>0.41601851851851851</v>
          </cell>
          <cell r="J127" t="str">
            <v>6183R1</v>
          </cell>
          <cell r="K127" t="str">
            <v>CNV1</v>
          </cell>
          <cell r="L127" t="str">
            <v>Ster S/S/Epidural Tray10c</v>
          </cell>
          <cell r="M127">
            <v>40</v>
          </cell>
        </row>
        <row r="128">
          <cell r="A128" t="str">
            <v>1920846</v>
          </cell>
          <cell r="E128">
            <v>43782</v>
          </cell>
          <cell r="F128">
            <v>43783</v>
          </cell>
          <cell r="G128" t="str">
            <v xml:space="preserve"> 2nd Shift</v>
          </cell>
          <cell r="H128">
            <v>43787</v>
          </cell>
          <cell r="I128">
            <v>0.42159722222222223</v>
          </cell>
          <cell r="J128">
            <v>758</v>
          </cell>
          <cell r="K128" t="str">
            <v>DV1</v>
          </cell>
          <cell r="L128" t="str">
            <v>Ster Incision&amp;Drainage/20</v>
          </cell>
          <cell r="M128">
            <v>200</v>
          </cell>
        </row>
        <row r="129">
          <cell r="A129" t="str">
            <v>1920836</v>
          </cell>
          <cell r="E129">
            <v>43782</v>
          </cell>
          <cell r="F129">
            <v>43783</v>
          </cell>
          <cell r="G129" t="str">
            <v xml:space="preserve"> 2nd Shift</v>
          </cell>
          <cell r="H129">
            <v>43787</v>
          </cell>
          <cell r="I129">
            <v>0.50708333333333333</v>
          </cell>
          <cell r="J129">
            <v>716</v>
          </cell>
          <cell r="K129" t="str">
            <v>DV3</v>
          </cell>
          <cell r="L129" t="str">
            <v>Ster Staple Remover/48</v>
          </cell>
          <cell r="M129">
            <v>648</v>
          </cell>
        </row>
        <row r="130">
          <cell r="A130" t="str">
            <v>1910399</v>
          </cell>
          <cell r="E130">
            <v>43783</v>
          </cell>
          <cell r="F130">
            <v>43787</v>
          </cell>
          <cell r="G130" t="str">
            <v xml:space="preserve"> 1st Shift</v>
          </cell>
          <cell r="H130">
            <v>43789</v>
          </cell>
          <cell r="I130">
            <v>0.28174768518518517</v>
          </cell>
          <cell r="J130">
            <v>711</v>
          </cell>
          <cell r="K130" t="str">
            <v>KOCH</v>
          </cell>
          <cell r="L130" t="str">
            <v>Ster Trach Set/24</v>
          </cell>
          <cell r="M130">
            <v>340</v>
          </cell>
        </row>
        <row r="131">
          <cell r="A131" t="str">
            <v>1931223</v>
          </cell>
          <cell r="E131">
            <v>43783</v>
          </cell>
          <cell r="F131">
            <v>43787</v>
          </cell>
          <cell r="G131" t="str">
            <v xml:space="preserve"> 1st Shift</v>
          </cell>
          <cell r="H131">
            <v>43789</v>
          </cell>
          <cell r="I131">
            <v>0.72565972222222219</v>
          </cell>
          <cell r="J131">
            <v>1107</v>
          </cell>
          <cell r="K131" t="str">
            <v>CNV1</v>
          </cell>
          <cell r="L131" t="str">
            <v>Ster Neurological 10RX,EX</v>
          </cell>
          <cell r="M131">
            <v>20</v>
          </cell>
        </row>
        <row r="132">
          <cell r="A132" t="str">
            <v>1931343</v>
          </cell>
          <cell r="E132">
            <v>43783</v>
          </cell>
          <cell r="F132">
            <v>43787</v>
          </cell>
          <cell r="G132" t="str">
            <v xml:space="preserve"> 1st Shift</v>
          </cell>
          <cell r="H132">
            <v>43789</v>
          </cell>
          <cell r="I132">
            <v>0.77774305555555545</v>
          </cell>
          <cell r="J132" t="str">
            <v>41065R3</v>
          </cell>
          <cell r="K132" t="str">
            <v>CNV1</v>
          </cell>
          <cell r="L132" t="str">
            <v>Ster Port Access T20EX/RX</v>
          </cell>
          <cell r="M132">
            <v>150</v>
          </cell>
        </row>
        <row r="133">
          <cell r="A133" t="str">
            <v>1931388</v>
          </cell>
          <cell r="E133">
            <v>43783</v>
          </cell>
          <cell r="F133">
            <v>43787</v>
          </cell>
          <cell r="G133" t="str">
            <v xml:space="preserve"> 2nd Shift</v>
          </cell>
          <cell r="H133">
            <v>43789</v>
          </cell>
          <cell r="I133">
            <v>0.27253472222222225</v>
          </cell>
          <cell r="J133" t="str">
            <v>9074R1</v>
          </cell>
          <cell r="K133" t="str">
            <v>CNV1</v>
          </cell>
          <cell r="L133" t="str">
            <v>Ster Set Up Tray 10/cs</v>
          </cell>
          <cell r="M133">
            <v>500</v>
          </cell>
        </row>
        <row r="134">
          <cell r="A134" t="str">
            <v>1940078</v>
          </cell>
          <cell r="E134">
            <v>43783</v>
          </cell>
          <cell r="F134">
            <v>43787</v>
          </cell>
          <cell r="G134" t="str">
            <v xml:space="preserve"> 2nd Shift</v>
          </cell>
          <cell r="H134">
            <v>43788</v>
          </cell>
          <cell r="I134">
            <v>0.31785879629629626</v>
          </cell>
          <cell r="J134">
            <v>696</v>
          </cell>
          <cell r="K134" t="str">
            <v>CIRCLE</v>
          </cell>
          <cell r="L134" t="str">
            <v>Ster Polylined Drape/300</v>
          </cell>
          <cell r="M134">
            <v>240</v>
          </cell>
        </row>
        <row r="135">
          <cell r="A135" t="str">
            <v>1920933</v>
          </cell>
          <cell r="E135">
            <v>43783</v>
          </cell>
          <cell r="F135">
            <v>43787</v>
          </cell>
          <cell r="G135" t="str">
            <v xml:space="preserve"> 2nd Shift</v>
          </cell>
          <cell r="H135">
            <v>43788</v>
          </cell>
          <cell r="I135">
            <v>0.33479166666666665</v>
          </cell>
          <cell r="J135">
            <v>755</v>
          </cell>
          <cell r="K135" t="str">
            <v>DV1</v>
          </cell>
          <cell r="L135" t="str">
            <v>Ster Instrument Tray/20</v>
          </cell>
          <cell r="M135">
            <v>10</v>
          </cell>
        </row>
        <row r="136">
          <cell r="A136" t="str">
            <v>1920890</v>
          </cell>
          <cell r="E136">
            <v>43783</v>
          </cell>
          <cell r="F136">
            <v>43787</v>
          </cell>
          <cell r="G136" t="str">
            <v xml:space="preserve"> 2nd Shift</v>
          </cell>
          <cell r="H136">
            <v>43788</v>
          </cell>
          <cell r="I136">
            <v>0.36372685185185188</v>
          </cell>
          <cell r="J136">
            <v>757</v>
          </cell>
          <cell r="K136" t="str">
            <v>DV1</v>
          </cell>
          <cell r="L136" t="str">
            <v>Ster Facial Wound Clsr/20</v>
          </cell>
          <cell r="M136">
            <v>50</v>
          </cell>
        </row>
        <row r="137">
          <cell r="A137" t="str">
            <v>1920837</v>
          </cell>
          <cell r="E137">
            <v>43783</v>
          </cell>
          <cell r="F137">
            <v>43787</v>
          </cell>
          <cell r="G137" t="str">
            <v xml:space="preserve"> 2nd Shift</v>
          </cell>
          <cell r="H137">
            <v>43788</v>
          </cell>
          <cell r="I137">
            <v>0.38743055555555556</v>
          </cell>
          <cell r="J137">
            <v>9199</v>
          </cell>
          <cell r="K137" t="str">
            <v>DV3</v>
          </cell>
          <cell r="L137" t="str">
            <v>HS STP RMVR #570-0620 /48</v>
          </cell>
          <cell r="M137">
            <v>108</v>
          </cell>
        </row>
        <row r="138">
          <cell r="A138" t="str">
            <v>1920891</v>
          </cell>
          <cell r="E138">
            <v>43783</v>
          </cell>
          <cell r="F138">
            <v>43787</v>
          </cell>
          <cell r="G138" t="str">
            <v xml:space="preserve"> 2nd Shift</v>
          </cell>
          <cell r="H138">
            <v>43788</v>
          </cell>
          <cell r="I138">
            <v>0.44619212962962962</v>
          </cell>
          <cell r="J138">
            <v>758</v>
          </cell>
          <cell r="K138" t="str">
            <v>DV1</v>
          </cell>
          <cell r="L138" t="str">
            <v>Ster Incision&amp;Drainage/20</v>
          </cell>
          <cell r="M138">
            <v>200</v>
          </cell>
        </row>
        <row r="139">
          <cell r="A139" t="str">
            <v>1920880</v>
          </cell>
          <cell r="E139">
            <v>43783</v>
          </cell>
          <cell r="F139">
            <v>43787</v>
          </cell>
          <cell r="G139" t="str">
            <v xml:space="preserve"> 2nd Shift</v>
          </cell>
          <cell r="H139">
            <v>43788</v>
          </cell>
          <cell r="I139">
            <v>0.49133101851851851</v>
          </cell>
          <cell r="J139">
            <v>7165</v>
          </cell>
          <cell r="K139" t="str">
            <v>DV3</v>
          </cell>
          <cell r="L139" t="str">
            <v>STER IMCO STAPLE REMVR/48</v>
          </cell>
          <cell r="M139">
            <v>40</v>
          </cell>
        </row>
        <row r="140">
          <cell r="A140" t="str">
            <v>1920813</v>
          </cell>
          <cell r="E140">
            <v>43783</v>
          </cell>
          <cell r="F140">
            <v>43787</v>
          </cell>
          <cell r="G140" t="str">
            <v xml:space="preserve"> 2nd Shift</v>
          </cell>
          <cell r="H140">
            <v>43788</v>
          </cell>
          <cell r="I140">
            <v>0.54074074074074074</v>
          </cell>
          <cell r="J140">
            <v>718</v>
          </cell>
          <cell r="K140" t="str">
            <v>DV3</v>
          </cell>
          <cell r="L140" t="str">
            <v>Ster Suture Kit/50</v>
          </cell>
          <cell r="M140">
            <v>544</v>
          </cell>
        </row>
        <row r="141">
          <cell r="A141" t="str">
            <v>1931424</v>
          </cell>
          <cell r="E141">
            <v>43787</v>
          </cell>
          <cell r="F141">
            <v>43788</v>
          </cell>
          <cell r="G141" t="str">
            <v xml:space="preserve"> 1st Shift</v>
          </cell>
          <cell r="H141">
            <v>43790</v>
          </cell>
          <cell r="I141">
            <v>0.481412037037037</v>
          </cell>
          <cell r="J141">
            <v>7385</v>
          </cell>
          <cell r="K141" t="str">
            <v>CNV1</v>
          </cell>
          <cell r="L141" t="str">
            <v>Sterile Epidural Ty10cEX</v>
          </cell>
          <cell r="M141">
            <v>25</v>
          </cell>
        </row>
        <row r="142">
          <cell r="A142" t="str">
            <v>1931190</v>
          </cell>
          <cell r="E142">
            <v>43787</v>
          </cell>
          <cell r="F142">
            <v>43788</v>
          </cell>
          <cell r="G142" t="str">
            <v xml:space="preserve"> 1st Shift</v>
          </cell>
          <cell r="H142">
            <v>43790</v>
          </cell>
          <cell r="I142">
            <v>0.52872685185185186</v>
          </cell>
          <cell r="J142" t="str">
            <v>B8109</v>
          </cell>
          <cell r="K142" t="str">
            <v>CNV1</v>
          </cell>
          <cell r="L142" t="str">
            <v>SterSS 3.2MM P/I MEDPVP20</v>
          </cell>
          <cell r="M142">
            <v>50</v>
          </cell>
        </row>
        <row r="143">
          <cell r="A143" t="str">
            <v>1931369</v>
          </cell>
          <cell r="E143">
            <v>43787</v>
          </cell>
          <cell r="F143">
            <v>43788</v>
          </cell>
          <cell r="G143" t="str">
            <v xml:space="preserve"> 1st Shift</v>
          </cell>
          <cell r="H143">
            <v>43790</v>
          </cell>
          <cell r="I143">
            <v>0.59122685185185186</v>
          </cell>
          <cell r="J143">
            <v>386</v>
          </cell>
          <cell r="K143" t="str">
            <v>CNV1</v>
          </cell>
          <cell r="L143" t="str">
            <v>Ster Circumcision Tray10c</v>
          </cell>
          <cell r="M143">
            <v>30</v>
          </cell>
        </row>
        <row r="144">
          <cell r="A144" t="str">
            <v>1931220</v>
          </cell>
          <cell r="E144">
            <v>43787</v>
          </cell>
          <cell r="F144">
            <v>43788</v>
          </cell>
          <cell r="G144" t="str">
            <v xml:space="preserve"> 1st Shift</v>
          </cell>
          <cell r="H144">
            <v>43790</v>
          </cell>
          <cell r="I144">
            <v>0.67716435185185186</v>
          </cell>
          <cell r="J144" t="str">
            <v>2066R1</v>
          </cell>
          <cell r="K144" t="str">
            <v>CNV1</v>
          </cell>
          <cell r="L144" t="str">
            <v>Ster V.A.D.Acces/T20EX/RX</v>
          </cell>
          <cell r="M144">
            <v>15</v>
          </cell>
        </row>
        <row r="145">
          <cell r="A145" t="str">
            <v>1931253</v>
          </cell>
          <cell r="E145">
            <v>43787</v>
          </cell>
          <cell r="F145">
            <v>43788</v>
          </cell>
          <cell r="G145" t="str">
            <v xml:space="preserve"> 1st Shift</v>
          </cell>
          <cell r="H145">
            <v>43790</v>
          </cell>
          <cell r="I145">
            <v>0.72143518518518512</v>
          </cell>
          <cell r="J145">
            <v>2411</v>
          </cell>
          <cell r="K145" t="str">
            <v>CNV1</v>
          </cell>
          <cell r="L145" t="str">
            <v>Ster Universal B/Tray10RX</v>
          </cell>
          <cell r="M145">
            <v>50</v>
          </cell>
        </row>
        <row r="146">
          <cell r="A146" t="str">
            <v>1931257</v>
          </cell>
          <cell r="E146">
            <v>43787</v>
          </cell>
          <cell r="F146">
            <v>43788</v>
          </cell>
          <cell r="G146" t="str">
            <v xml:space="preserve"> 1st Shift</v>
          </cell>
          <cell r="H146">
            <v>43790</v>
          </cell>
          <cell r="I146">
            <v>0.78133101851851849</v>
          </cell>
          <cell r="J146">
            <v>8143</v>
          </cell>
          <cell r="K146" t="str">
            <v>CNV1</v>
          </cell>
          <cell r="L146" t="str">
            <v>Ster Biopsy Tray 10cs/EX</v>
          </cell>
          <cell r="M146">
            <v>80</v>
          </cell>
        </row>
        <row r="147">
          <cell r="A147" t="str">
            <v>1931260</v>
          </cell>
          <cell r="E147">
            <v>43787</v>
          </cell>
          <cell r="F147">
            <v>43788</v>
          </cell>
          <cell r="G147" t="str">
            <v xml:space="preserve"> 1st Shift</v>
          </cell>
          <cell r="H147">
            <v>43790</v>
          </cell>
          <cell r="I147">
            <v>0.86466435185185186</v>
          </cell>
          <cell r="J147" t="str">
            <v>B6705R1</v>
          </cell>
          <cell r="K147" t="str">
            <v>CNV1</v>
          </cell>
          <cell r="L147" t="str">
            <v>Ster 3.22 PELL/IN/Ty#2/20</v>
          </cell>
          <cell r="M147">
            <v>50</v>
          </cell>
        </row>
        <row r="148">
          <cell r="A148" t="str">
            <v>1931362</v>
          </cell>
          <cell r="E148">
            <v>43787</v>
          </cell>
          <cell r="F148">
            <v>43788</v>
          </cell>
          <cell r="G148" t="str">
            <v xml:space="preserve"> 2nd Shift</v>
          </cell>
          <cell r="H148">
            <v>43790</v>
          </cell>
          <cell r="I148">
            <v>0.32461805555555556</v>
          </cell>
          <cell r="J148">
            <v>9105</v>
          </cell>
          <cell r="K148" t="str">
            <v>CNV1</v>
          </cell>
          <cell r="L148" t="str">
            <v>Ster Lumbar Tray 10/CS</v>
          </cell>
          <cell r="M148">
            <v>80</v>
          </cell>
        </row>
        <row r="149">
          <cell r="A149" t="e">
            <v>#N/A</v>
          </cell>
          <cell r="E149">
            <v>43787</v>
          </cell>
          <cell r="F149">
            <v>43788</v>
          </cell>
          <cell r="G149" t="str">
            <v xml:space="preserve"> 2nd Shift</v>
          </cell>
          <cell r="H149">
            <v>43789</v>
          </cell>
          <cell r="I149">
            <v>0.34896990740740735</v>
          </cell>
          <cell r="J149">
            <v>756</v>
          </cell>
          <cell r="K149" t="str">
            <v>DV1</v>
          </cell>
          <cell r="L149" t="e">
            <v>#N/A</v>
          </cell>
          <cell r="M149">
            <v>155</v>
          </cell>
        </row>
        <row r="150">
          <cell r="A150" t="str">
            <v>1940079</v>
          </cell>
          <cell r="E150">
            <v>43787</v>
          </cell>
          <cell r="F150">
            <v>43788</v>
          </cell>
          <cell r="G150" t="str">
            <v xml:space="preserve"> 2nd Shift</v>
          </cell>
          <cell r="H150">
            <v>43789</v>
          </cell>
          <cell r="I150">
            <v>0.36885416666666665</v>
          </cell>
          <cell r="J150">
            <v>696</v>
          </cell>
          <cell r="K150" t="str">
            <v>CIRCLE</v>
          </cell>
          <cell r="L150" t="str">
            <v>Ster Polylined Drape/300</v>
          </cell>
          <cell r="M150">
            <v>240</v>
          </cell>
        </row>
        <row r="151">
          <cell r="A151" t="str">
            <v>1910406</v>
          </cell>
          <cell r="E151">
            <v>43787</v>
          </cell>
          <cell r="F151">
            <v>43788</v>
          </cell>
          <cell r="G151" t="str">
            <v xml:space="preserve"> 2nd Shift</v>
          </cell>
          <cell r="H151">
            <v>43790</v>
          </cell>
          <cell r="I151">
            <v>0.37723379629629633</v>
          </cell>
          <cell r="J151">
            <v>2815</v>
          </cell>
          <cell r="K151" t="str">
            <v>KOCH</v>
          </cell>
          <cell r="L151" t="str">
            <v>Ster Dressing Chg Tray20c</v>
          </cell>
          <cell r="M151">
            <v>72</v>
          </cell>
        </row>
        <row r="152">
          <cell r="A152" t="str">
            <v>1931350</v>
          </cell>
          <cell r="E152">
            <v>43787</v>
          </cell>
          <cell r="F152">
            <v>43788</v>
          </cell>
          <cell r="G152" t="str">
            <v xml:space="preserve"> 2nd Shift</v>
          </cell>
          <cell r="H152">
            <v>43790</v>
          </cell>
          <cell r="I152">
            <v>0.39807870370370368</v>
          </cell>
          <cell r="J152" t="str">
            <v>5685R1</v>
          </cell>
          <cell r="K152" t="str">
            <v>CNV1</v>
          </cell>
          <cell r="L152" t="str">
            <v>Ster Nerve B/Ty22gx 10/EX</v>
          </cell>
          <cell r="M152">
            <v>40</v>
          </cell>
        </row>
        <row r="153">
          <cell r="A153" t="str">
            <v>1910410</v>
          </cell>
          <cell r="E153">
            <v>43787</v>
          </cell>
          <cell r="F153">
            <v>43788</v>
          </cell>
          <cell r="G153" t="str">
            <v xml:space="preserve"> 2nd Shift</v>
          </cell>
          <cell r="H153">
            <v>43790</v>
          </cell>
          <cell r="I153">
            <v>0.47453703703703703</v>
          </cell>
          <cell r="J153">
            <v>1443</v>
          </cell>
          <cell r="K153" t="str">
            <v>KOCH</v>
          </cell>
          <cell r="L153" t="str">
            <v>Ster Dressing Chg Tray/20</v>
          </cell>
          <cell r="M153">
            <v>96</v>
          </cell>
        </row>
        <row r="154">
          <cell r="A154" t="str">
            <v>1920926</v>
          </cell>
          <cell r="E154">
            <v>43787</v>
          </cell>
          <cell r="F154">
            <v>43788</v>
          </cell>
          <cell r="G154" t="str">
            <v xml:space="preserve"> 2nd Shift</v>
          </cell>
          <cell r="H154">
            <v>43789</v>
          </cell>
          <cell r="I154">
            <v>0.50590277777777781</v>
          </cell>
          <cell r="J154">
            <v>141</v>
          </cell>
          <cell r="K154" t="str">
            <v>DV3</v>
          </cell>
          <cell r="L154" t="str">
            <v>Ster 1oz Bulb Syringe 50c</v>
          </cell>
          <cell r="M154">
            <v>192</v>
          </cell>
        </row>
        <row r="155">
          <cell r="A155" t="e">
            <v>#N/A</v>
          </cell>
          <cell r="E155">
            <v>43787</v>
          </cell>
          <cell r="F155">
            <v>43788</v>
          </cell>
          <cell r="G155" t="str">
            <v xml:space="preserve"> 2nd Shift</v>
          </cell>
          <cell r="H155">
            <v>43789</v>
          </cell>
          <cell r="I155">
            <v>0.55773148148148144</v>
          </cell>
          <cell r="J155" t="e">
            <v>#N/A</v>
          </cell>
          <cell r="K155" t="str">
            <v>DV1</v>
          </cell>
          <cell r="L155" t="e">
            <v>#N/A</v>
          </cell>
          <cell r="M155">
            <v>40</v>
          </cell>
        </row>
        <row r="156">
          <cell r="A156" t="str">
            <v>1910387</v>
          </cell>
          <cell r="E156">
            <v>43787</v>
          </cell>
          <cell r="F156">
            <v>43788</v>
          </cell>
          <cell r="G156" t="str">
            <v xml:space="preserve"> 2nd Shift</v>
          </cell>
          <cell r="H156">
            <v>43790</v>
          </cell>
          <cell r="I156">
            <v>0.59057870370370369</v>
          </cell>
          <cell r="J156">
            <v>800</v>
          </cell>
          <cell r="K156" t="str">
            <v>KOCH</v>
          </cell>
          <cell r="L156" t="str">
            <v>Ster Trach Set 20/cs</v>
          </cell>
          <cell r="M156">
            <v>144</v>
          </cell>
        </row>
        <row r="157">
          <cell r="A157" t="str">
            <v>1931262</v>
          </cell>
          <cell r="E157">
            <v>43787</v>
          </cell>
          <cell r="F157">
            <v>43788</v>
          </cell>
          <cell r="G157" t="str">
            <v xml:space="preserve"> 2nd Shift</v>
          </cell>
          <cell r="H157">
            <v>43790</v>
          </cell>
          <cell r="I157">
            <v>0.96362268518518512</v>
          </cell>
          <cell r="J157" t="str">
            <v>B8110R1</v>
          </cell>
          <cell r="K157" t="str">
            <v>CNV1</v>
          </cell>
          <cell r="L157" t="str">
            <v>Ster SS 3.2mm P/Ins/Ty20</v>
          </cell>
          <cell r="M157">
            <v>50</v>
          </cell>
        </row>
        <row r="158">
          <cell r="A158" t="str">
            <v>1931268</v>
          </cell>
          <cell r="E158">
            <v>43788</v>
          </cell>
          <cell r="F158">
            <v>43789</v>
          </cell>
          <cell r="G158" t="str">
            <v xml:space="preserve"> 1st Shift</v>
          </cell>
          <cell r="H158">
            <v>43794</v>
          </cell>
          <cell r="I158">
            <v>0.53968749999999999</v>
          </cell>
          <cell r="J158" t="str">
            <v>9078R1</v>
          </cell>
          <cell r="K158" t="str">
            <v>CNV1</v>
          </cell>
          <cell r="L158" t="str">
            <v>Ster Spinal Tray 10 RX EX</v>
          </cell>
          <cell r="M158">
            <v>30</v>
          </cell>
        </row>
        <row r="159">
          <cell r="A159" t="str">
            <v>1931367</v>
          </cell>
          <cell r="E159">
            <v>43788</v>
          </cell>
          <cell r="F159">
            <v>43789</v>
          </cell>
          <cell r="G159" t="str">
            <v xml:space="preserve"> 1st Shift</v>
          </cell>
          <cell r="H159">
            <v>43794</v>
          </cell>
          <cell r="I159">
            <v>0.60739583333333336</v>
          </cell>
          <cell r="J159">
            <v>5823</v>
          </cell>
          <cell r="K159" t="str">
            <v>CNV1</v>
          </cell>
          <cell r="L159" t="str">
            <v>STER HS ER LAC112-5823/20</v>
          </cell>
          <cell r="M159">
            <v>225</v>
          </cell>
        </row>
        <row r="160">
          <cell r="A160" t="str">
            <v>1931261</v>
          </cell>
          <cell r="E160">
            <v>43788</v>
          </cell>
          <cell r="F160">
            <v>43789</v>
          </cell>
          <cell r="G160" t="str">
            <v xml:space="preserve"> 2nd Shift</v>
          </cell>
          <cell r="H160">
            <v>43794</v>
          </cell>
          <cell r="I160">
            <v>0.35424768518518518</v>
          </cell>
          <cell r="J160" t="str">
            <v>B8120R1</v>
          </cell>
          <cell r="K160" t="str">
            <v>CNV1</v>
          </cell>
          <cell r="L160" t="str">
            <v>Ster 4.5MM/P/I/M/PVP T20C</v>
          </cell>
          <cell r="M160">
            <v>50</v>
          </cell>
        </row>
        <row r="161">
          <cell r="A161" t="str">
            <v>1920797</v>
          </cell>
          <cell r="E161">
            <v>43788</v>
          </cell>
          <cell r="F161">
            <v>43789</v>
          </cell>
          <cell r="G161" t="str">
            <v xml:space="preserve"> 2nd Shift</v>
          </cell>
          <cell r="H161">
            <v>43790</v>
          </cell>
          <cell r="I161">
            <v>0.3680208333333333</v>
          </cell>
          <cell r="J161">
            <v>9646</v>
          </cell>
          <cell r="K161" t="str">
            <v>DV1</v>
          </cell>
          <cell r="L161" t="str">
            <v>Bone Dust Collecting K20</v>
          </cell>
          <cell r="M161">
            <v>50</v>
          </cell>
        </row>
        <row r="162">
          <cell r="A162" t="str">
            <v>1940080</v>
          </cell>
          <cell r="E162">
            <v>43788</v>
          </cell>
          <cell r="F162">
            <v>43789</v>
          </cell>
          <cell r="G162" t="str">
            <v xml:space="preserve"> 2nd Shift</v>
          </cell>
          <cell r="H162">
            <v>43790</v>
          </cell>
          <cell r="I162">
            <v>0.41983796296296294</v>
          </cell>
          <cell r="J162">
            <v>696</v>
          </cell>
          <cell r="K162" t="str">
            <v>CIRCLE</v>
          </cell>
          <cell r="L162" t="str">
            <v>Ster Polylined Drape/300</v>
          </cell>
          <cell r="M162">
            <v>240</v>
          </cell>
        </row>
        <row r="163">
          <cell r="A163" t="str">
            <v>1931263</v>
          </cell>
          <cell r="E163">
            <v>43788</v>
          </cell>
          <cell r="F163">
            <v>43789</v>
          </cell>
          <cell r="G163" t="str">
            <v xml:space="preserve"> 2nd Shift</v>
          </cell>
          <cell r="H163">
            <v>43794</v>
          </cell>
          <cell r="I163">
            <v>0.44072916666666667</v>
          </cell>
          <cell r="J163" t="str">
            <v>B9176R1</v>
          </cell>
          <cell r="K163" t="str">
            <v>CNV1</v>
          </cell>
          <cell r="L163" t="str">
            <v>Ster M/SS 4.5MM P/Ins T20</v>
          </cell>
          <cell r="M163">
            <v>50</v>
          </cell>
        </row>
        <row r="164">
          <cell r="A164" t="str">
            <v>1910405W</v>
          </cell>
          <cell r="E164">
            <v>43788</v>
          </cell>
          <cell r="F164">
            <v>43789</v>
          </cell>
          <cell r="G164" t="str">
            <v xml:space="preserve"> 2nd Shift</v>
          </cell>
          <cell r="H164">
            <v>43794</v>
          </cell>
          <cell r="I164">
            <v>0.66920138888888892</v>
          </cell>
          <cell r="J164" t="str">
            <v>W1993R2</v>
          </cell>
          <cell r="K164" t="str">
            <v>CNV2^MULTI</v>
          </cell>
          <cell r="L164" t="str">
            <v>Ster Austin R/A/M/Ty10cRX</v>
          </cell>
          <cell r="M164">
            <v>540</v>
          </cell>
        </row>
        <row r="165">
          <cell r="A165" t="str">
            <v>1910421W</v>
          </cell>
          <cell r="E165">
            <v>43788</v>
          </cell>
          <cell r="F165">
            <v>43789</v>
          </cell>
          <cell r="G165" t="str">
            <v xml:space="preserve"> 2nd Shift</v>
          </cell>
          <cell r="H165">
            <v>43794</v>
          </cell>
          <cell r="I165">
            <v>0.75357638888888889</v>
          </cell>
          <cell r="J165" t="str">
            <v>W7791R1</v>
          </cell>
          <cell r="K165" t="str">
            <v>CNV2^MULTI</v>
          </cell>
          <cell r="L165" t="str">
            <v>Ster Boipsy Tray 10csRX</v>
          </cell>
          <cell r="M165">
            <v>100</v>
          </cell>
        </row>
        <row r="166">
          <cell r="A166" t="str">
            <v>1910426W</v>
          </cell>
          <cell r="E166">
            <v>43788</v>
          </cell>
          <cell r="F166">
            <v>43789</v>
          </cell>
          <cell r="G166" t="str">
            <v xml:space="preserve"> 2nd Shift</v>
          </cell>
          <cell r="H166">
            <v>43794</v>
          </cell>
          <cell r="I166">
            <v>0.79003472222222226</v>
          </cell>
          <cell r="J166" t="str">
            <v>W1992</v>
          </cell>
          <cell r="K166" t="str">
            <v>CNV2^MULTI</v>
          </cell>
          <cell r="L166" t="str">
            <v>Ster Austin R/A/L/Ty10cRX</v>
          </cell>
          <cell r="M166">
            <v>100</v>
          </cell>
        </row>
        <row r="167">
          <cell r="A167" t="str">
            <v>1910427W</v>
          </cell>
          <cell r="E167">
            <v>43788</v>
          </cell>
          <cell r="F167">
            <v>43789</v>
          </cell>
          <cell r="G167" t="str">
            <v xml:space="preserve"> 2nd Shift</v>
          </cell>
          <cell r="H167">
            <v>43794</v>
          </cell>
          <cell r="I167">
            <v>0.82649305555555552</v>
          </cell>
          <cell r="J167" t="str">
            <v>W1993R2</v>
          </cell>
          <cell r="K167" t="str">
            <v>CNV2^MULTI</v>
          </cell>
          <cell r="L167" t="str">
            <v>Ster Austin R/A/M/Ty10cRX</v>
          </cell>
          <cell r="M167">
            <v>270</v>
          </cell>
        </row>
        <row r="168">
          <cell r="A168" t="str">
            <v>1920935</v>
          </cell>
          <cell r="E168">
            <v>43789</v>
          </cell>
          <cell r="F168">
            <v>43790</v>
          </cell>
          <cell r="G168" t="str">
            <v xml:space="preserve"> 1st Shift</v>
          </cell>
          <cell r="H168">
            <v>43794</v>
          </cell>
          <cell r="I168">
            <v>0.55136574074074074</v>
          </cell>
          <cell r="J168">
            <v>7246</v>
          </cell>
          <cell r="K168" t="str">
            <v>DV1</v>
          </cell>
          <cell r="L168" t="str">
            <v>Ster 5 1/4" S/B Scr/100</v>
          </cell>
          <cell r="M168">
            <v>100</v>
          </cell>
        </row>
        <row r="169">
          <cell r="A169" t="str">
            <v>1931366</v>
          </cell>
          <cell r="E169">
            <v>43789</v>
          </cell>
          <cell r="F169">
            <v>43790</v>
          </cell>
          <cell r="G169" t="str">
            <v xml:space="preserve"> 1st Shift</v>
          </cell>
          <cell r="H169">
            <v>43795</v>
          </cell>
          <cell r="I169">
            <v>0.84697916666666673</v>
          </cell>
          <cell r="J169">
            <v>674</v>
          </cell>
          <cell r="K169" t="str">
            <v>CNV1</v>
          </cell>
          <cell r="L169" t="str">
            <v>Ster Basic Pain Tray 10cs</v>
          </cell>
          <cell r="M169">
            <v>270</v>
          </cell>
        </row>
        <row r="170">
          <cell r="A170" t="str">
            <v>1920902</v>
          </cell>
          <cell r="E170">
            <v>43789</v>
          </cell>
          <cell r="F170">
            <v>43790</v>
          </cell>
          <cell r="G170" t="str">
            <v xml:space="preserve"> 2nd Shift</v>
          </cell>
          <cell r="H170">
            <v>43794</v>
          </cell>
          <cell r="I170">
            <v>0.27187500000000003</v>
          </cell>
          <cell r="J170">
            <v>8172</v>
          </cell>
          <cell r="K170" t="str">
            <v>DV3</v>
          </cell>
          <cell r="L170" t="str">
            <v>Sterile I.V.Start Kit 50c</v>
          </cell>
          <cell r="M170">
            <v>500</v>
          </cell>
        </row>
        <row r="171">
          <cell r="A171" t="str">
            <v>1920904</v>
          </cell>
          <cell r="E171">
            <v>43789</v>
          </cell>
          <cell r="F171">
            <v>43790</v>
          </cell>
          <cell r="G171" t="str">
            <v xml:space="preserve"> 2nd Shift</v>
          </cell>
          <cell r="H171">
            <v>43794</v>
          </cell>
          <cell r="I171">
            <v>0.2767013888888889</v>
          </cell>
          <cell r="J171">
            <v>7830</v>
          </cell>
          <cell r="K171" t="str">
            <v>DV1</v>
          </cell>
          <cell r="L171" t="str">
            <v>Ster Incision &amp;Drain/Ty50</v>
          </cell>
          <cell r="M171">
            <v>50</v>
          </cell>
        </row>
        <row r="172">
          <cell r="A172" t="str">
            <v>1931264</v>
          </cell>
          <cell r="E172">
            <v>43789</v>
          </cell>
          <cell r="F172">
            <v>43790</v>
          </cell>
          <cell r="G172" t="str">
            <v xml:space="preserve"> 2nd Shift</v>
          </cell>
          <cell r="H172">
            <v>43795</v>
          </cell>
          <cell r="I172">
            <v>0.31312499999999999</v>
          </cell>
          <cell r="J172" t="str">
            <v>B8123R1</v>
          </cell>
          <cell r="K172" t="str">
            <v>CNV1</v>
          </cell>
          <cell r="L172" t="str">
            <v>STER SS 4.5MM P/INS/TY/20</v>
          </cell>
          <cell r="M172">
            <v>50</v>
          </cell>
        </row>
        <row r="173">
          <cell r="A173" t="str">
            <v>1920947</v>
          </cell>
          <cell r="E173">
            <v>43789</v>
          </cell>
          <cell r="F173">
            <v>43790</v>
          </cell>
          <cell r="G173" t="str">
            <v xml:space="preserve"> 2nd Shift</v>
          </cell>
          <cell r="H173">
            <v>43794</v>
          </cell>
          <cell r="I173">
            <v>0.36399305555555556</v>
          </cell>
          <cell r="J173">
            <v>773</v>
          </cell>
          <cell r="K173" t="str">
            <v>DV1</v>
          </cell>
          <cell r="L173" t="str">
            <v>STER 5 1/2"S/BLUNT/S/50CS</v>
          </cell>
          <cell r="M173">
            <v>143</v>
          </cell>
        </row>
        <row r="174">
          <cell r="A174" t="str">
            <v>1931297</v>
          </cell>
          <cell r="E174">
            <v>43789</v>
          </cell>
          <cell r="F174">
            <v>43790</v>
          </cell>
          <cell r="G174" t="str">
            <v xml:space="preserve"> 2nd Shift</v>
          </cell>
          <cell r="H174">
            <v>43795</v>
          </cell>
          <cell r="I174">
            <v>0.39645833333333336</v>
          </cell>
          <cell r="J174">
            <v>9662</v>
          </cell>
          <cell r="K174" t="str">
            <v>CNV1</v>
          </cell>
          <cell r="L174" t="str">
            <v>Ster S/Tissue B/Tray 10EX</v>
          </cell>
          <cell r="M174">
            <v>20</v>
          </cell>
        </row>
        <row r="175">
          <cell r="A175" t="str">
            <v>1931286</v>
          </cell>
          <cell r="E175">
            <v>43789</v>
          </cell>
          <cell r="F175">
            <v>43790</v>
          </cell>
          <cell r="G175" t="str">
            <v xml:space="preserve"> 2nd Shift</v>
          </cell>
          <cell r="H175">
            <v>43795</v>
          </cell>
          <cell r="I175">
            <v>0.43291666666666667</v>
          </cell>
          <cell r="J175">
            <v>749</v>
          </cell>
          <cell r="K175" t="str">
            <v>CNV1</v>
          </cell>
          <cell r="L175" t="str">
            <v>Ster E.R.Laceration Ty 20</v>
          </cell>
          <cell r="M175">
            <v>225</v>
          </cell>
        </row>
        <row r="176">
          <cell r="A176" t="str">
            <v>1931310</v>
          </cell>
          <cell r="E176">
            <v>43790</v>
          </cell>
          <cell r="F176">
            <v>43794</v>
          </cell>
          <cell r="G176" t="str">
            <v xml:space="preserve"> 1st Shift</v>
          </cell>
          <cell r="H176">
            <v>43796</v>
          </cell>
          <cell r="I176">
            <v>0.49697916666666669</v>
          </cell>
          <cell r="J176">
            <v>9372</v>
          </cell>
          <cell r="K176" t="str">
            <v>CNV1</v>
          </cell>
          <cell r="L176" t="str">
            <v>Ster E.R. Laceration T/20</v>
          </cell>
          <cell r="M176">
            <v>40</v>
          </cell>
        </row>
        <row r="177">
          <cell r="A177" t="str">
            <v>1931334</v>
          </cell>
          <cell r="E177">
            <v>43790</v>
          </cell>
          <cell r="F177">
            <v>43794</v>
          </cell>
          <cell r="G177" t="str">
            <v xml:space="preserve"> 1st Shift</v>
          </cell>
          <cell r="H177">
            <v>43796</v>
          </cell>
          <cell r="I177">
            <v>0.58031250000000001</v>
          </cell>
          <cell r="J177">
            <v>8171</v>
          </cell>
          <cell r="K177" t="str">
            <v>CNV1</v>
          </cell>
          <cell r="L177" t="str">
            <v>Ster Amniocentesis T/10RX</v>
          </cell>
          <cell r="M177">
            <v>12</v>
          </cell>
        </row>
        <row r="178">
          <cell r="A178" t="str">
            <v>1931326</v>
          </cell>
          <cell r="E178">
            <v>43790</v>
          </cell>
          <cell r="F178">
            <v>43794</v>
          </cell>
          <cell r="G178" t="str">
            <v xml:space="preserve"> 1st Shift</v>
          </cell>
          <cell r="H178">
            <v>43796</v>
          </cell>
          <cell r="I178">
            <v>0.61052083333333329</v>
          </cell>
          <cell r="J178" t="str">
            <v>2454R3</v>
          </cell>
          <cell r="K178" t="str">
            <v>CNV1</v>
          </cell>
          <cell r="L178" t="str">
            <v>Ster Medial Branch T10EX</v>
          </cell>
          <cell r="M178">
            <v>55</v>
          </cell>
        </row>
        <row r="179">
          <cell r="A179" t="str">
            <v>1931324</v>
          </cell>
          <cell r="E179">
            <v>43790</v>
          </cell>
          <cell r="F179">
            <v>43794</v>
          </cell>
          <cell r="G179" t="str">
            <v xml:space="preserve"> 1st Shift</v>
          </cell>
          <cell r="H179">
            <v>43796</v>
          </cell>
          <cell r="I179">
            <v>0.77848379629629638</v>
          </cell>
          <cell r="J179" t="str">
            <v>B6705R1</v>
          </cell>
          <cell r="K179" t="str">
            <v>CNV1</v>
          </cell>
          <cell r="L179" t="str">
            <v>Ster 3.22 PELL/IN/Ty#2/20</v>
          </cell>
          <cell r="M179">
            <v>50</v>
          </cell>
        </row>
        <row r="180">
          <cell r="A180" t="str">
            <v>1920923</v>
          </cell>
          <cell r="E180">
            <v>43789</v>
          </cell>
          <cell r="F180">
            <v>43794</v>
          </cell>
          <cell r="G180" t="str">
            <v xml:space="preserve"> 1st Shift</v>
          </cell>
          <cell r="H180">
            <v>43794</v>
          </cell>
          <cell r="I180">
            <v>0.82921296296296287</v>
          </cell>
          <cell r="J180">
            <v>818</v>
          </cell>
          <cell r="K180" t="str">
            <v>DV3</v>
          </cell>
          <cell r="L180" t="str">
            <v>Ster I.V.Start Kit 50C EX</v>
          </cell>
          <cell r="M180">
            <v>288</v>
          </cell>
        </row>
        <row r="181">
          <cell r="A181" t="str">
            <v>1910395</v>
          </cell>
          <cell r="E181">
            <v>43790</v>
          </cell>
          <cell r="F181">
            <v>43794</v>
          </cell>
          <cell r="G181" t="str">
            <v xml:space="preserve"> 2nd Shift</v>
          </cell>
          <cell r="H181">
            <v>43795</v>
          </cell>
          <cell r="I181">
            <v>0.27625</v>
          </cell>
          <cell r="J181">
            <v>9251</v>
          </cell>
          <cell r="K181" t="str">
            <v>KOCH</v>
          </cell>
          <cell r="L181" t="str">
            <v>Ster Tracheostomy C/S 20c</v>
          </cell>
          <cell r="M181">
            <v>130</v>
          </cell>
        </row>
        <row r="182">
          <cell r="A182" t="str">
            <v>1920943</v>
          </cell>
          <cell r="E182">
            <v>43790</v>
          </cell>
          <cell r="F182">
            <v>43794</v>
          </cell>
          <cell r="G182" t="str">
            <v xml:space="preserve"> 2nd Shift</v>
          </cell>
          <cell r="H182">
            <v>43795</v>
          </cell>
          <cell r="I182">
            <v>0.28660879629629626</v>
          </cell>
          <cell r="J182">
            <v>290</v>
          </cell>
          <cell r="K182" t="str">
            <v>DV2</v>
          </cell>
          <cell r="L182" t="str">
            <v>Ster Poole Suct Inst/50</v>
          </cell>
          <cell r="M182">
            <v>50</v>
          </cell>
        </row>
        <row r="183">
          <cell r="A183" t="str">
            <v>1920940</v>
          </cell>
          <cell r="E183">
            <v>43790</v>
          </cell>
          <cell r="F183">
            <v>43794</v>
          </cell>
          <cell r="G183" t="str">
            <v xml:space="preserve"> 2nd Shift</v>
          </cell>
          <cell r="H183">
            <v>43795</v>
          </cell>
          <cell r="I183">
            <v>0.31916666666666665</v>
          </cell>
          <cell r="J183">
            <v>298</v>
          </cell>
          <cell r="K183" t="str">
            <v>DV2</v>
          </cell>
          <cell r="L183" t="str">
            <v>Ster Yank w/o vent blb/50</v>
          </cell>
          <cell r="M183">
            <v>1040</v>
          </cell>
        </row>
        <row r="184">
          <cell r="A184" t="str">
            <v>1920929</v>
          </cell>
          <cell r="E184">
            <v>43790</v>
          </cell>
          <cell r="F184">
            <v>43794</v>
          </cell>
          <cell r="G184" t="str">
            <v xml:space="preserve"> 2nd Shift</v>
          </cell>
          <cell r="H184">
            <v>43795</v>
          </cell>
          <cell r="I184">
            <v>0.41263888888888894</v>
          </cell>
          <cell r="J184">
            <v>820</v>
          </cell>
          <cell r="K184" t="str">
            <v>DV3</v>
          </cell>
          <cell r="L184" t="str">
            <v>Ster IV Start Kit/50</v>
          </cell>
          <cell r="M184">
            <v>192</v>
          </cell>
        </row>
        <row r="185">
          <cell r="A185" t="str">
            <v>1920931</v>
          </cell>
          <cell r="E185">
            <v>43790</v>
          </cell>
          <cell r="F185">
            <v>43794</v>
          </cell>
          <cell r="G185" t="str">
            <v xml:space="preserve"> 2nd Shift</v>
          </cell>
          <cell r="H185">
            <v>43795</v>
          </cell>
          <cell r="I185">
            <v>0.43070601851851853</v>
          </cell>
          <cell r="J185">
            <v>9319</v>
          </cell>
          <cell r="K185" t="str">
            <v>DV1</v>
          </cell>
          <cell r="L185" t="str">
            <v>Ster Suture Removal Kit50</v>
          </cell>
          <cell r="M185">
            <v>16</v>
          </cell>
        </row>
        <row r="186">
          <cell r="A186" t="str">
            <v>1910412</v>
          </cell>
          <cell r="E186">
            <v>43790</v>
          </cell>
          <cell r="F186">
            <v>43794</v>
          </cell>
          <cell r="G186" t="str">
            <v xml:space="preserve"> 2nd Shift</v>
          </cell>
          <cell r="H186">
            <v>43795</v>
          </cell>
          <cell r="I186">
            <v>0.46260416666666665</v>
          </cell>
          <cell r="J186">
            <v>713</v>
          </cell>
          <cell r="K186" t="str">
            <v>KOCH</v>
          </cell>
          <cell r="L186" t="str">
            <v>Ster Trach Set/20</v>
          </cell>
          <cell r="M186">
            <v>135</v>
          </cell>
        </row>
        <row r="187">
          <cell r="A187" t="str">
            <v>1910424</v>
          </cell>
          <cell r="E187">
            <v>43790</v>
          </cell>
          <cell r="F187">
            <v>43794</v>
          </cell>
          <cell r="G187" t="str">
            <v xml:space="preserve"> 2nd Shift</v>
          </cell>
          <cell r="H187">
            <v>43795</v>
          </cell>
          <cell r="I187">
            <v>0.61017361111111112</v>
          </cell>
          <cell r="J187">
            <v>706</v>
          </cell>
          <cell r="K187" t="str">
            <v>KOCH</v>
          </cell>
          <cell r="L187" t="str">
            <v>Ster Trach Set/20</v>
          </cell>
          <cell r="M187">
            <v>45</v>
          </cell>
        </row>
        <row r="188">
          <cell r="A188" t="str">
            <v>1920952</v>
          </cell>
          <cell r="E188">
            <v>43790</v>
          </cell>
          <cell r="F188">
            <v>43794</v>
          </cell>
          <cell r="G188" t="str">
            <v xml:space="preserve"> 2nd Shift</v>
          </cell>
          <cell r="H188">
            <v>43795</v>
          </cell>
          <cell r="I188">
            <v>0.6129282407407407</v>
          </cell>
          <cell r="J188">
            <v>1590</v>
          </cell>
          <cell r="K188" t="str">
            <v>DV3</v>
          </cell>
          <cell r="L188" t="str">
            <v>Ster I.V.Start Kit 50c EX</v>
          </cell>
          <cell r="M188">
            <v>80</v>
          </cell>
        </row>
        <row r="189">
          <cell r="A189" t="str">
            <v>1931336</v>
          </cell>
          <cell r="E189">
            <v>43790</v>
          </cell>
          <cell r="F189">
            <v>43794</v>
          </cell>
          <cell r="G189" t="str">
            <v xml:space="preserve"> 2nd Shift</v>
          </cell>
          <cell r="H189">
            <v>43796</v>
          </cell>
          <cell r="I189">
            <v>0.71598379629629638</v>
          </cell>
          <cell r="J189">
            <v>1170</v>
          </cell>
          <cell r="K189" t="str">
            <v>CNV1</v>
          </cell>
          <cell r="L189" t="str">
            <v>Ster Nerve Block Tray 10c</v>
          </cell>
          <cell r="M189">
            <v>20</v>
          </cell>
        </row>
        <row r="190">
          <cell r="A190" t="str">
            <v>1931323</v>
          </cell>
          <cell r="E190">
            <v>43790</v>
          </cell>
          <cell r="F190">
            <v>43794</v>
          </cell>
          <cell r="G190" t="str">
            <v xml:space="preserve"> 2nd Shift</v>
          </cell>
          <cell r="H190">
            <v>43796</v>
          </cell>
          <cell r="I190">
            <v>0.88785879629629638</v>
          </cell>
          <cell r="J190" t="str">
            <v>B8109</v>
          </cell>
          <cell r="K190" t="str">
            <v>CNV1</v>
          </cell>
          <cell r="L190" t="str">
            <v>SterSS 3.2MM P/I MEDPVP20</v>
          </cell>
          <cell r="M190">
            <v>50</v>
          </cell>
        </row>
        <row r="191">
          <cell r="A191" t="str">
            <v>1931345</v>
          </cell>
          <cell r="E191">
            <v>43794</v>
          </cell>
          <cell r="F191">
            <v>43795</v>
          </cell>
          <cell r="G191" t="str">
            <v xml:space="preserve"> 1st Shift</v>
          </cell>
          <cell r="H191">
            <v>43801</v>
          </cell>
          <cell r="I191">
            <v>0.2751736111111111</v>
          </cell>
          <cell r="J191">
            <v>9777</v>
          </cell>
          <cell r="K191" t="str">
            <v>CNV1</v>
          </cell>
          <cell r="L191" t="str">
            <v>Ster Custom Pain Tray 10c</v>
          </cell>
          <cell r="M191">
            <v>20</v>
          </cell>
        </row>
        <row r="192">
          <cell r="A192" t="str">
            <v>1931346</v>
          </cell>
          <cell r="E192">
            <v>43794</v>
          </cell>
          <cell r="F192">
            <v>43795</v>
          </cell>
          <cell r="G192" t="str">
            <v xml:space="preserve"> 1st Shift</v>
          </cell>
          <cell r="H192">
            <v>43801</v>
          </cell>
          <cell r="I192">
            <v>0.45850694444444445</v>
          </cell>
          <cell r="J192">
            <v>1168</v>
          </cell>
          <cell r="K192" t="str">
            <v>CNV1</v>
          </cell>
          <cell r="L192" t="str">
            <v>Ster Arthrogram Tray 10cs</v>
          </cell>
          <cell r="M192">
            <v>20</v>
          </cell>
        </row>
        <row r="193">
          <cell r="A193" t="str">
            <v>1931368</v>
          </cell>
          <cell r="E193">
            <v>43794</v>
          </cell>
          <cell r="F193">
            <v>43795</v>
          </cell>
          <cell r="G193" t="str">
            <v xml:space="preserve"> 1st Shift</v>
          </cell>
          <cell r="H193">
            <v>43801</v>
          </cell>
          <cell r="I193">
            <v>0.49496527777777777</v>
          </cell>
          <cell r="J193">
            <v>747</v>
          </cell>
          <cell r="K193" t="str">
            <v>CNV1</v>
          </cell>
          <cell r="L193" t="str">
            <v>Ster Suturing Tray/20</v>
          </cell>
          <cell r="M193">
            <v>270</v>
          </cell>
        </row>
        <row r="194">
          <cell r="A194" t="str">
            <v>1931344</v>
          </cell>
          <cell r="E194">
            <v>43794</v>
          </cell>
          <cell r="F194">
            <v>43795</v>
          </cell>
          <cell r="G194" t="str">
            <v xml:space="preserve"> 2nd Shift</v>
          </cell>
          <cell r="H194">
            <v>43801</v>
          </cell>
          <cell r="I194">
            <v>0.2907986111111111</v>
          </cell>
          <cell r="J194" t="str">
            <v>5576R2</v>
          </cell>
          <cell r="K194" t="str">
            <v>CNV1</v>
          </cell>
          <cell r="L194" t="str">
            <v>Ster General Tray 10/cs</v>
          </cell>
          <cell r="M194">
            <v>30</v>
          </cell>
        </row>
        <row r="195">
          <cell r="A195" t="str">
            <v>1931322</v>
          </cell>
          <cell r="E195">
            <v>43794</v>
          </cell>
          <cell r="F195">
            <v>43795</v>
          </cell>
          <cell r="G195" t="str">
            <v xml:space="preserve"> 2nd Shift</v>
          </cell>
          <cell r="H195">
            <v>43801</v>
          </cell>
          <cell r="I195">
            <v>0.35954861111111108</v>
          </cell>
          <cell r="J195" t="str">
            <v>B8128R1</v>
          </cell>
          <cell r="K195" t="str">
            <v>CNV1</v>
          </cell>
          <cell r="L195" t="str">
            <v>Ster SS 4.5MM P/INS/Ty20c</v>
          </cell>
          <cell r="M195">
            <v>50</v>
          </cell>
        </row>
        <row r="196">
          <cell r="A196" t="str">
            <v>1910402</v>
          </cell>
          <cell r="E196">
            <v>43794</v>
          </cell>
          <cell r="F196">
            <v>43795</v>
          </cell>
          <cell r="G196" t="str">
            <v xml:space="preserve"> 2nd Shift</v>
          </cell>
          <cell r="H196">
            <v>43801</v>
          </cell>
          <cell r="I196">
            <v>0.48458333333333337</v>
          </cell>
          <cell r="J196">
            <v>799</v>
          </cell>
          <cell r="K196" t="str">
            <v>KOCH</v>
          </cell>
          <cell r="L196" t="str">
            <v>Ster Trach Set/20</v>
          </cell>
          <cell r="M196">
            <v>45</v>
          </cell>
        </row>
        <row r="197">
          <cell r="A197" t="str">
            <v>1910407</v>
          </cell>
          <cell r="E197">
            <v>43794</v>
          </cell>
          <cell r="F197">
            <v>43795</v>
          </cell>
          <cell r="G197" t="str">
            <v xml:space="preserve"> 2nd Shift</v>
          </cell>
          <cell r="H197">
            <v>43801</v>
          </cell>
          <cell r="I197">
            <v>0.53666666666666674</v>
          </cell>
          <cell r="J197">
            <v>703</v>
          </cell>
          <cell r="K197" t="str">
            <v>KOCH</v>
          </cell>
          <cell r="L197" t="str">
            <v>Ster Trach Set/20</v>
          </cell>
          <cell r="M197">
            <v>135</v>
          </cell>
        </row>
        <row r="198">
          <cell r="A198" t="str">
            <v>1920948W</v>
          </cell>
          <cell r="E198">
            <v>43794</v>
          </cell>
          <cell r="F198">
            <v>43795</v>
          </cell>
          <cell r="G198" t="str">
            <v xml:space="preserve"> 2nd Shift</v>
          </cell>
          <cell r="H198">
            <v>43801</v>
          </cell>
          <cell r="I198">
            <v>0.67197916666666668</v>
          </cell>
          <cell r="J198" t="str">
            <v>W6103</v>
          </cell>
          <cell r="K198" t="str">
            <v>CNV2^DV2</v>
          </cell>
          <cell r="L198" t="str">
            <v>Ster Bone M/Biopsy Ty10RX</v>
          </cell>
          <cell r="M198">
            <v>800</v>
          </cell>
        </row>
        <row r="199">
          <cell r="A199" t="str">
            <v>1970034</v>
          </cell>
          <cell r="E199">
            <v>43794</v>
          </cell>
          <cell r="F199">
            <v>43795</v>
          </cell>
          <cell r="G199" t="str">
            <v xml:space="preserve"> 2nd Shift</v>
          </cell>
          <cell r="H199">
            <v>43801</v>
          </cell>
          <cell r="I199">
            <v>0.69103009259259263</v>
          </cell>
          <cell r="J199">
            <v>400</v>
          </cell>
          <cell r="K199" t="str">
            <v>AMOTEK</v>
          </cell>
          <cell r="L199" t="str">
            <v>Ster 16oz Sponge Bowls/75</v>
          </cell>
          <cell r="M199">
            <v>144</v>
          </cell>
        </row>
        <row r="200">
          <cell r="A200" t="str">
            <v>1920949W</v>
          </cell>
          <cell r="E200">
            <v>43794</v>
          </cell>
          <cell r="F200">
            <v>43795</v>
          </cell>
          <cell r="G200" t="str">
            <v xml:space="preserve"> 2nd Shift</v>
          </cell>
          <cell r="H200">
            <v>43801</v>
          </cell>
          <cell r="I200">
            <v>0.79697916666666668</v>
          </cell>
          <cell r="J200" t="str">
            <v>WPPCD655</v>
          </cell>
          <cell r="K200" t="str">
            <v>CNV2^DV2</v>
          </cell>
          <cell r="L200" t="str">
            <v>S/PYROGEN P/C/D/BONE/M/10</v>
          </cell>
          <cell r="M200">
            <v>10</v>
          </cell>
        </row>
        <row r="201">
          <cell r="A201" t="str">
            <v>1920950W</v>
          </cell>
          <cell r="E201">
            <v>43794</v>
          </cell>
          <cell r="F201">
            <v>43795</v>
          </cell>
          <cell r="G201" t="str">
            <v xml:space="preserve"> 2nd Shift</v>
          </cell>
          <cell r="H201">
            <v>43801</v>
          </cell>
          <cell r="I201">
            <v>0.82093749999999999</v>
          </cell>
          <cell r="J201" t="str">
            <v>W652</v>
          </cell>
          <cell r="K201" t="str">
            <v>CNV2^DV2</v>
          </cell>
          <cell r="L201" t="str">
            <v>SterBoneBiopsy w/I&amp;J/10RX</v>
          </cell>
          <cell r="M201">
            <v>400</v>
          </cell>
        </row>
        <row r="202">
          <cell r="A202" t="str">
            <v>1920951W</v>
          </cell>
          <cell r="E202">
            <v>43794</v>
          </cell>
          <cell r="F202">
            <v>43795</v>
          </cell>
          <cell r="G202" t="str">
            <v xml:space="preserve"> 2nd Shift</v>
          </cell>
          <cell r="H202">
            <v>43801</v>
          </cell>
          <cell r="I202">
            <v>0.90427083333333336</v>
          </cell>
          <cell r="J202" t="str">
            <v>W653</v>
          </cell>
          <cell r="K202" t="str">
            <v>CNV2^DV2</v>
          </cell>
          <cell r="L202" t="str">
            <v>SterBoneBiopsyJStyle10 RX</v>
          </cell>
          <cell r="M202">
            <v>150</v>
          </cell>
        </row>
        <row r="203">
          <cell r="A203" t="str">
            <v>1931231</v>
          </cell>
          <cell r="E203">
            <v>43794</v>
          </cell>
          <cell r="F203">
            <v>43795</v>
          </cell>
          <cell r="G203" t="str">
            <v xml:space="preserve"> 2nd Shift</v>
          </cell>
          <cell r="H203">
            <v>43801</v>
          </cell>
          <cell r="I203">
            <v>0.90902777777777777</v>
          </cell>
          <cell r="J203">
            <v>549</v>
          </cell>
          <cell r="K203" t="str">
            <v>CNV1</v>
          </cell>
          <cell r="L203" t="str">
            <v>Ster ER Lacer Ty Safety20</v>
          </cell>
          <cell r="M203">
            <v>45</v>
          </cell>
        </row>
        <row r="204">
          <cell r="A204" t="str">
            <v>1910409W</v>
          </cell>
          <cell r="E204">
            <v>43794</v>
          </cell>
          <cell r="F204">
            <v>43795</v>
          </cell>
          <cell r="G204" t="str">
            <v xml:space="preserve"> 2nd Shift</v>
          </cell>
          <cell r="H204">
            <v>43801</v>
          </cell>
          <cell r="I204">
            <v>0.94854166666666673</v>
          </cell>
          <cell r="J204" t="str">
            <v>W835</v>
          </cell>
          <cell r="K204" t="str">
            <v>CNV2^KOCH</v>
          </cell>
          <cell r="L204" t="str">
            <v>Ster C/Line Dress C/T30EX</v>
          </cell>
          <cell r="M204">
            <v>1200</v>
          </cell>
        </row>
        <row r="205">
          <cell r="A205" t="str">
            <v>1910423</v>
          </cell>
          <cell r="E205">
            <v>43795</v>
          </cell>
          <cell r="F205">
            <v>43796</v>
          </cell>
          <cell r="G205" t="str">
            <v xml:space="preserve"> 1st Shift</v>
          </cell>
          <cell r="H205">
            <v>43802</v>
          </cell>
          <cell r="I205">
            <v>0.33006944444444447</v>
          </cell>
          <cell r="J205">
            <v>715</v>
          </cell>
          <cell r="K205" t="str">
            <v>KOCH</v>
          </cell>
          <cell r="L205" t="str">
            <v>Ster Trach Set/20</v>
          </cell>
          <cell r="M205">
            <v>135</v>
          </cell>
        </row>
        <row r="206">
          <cell r="A206" t="str">
            <v>1931348</v>
          </cell>
          <cell r="E206">
            <v>43795</v>
          </cell>
          <cell r="F206">
            <v>43796</v>
          </cell>
          <cell r="G206" t="str">
            <v xml:space="preserve"> 1st Shift</v>
          </cell>
          <cell r="H206">
            <v>43802</v>
          </cell>
          <cell r="I206">
            <v>0.47262731481481479</v>
          </cell>
          <cell r="J206" t="str">
            <v>6543R1</v>
          </cell>
          <cell r="K206" t="str">
            <v>CNV1</v>
          </cell>
          <cell r="L206" t="str">
            <v>Ster Basic Biop/T10 EX/RX</v>
          </cell>
          <cell r="M206">
            <v>60</v>
          </cell>
        </row>
        <row r="207">
          <cell r="A207" t="str">
            <v>1931356</v>
          </cell>
          <cell r="E207">
            <v>43795</v>
          </cell>
          <cell r="F207">
            <v>43796</v>
          </cell>
          <cell r="G207" t="str">
            <v xml:space="preserve"> 1st Shift</v>
          </cell>
          <cell r="H207">
            <v>43802</v>
          </cell>
          <cell r="I207">
            <v>0.58721064814814816</v>
          </cell>
          <cell r="J207">
            <v>6222</v>
          </cell>
          <cell r="K207" t="str">
            <v>CNV1</v>
          </cell>
          <cell r="L207" t="str">
            <v>Ster 25G Nerve BlockTy10c</v>
          </cell>
          <cell r="M207">
            <v>30</v>
          </cell>
        </row>
        <row r="208">
          <cell r="A208" t="str">
            <v>1931355</v>
          </cell>
          <cell r="E208">
            <v>43795</v>
          </cell>
          <cell r="F208">
            <v>43796</v>
          </cell>
          <cell r="G208" t="str">
            <v xml:space="preserve"> 1st Shift</v>
          </cell>
          <cell r="H208">
            <v>43802</v>
          </cell>
          <cell r="I208">
            <v>0.68721064814814825</v>
          </cell>
          <cell r="J208">
            <v>5535</v>
          </cell>
          <cell r="K208" t="str">
            <v>CNV1</v>
          </cell>
          <cell r="L208" t="str">
            <v>Ster DR Murphy N/B/Ty10rx</v>
          </cell>
          <cell r="M208">
            <v>20</v>
          </cell>
        </row>
        <row r="209">
          <cell r="A209" t="str">
            <v>1931353</v>
          </cell>
          <cell r="E209">
            <v>43795</v>
          </cell>
          <cell r="F209">
            <v>43796</v>
          </cell>
          <cell r="G209" t="str">
            <v xml:space="preserve"> 1st Shift</v>
          </cell>
          <cell r="H209">
            <v>43802</v>
          </cell>
          <cell r="I209">
            <v>0.72120370370370368</v>
          </cell>
          <cell r="J209" t="str">
            <v>2740R2</v>
          </cell>
          <cell r="K209" t="str">
            <v>CNV1</v>
          </cell>
          <cell r="L209" t="str">
            <v>Ster Nerve Block Ty10cs</v>
          </cell>
          <cell r="M209">
            <v>40</v>
          </cell>
        </row>
        <row r="210">
          <cell r="A210" t="str">
            <v>1931351</v>
          </cell>
          <cell r="E210">
            <v>43795</v>
          </cell>
          <cell r="F210">
            <v>43796</v>
          </cell>
          <cell r="G210" t="str">
            <v xml:space="preserve"> 1st Shift</v>
          </cell>
          <cell r="H210">
            <v>43802</v>
          </cell>
          <cell r="I210">
            <v>0.80453703703703694</v>
          </cell>
          <cell r="J210" t="str">
            <v>7860R2</v>
          </cell>
          <cell r="K210" t="str">
            <v>CNV1</v>
          </cell>
          <cell r="L210" t="str">
            <v>Ster S/S/Epidural Ty10CRX</v>
          </cell>
          <cell r="M210">
            <v>10</v>
          </cell>
        </row>
        <row r="211">
          <cell r="A211" t="str">
            <v>1931352</v>
          </cell>
          <cell r="E211">
            <v>43795</v>
          </cell>
          <cell r="F211">
            <v>43796</v>
          </cell>
          <cell r="G211" t="str">
            <v xml:space="preserve"> 1st Shift</v>
          </cell>
          <cell r="H211">
            <v>43802</v>
          </cell>
          <cell r="I211">
            <v>0.84099537037037031</v>
          </cell>
          <cell r="J211" t="str">
            <v>8488R1</v>
          </cell>
          <cell r="K211" t="str">
            <v>CNV1</v>
          </cell>
          <cell r="L211" t="str">
            <v>Ster Nerve Block Tray 10c</v>
          </cell>
          <cell r="M211">
            <v>150</v>
          </cell>
        </row>
        <row r="212">
          <cell r="A212" t="str">
            <v>1920953</v>
          </cell>
          <cell r="E212">
            <v>43795</v>
          </cell>
          <cell r="F212">
            <v>43796</v>
          </cell>
          <cell r="G212" t="str">
            <v xml:space="preserve"> 2nd Shift</v>
          </cell>
          <cell r="H212">
            <v>43801</v>
          </cell>
          <cell r="I212">
            <v>0.27436342592592594</v>
          </cell>
          <cell r="J212">
            <v>91710</v>
          </cell>
          <cell r="K212" t="str">
            <v>DV3</v>
          </cell>
          <cell r="L212" t="str">
            <v>TYPE:Ster S/C/Metzenb100c</v>
          </cell>
          <cell r="M212">
            <v>30</v>
          </cell>
        </row>
        <row r="213">
          <cell r="A213" t="str">
            <v>1920934</v>
          </cell>
          <cell r="E213">
            <v>43795</v>
          </cell>
          <cell r="F213">
            <v>43796</v>
          </cell>
          <cell r="G213" t="str">
            <v xml:space="preserve"> 2nd Shift</v>
          </cell>
          <cell r="H213">
            <v>43801</v>
          </cell>
          <cell r="I213">
            <v>0.2760185185185185</v>
          </cell>
          <cell r="J213">
            <v>388</v>
          </cell>
          <cell r="K213" t="str">
            <v>DV1</v>
          </cell>
          <cell r="L213" t="str">
            <v>N/Ster Emergency OB K/10C</v>
          </cell>
          <cell r="M213">
            <v>80</v>
          </cell>
        </row>
        <row r="214">
          <cell r="A214" t="str">
            <v>1931321</v>
          </cell>
          <cell r="E214">
            <v>43795</v>
          </cell>
          <cell r="F214">
            <v>43796</v>
          </cell>
          <cell r="G214" t="str">
            <v xml:space="preserve"> 2nd Shift</v>
          </cell>
          <cell r="H214">
            <v>43802</v>
          </cell>
          <cell r="I214">
            <v>0.29554398148148148</v>
          </cell>
          <cell r="J214" t="str">
            <v>B9175R1</v>
          </cell>
          <cell r="K214" t="str">
            <v>CNV1</v>
          </cell>
          <cell r="L214" t="str">
            <v>Ster F/SS 3.5mm P/Ins T20</v>
          </cell>
          <cell r="M214">
            <v>100</v>
          </cell>
        </row>
        <row r="215">
          <cell r="A215" t="str">
            <v>1920954</v>
          </cell>
          <cell r="E215">
            <v>43795</v>
          </cell>
          <cell r="F215">
            <v>43796</v>
          </cell>
          <cell r="G215" t="str">
            <v xml:space="preserve"> 2nd Shift</v>
          </cell>
          <cell r="H215">
            <v>43801</v>
          </cell>
          <cell r="I215">
            <v>0.37304398148148149</v>
          </cell>
          <cell r="J215">
            <v>91710</v>
          </cell>
          <cell r="K215" t="str">
            <v>DV3</v>
          </cell>
          <cell r="L215" t="str">
            <v>TYPE:Ster S/C/Metzenb100c</v>
          </cell>
          <cell r="M215">
            <v>59</v>
          </cell>
        </row>
        <row r="216">
          <cell r="A216" t="str">
            <v>1920955</v>
          </cell>
          <cell r="E216">
            <v>43795</v>
          </cell>
          <cell r="F216">
            <v>43796</v>
          </cell>
          <cell r="G216" t="str">
            <v xml:space="preserve"> 2nd Shift</v>
          </cell>
          <cell r="H216">
            <v>43801</v>
          </cell>
          <cell r="I216">
            <v>0.57407407407407407</v>
          </cell>
          <cell r="J216">
            <v>91730</v>
          </cell>
          <cell r="K216" t="str">
            <v>DV3</v>
          </cell>
          <cell r="L216" t="str">
            <v>TYPE:Ster M/C/Metzenb/100</v>
          </cell>
          <cell r="M216">
            <v>10</v>
          </cell>
        </row>
        <row r="217">
          <cell r="A217" t="str">
            <v>1931357</v>
          </cell>
          <cell r="E217">
            <v>43795</v>
          </cell>
          <cell r="F217">
            <v>43796</v>
          </cell>
          <cell r="G217" t="str">
            <v xml:space="preserve"> 2nd Shift</v>
          </cell>
          <cell r="H217">
            <v>43802</v>
          </cell>
          <cell r="I217">
            <v>0.97901620370370368</v>
          </cell>
          <cell r="J217" t="str">
            <v>8561R1</v>
          </cell>
          <cell r="K217" t="str">
            <v>CNV1</v>
          </cell>
          <cell r="L217" t="str">
            <v>Ster J/Injection Tray10RX</v>
          </cell>
          <cell r="M217">
            <v>80</v>
          </cell>
        </row>
        <row r="218">
          <cell r="A218" t="str">
            <v>1931373</v>
          </cell>
          <cell r="E218">
            <v>43796</v>
          </cell>
          <cell r="F218">
            <v>43801</v>
          </cell>
          <cell r="G218" t="str">
            <v xml:space="preserve"> 1st Shift</v>
          </cell>
          <cell r="H218">
            <v>43803</v>
          </cell>
          <cell r="I218">
            <v>0.46234953703703702</v>
          </cell>
          <cell r="J218" t="str">
            <v>6543R1</v>
          </cell>
          <cell r="K218" t="str">
            <v>CNV1</v>
          </cell>
          <cell r="L218" t="str">
            <v>Ster Basic Biop/T10 EX/RX</v>
          </cell>
          <cell r="M218">
            <v>20</v>
          </cell>
        </row>
        <row r="219">
          <cell r="A219" t="str">
            <v>1931376</v>
          </cell>
          <cell r="E219">
            <v>43796</v>
          </cell>
          <cell r="F219">
            <v>43801</v>
          </cell>
          <cell r="G219" t="str">
            <v xml:space="preserve"> 1st Shift</v>
          </cell>
          <cell r="H219">
            <v>43803</v>
          </cell>
          <cell r="I219">
            <v>0.51443287037037033</v>
          </cell>
          <cell r="J219" t="str">
            <v>8786R1</v>
          </cell>
          <cell r="K219" t="str">
            <v>CNV1</v>
          </cell>
          <cell r="L219" t="str">
            <v>Ster Pellet INSERT Ty20cs</v>
          </cell>
          <cell r="M219">
            <v>10</v>
          </cell>
        </row>
        <row r="220">
          <cell r="A220" t="str">
            <v>1931377</v>
          </cell>
          <cell r="E220">
            <v>43796</v>
          </cell>
          <cell r="F220">
            <v>43801</v>
          </cell>
          <cell r="G220" t="str">
            <v xml:space="preserve"> 1st Shift</v>
          </cell>
          <cell r="H220">
            <v>43803</v>
          </cell>
          <cell r="I220">
            <v>0.54839120370370364</v>
          </cell>
          <cell r="J220" t="str">
            <v>B9175R1</v>
          </cell>
          <cell r="K220" t="str">
            <v>CNV1</v>
          </cell>
          <cell r="L220" t="str">
            <v>Ster F/SS 3.5mm P/Ins T20</v>
          </cell>
          <cell r="M220">
            <v>100</v>
          </cell>
        </row>
        <row r="221">
          <cell r="A221" t="str">
            <v>1931378</v>
          </cell>
          <cell r="E221">
            <v>43796</v>
          </cell>
          <cell r="F221">
            <v>43801</v>
          </cell>
          <cell r="G221" t="str">
            <v xml:space="preserve"> 1st Shift</v>
          </cell>
          <cell r="H221">
            <v>43803</v>
          </cell>
          <cell r="I221">
            <v>0.76714120370370376</v>
          </cell>
          <cell r="J221" t="str">
            <v>B9176R1</v>
          </cell>
          <cell r="K221" t="str">
            <v>CNV1</v>
          </cell>
          <cell r="L221" t="str">
            <v>Ster M/SS 4.5MM P/Ins T20</v>
          </cell>
          <cell r="M221">
            <v>50</v>
          </cell>
        </row>
        <row r="222">
          <cell r="A222" t="str">
            <v>1931391</v>
          </cell>
          <cell r="E222">
            <v>43796</v>
          </cell>
          <cell r="F222">
            <v>43801</v>
          </cell>
          <cell r="G222" t="str">
            <v xml:space="preserve"> 1st Shift</v>
          </cell>
          <cell r="H222">
            <v>43803</v>
          </cell>
          <cell r="I222">
            <v>0.86609953703703713</v>
          </cell>
          <cell r="J222" t="str">
            <v>5651R2</v>
          </cell>
          <cell r="K222" t="str">
            <v>CNV1</v>
          </cell>
          <cell r="L222" t="str">
            <v>Sterile Breast Pack 3/cs</v>
          </cell>
          <cell r="M222">
            <v>20</v>
          </cell>
        </row>
        <row r="223">
          <cell r="A223" t="str">
            <v>1920956</v>
          </cell>
          <cell r="E223">
            <v>43796</v>
          </cell>
          <cell r="F223">
            <v>43801</v>
          </cell>
          <cell r="G223" t="str">
            <v xml:space="preserve"> 2nd Shift</v>
          </cell>
          <cell r="H223">
            <v>43802</v>
          </cell>
          <cell r="I223">
            <v>0.29099537037037038</v>
          </cell>
          <cell r="J223">
            <v>91750</v>
          </cell>
          <cell r="K223" t="str">
            <v>DV3</v>
          </cell>
          <cell r="L223" t="str">
            <v>TYPE:MARYLND DISSECTOR100</v>
          </cell>
          <cell r="M223">
            <v>6</v>
          </cell>
        </row>
        <row r="224">
          <cell r="A224" t="str">
            <v>1931372</v>
          </cell>
          <cell r="E224">
            <v>43796</v>
          </cell>
          <cell r="F224">
            <v>43801</v>
          </cell>
          <cell r="G224" t="str">
            <v xml:space="preserve"> 2nd Shift</v>
          </cell>
          <cell r="H224">
            <v>43803</v>
          </cell>
          <cell r="I224">
            <v>0.41651620370370374</v>
          </cell>
          <cell r="J224" t="str">
            <v>3887R1</v>
          </cell>
          <cell r="K224" t="str">
            <v>CNV1</v>
          </cell>
          <cell r="L224" t="str">
            <v>Ster S/S/Epidural Ty 10cs</v>
          </cell>
          <cell r="M224">
            <v>20</v>
          </cell>
        </row>
        <row r="225">
          <cell r="A225" t="str">
            <v>1931380</v>
          </cell>
          <cell r="E225">
            <v>43796</v>
          </cell>
          <cell r="F225">
            <v>43801</v>
          </cell>
          <cell r="G225" t="str">
            <v xml:space="preserve"> 2nd Shift</v>
          </cell>
          <cell r="H225">
            <v>43803</v>
          </cell>
          <cell r="I225">
            <v>0.91042824074074069</v>
          </cell>
          <cell r="J225" t="str">
            <v>7111R1</v>
          </cell>
          <cell r="K225" t="str">
            <v>CNV1</v>
          </cell>
          <cell r="L225" t="str">
            <v>Ster S/S/Epid/Ty/10cRX</v>
          </cell>
          <cell r="M225">
            <v>12</v>
          </cell>
        </row>
        <row r="226">
          <cell r="A226" t="str">
            <v>1931379</v>
          </cell>
          <cell r="E226">
            <v>43796</v>
          </cell>
          <cell r="F226">
            <v>43801</v>
          </cell>
          <cell r="G226" t="str">
            <v xml:space="preserve"> 2nd Shift</v>
          </cell>
          <cell r="H226">
            <v>43803</v>
          </cell>
          <cell r="I226">
            <v>0.95001157407407411</v>
          </cell>
          <cell r="J226" t="str">
            <v>3292R1</v>
          </cell>
          <cell r="K226" t="str">
            <v>CNV1</v>
          </cell>
          <cell r="L226" t="str">
            <v>Ster Angiogram Ty5cs EX</v>
          </cell>
          <cell r="M226">
            <v>11</v>
          </cell>
        </row>
        <row r="227">
          <cell r="A227" t="str">
            <v>1931370</v>
          </cell>
          <cell r="E227">
            <v>43801</v>
          </cell>
          <cell r="F227">
            <v>43802</v>
          </cell>
          <cell r="G227" t="str">
            <v xml:space="preserve"> 1st Shift</v>
          </cell>
          <cell r="H227">
            <v>43804</v>
          </cell>
          <cell r="I227">
            <v>0.60075231481481484</v>
          </cell>
          <cell r="J227">
            <v>930</v>
          </cell>
          <cell r="K227" t="str">
            <v>CNV1</v>
          </cell>
          <cell r="L227" t="str">
            <v>Ster Hysteroscopy Pack 5c</v>
          </cell>
          <cell r="M227">
            <v>15</v>
          </cell>
        </row>
        <row r="228">
          <cell r="A228" t="str">
            <v>1931398</v>
          </cell>
          <cell r="E228">
            <v>43801</v>
          </cell>
          <cell r="F228">
            <v>43802</v>
          </cell>
          <cell r="G228" t="str">
            <v xml:space="preserve"> 1st Shift</v>
          </cell>
          <cell r="H228">
            <v>43804</v>
          </cell>
          <cell r="I228">
            <v>0.68504629629629632</v>
          </cell>
          <cell r="J228">
            <v>1003</v>
          </cell>
          <cell r="K228" t="str">
            <v>CNV1</v>
          </cell>
          <cell r="L228" t="str">
            <v>Ster Dr.Murphy Epi/Ty10RX</v>
          </cell>
          <cell r="M228">
            <v>10</v>
          </cell>
        </row>
        <row r="229">
          <cell r="A229" t="str">
            <v>1920877</v>
          </cell>
          <cell r="E229">
            <v>43796</v>
          </cell>
          <cell r="F229">
            <v>43802</v>
          </cell>
          <cell r="G229" t="str">
            <v xml:space="preserve"> 1st Shift</v>
          </cell>
          <cell r="H229">
            <v>43802</v>
          </cell>
          <cell r="I229">
            <v>0.69103009259259263</v>
          </cell>
          <cell r="J229">
            <v>716</v>
          </cell>
          <cell r="K229" t="str">
            <v>DV3</v>
          </cell>
          <cell r="L229" t="str">
            <v>Ster Staple Remover/48</v>
          </cell>
          <cell r="M229">
            <v>648</v>
          </cell>
        </row>
        <row r="230">
          <cell r="A230" t="str">
            <v>1931399</v>
          </cell>
          <cell r="E230">
            <v>43801</v>
          </cell>
          <cell r="F230">
            <v>43802</v>
          </cell>
          <cell r="G230" t="str">
            <v xml:space="preserve"> 1st Shift</v>
          </cell>
          <cell r="H230">
            <v>43804</v>
          </cell>
          <cell r="I230">
            <v>0.71369212962962969</v>
          </cell>
          <cell r="J230">
            <v>3661</v>
          </cell>
          <cell r="K230" t="str">
            <v>CNV1</v>
          </cell>
          <cell r="L230" t="str">
            <v>Ster Epidural Tray 10csRX</v>
          </cell>
          <cell r="M230">
            <v>15</v>
          </cell>
        </row>
        <row r="231">
          <cell r="A231" t="str">
            <v>1931386</v>
          </cell>
          <cell r="E231">
            <v>43801</v>
          </cell>
          <cell r="F231">
            <v>43802</v>
          </cell>
          <cell r="G231" t="str">
            <v xml:space="preserve"> 1st Shift</v>
          </cell>
          <cell r="H231">
            <v>43804</v>
          </cell>
          <cell r="I231">
            <v>0.7443981481481482</v>
          </cell>
          <cell r="J231">
            <v>5392</v>
          </cell>
          <cell r="K231" t="str">
            <v>CNV1</v>
          </cell>
          <cell r="L231" t="str">
            <v>Sterile Facet Tray 10cEX</v>
          </cell>
          <cell r="M231">
            <v>12</v>
          </cell>
        </row>
        <row r="232">
          <cell r="A232" t="str">
            <v>1931401</v>
          </cell>
          <cell r="E232">
            <v>43801</v>
          </cell>
          <cell r="F232">
            <v>43802</v>
          </cell>
          <cell r="G232" t="str">
            <v xml:space="preserve"> 1st Shift</v>
          </cell>
          <cell r="H232">
            <v>43804</v>
          </cell>
          <cell r="I232">
            <v>0.77460648148148137</v>
          </cell>
          <cell r="J232">
            <v>7040</v>
          </cell>
          <cell r="K232" t="str">
            <v>CNV1</v>
          </cell>
          <cell r="L232" t="str">
            <v>Ster Nerve Block Ty 10cRX</v>
          </cell>
          <cell r="M232">
            <v>25</v>
          </cell>
        </row>
        <row r="233">
          <cell r="A233" t="str">
            <v>1931402</v>
          </cell>
          <cell r="E233">
            <v>43801</v>
          </cell>
          <cell r="F233">
            <v>43802</v>
          </cell>
          <cell r="G233" t="str">
            <v xml:space="preserve"> 1st Shift</v>
          </cell>
          <cell r="H233">
            <v>43804</v>
          </cell>
          <cell r="I233">
            <v>0.81188657407407405</v>
          </cell>
          <cell r="J233">
            <v>7637</v>
          </cell>
          <cell r="K233" t="str">
            <v>CNV1</v>
          </cell>
          <cell r="L233" t="str">
            <v>Ster Pump Refill Kit 10cs</v>
          </cell>
          <cell r="M233">
            <v>31</v>
          </cell>
        </row>
        <row r="234">
          <cell r="A234" t="str">
            <v>1931394</v>
          </cell>
          <cell r="E234">
            <v>43801</v>
          </cell>
          <cell r="F234">
            <v>43802</v>
          </cell>
          <cell r="G234" t="str">
            <v xml:space="preserve"> 1st Shift</v>
          </cell>
          <cell r="H234">
            <v>43804</v>
          </cell>
          <cell r="I234">
            <v>0.85311342592592598</v>
          </cell>
          <cell r="J234">
            <v>7664</v>
          </cell>
          <cell r="K234" t="str">
            <v>CNV1</v>
          </cell>
          <cell r="L234" t="str">
            <v>Ster Epidural Tray 10CS</v>
          </cell>
          <cell r="M234">
            <v>45</v>
          </cell>
        </row>
        <row r="235">
          <cell r="A235" t="str">
            <v>1931431</v>
          </cell>
          <cell r="E235">
            <v>43801</v>
          </cell>
          <cell r="F235">
            <v>43802</v>
          </cell>
          <cell r="G235" t="str">
            <v xml:space="preserve"> 2nd Shift</v>
          </cell>
          <cell r="H235">
            <v>43804</v>
          </cell>
          <cell r="I235">
            <v>0.29189814814814813</v>
          </cell>
          <cell r="J235">
            <v>677</v>
          </cell>
          <cell r="K235" t="str">
            <v>CNV1</v>
          </cell>
          <cell r="L235" t="str">
            <v>STER SS EPID TRY 20G LL10</v>
          </cell>
          <cell r="M235">
            <v>45</v>
          </cell>
        </row>
        <row r="236">
          <cell r="A236" t="str">
            <v>1920936</v>
          </cell>
          <cell r="E236">
            <v>43801</v>
          </cell>
          <cell r="F236">
            <v>43802</v>
          </cell>
          <cell r="G236" t="str">
            <v xml:space="preserve"> 2nd Shift</v>
          </cell>
          <cell r="H236">
            <v>43803</v>
          </cell>
          <cell r="I236">
            <v>0.30042824074074076</v>
          </cell>
          <cell r="J236">
            <v>751</v>
          </cell>
          <cell r="K236" t="str">
            <v>DV1</v>
          </cell>
          <cell r="L236" t="str">
            <v>Ster Mnr Laceration Pk/20</v>
          </cell>
          <cell r="M236">
            <v>300</v>
          </cell>
        </row>
        <row r="237">
          <cell r="A237" t="str">
            <v>1931381</v>
          </cell>
          <cell r="E237">
            <v>43801</v>
          </cell>
          <cell r="F237">
            <v>43802</v>
          </cell>
          <cell r="G237" t="str">
            <v xml:space="preserve"> 2nd Shift</v>
          </cell>
          <cell r="H237">
            <v>43804</v>
          </cell>
          <cell r="I237">
            <v>0.36898148148148152</v>
          </cell>
          <cell r="J237">
            <v>749</v>
          </cell>
          <cell r="K237" t="str">
            <v>CNV1</v>
          </cell>
          <cell r="L237" t="str">
            <v>Ster E.R.Laceration Ty 20</v>
          </cell>
          <cell r="M237">
            <v>135</v>
          </cell>
        </row>
        <row r="238">
          <cell r="A238" t="str">
            <v>1950090</v>
          </cell>
          <cell r="E238">
            <v>43801</v>
          </cell>
          <cell r="F238">
            <v>43802</v>
          </cell>
          <cell r="G238" t="str">
            <v xml:space="preserve"> 2nd Shift</v>
          </cell>
          <cell r="H238">
            <v>43803</v>
          </cell>
          <cell r="I238">
            <v>0.44528935185185187</v>
          </cell>
          <cell r="J238" t="str">
            <v>7051-1</v>
          </cell>
          <cell r="K238" t="str">
            <v>MULTI</v>
          </cell>
          <cell r="L238" t="str">
            <v>REMOVABLE BASIN</v>
          </cell>
          <cell r="M238">
            <v>10000</v>
          </cell>
        </row>
        <row r="239">
          <cell r="A239" t="str">
            <v>1920920</v>
          </cell>
          <cell r="E239">
            <v>43801</v>
          </cell>
          <cell r="F239">
            <v>43802</v>
          </cell>
          <cell r="G239" t="str">
            <v xml:space="preserve"> 2nd Shift</v>
          </cell>
          <cell r="H239">
            <v>43803</v>
          </cell>
          <cell r="I239">
            <v>0.50193287037037038</v>
          </cell>
          <cell r="J239">
            <v>723</v>
          </cell>
          <cell r="K239" t="str">
            <v>DV3</v>
          </cell>
          <cell r="L239" t="str">
            <v>Ster Suture Removal/50</v>
          </cell>
          <cell r="M239">
            <v>1728</v>
          </cell>
        </row>
        <row r="240">
          <cell r="A240" t="str">
            <v>1931393</v>
          </cell>
          <cell r="E240">
            <v>43801</v>
          </cell>
          <cell r="F240">
            <v>43802</v>
          </cell>
          <cell r="G240" t="str">
            <v xml:space="preserve"> 2nd Shift</v>
          </cell>
          <cell r="H240">
            <v>43804</v>
          </cell>
          <cell r="I240">
            <v>0.94425925925925924</v>
          </cell>
          <cell r="J240">
            <v>9048</v>
          </cell>
          <cell r="K240" t="str">
            <v>CNV1</v>
          </cell>
          <cell r="L240" t="str">
            <v>Ster Nerve Block Ty 10RX</v>
          </cell>
          <cell r="M240">
            <v>10</v>
          </cell>
        </row>
        <row r="241">
          <cell r="A241" t="str">
            <v>1931389</v>
          </cell>
          <cell r="E241">
            <v>43801</v>
          </cell>
          <cell r="F241">
            <v>43802</v>
          </cell>
          <cell r="G241" t="str">
            <v xml:space="preserve"> 2nd Shift</v>
          </cell>
          <cell r="H241">
            <v>43804</v>
          </cell>
          <cell r="I241">
            <v>0.97759259259259268</v>
          </cell>
          <cell r="J241">
            <v>9118</v>
          </cell>
          <cell r="K241" t="str">
            <v>CNV1</v>
          </cell>
          <cell r="L241" t="str">
            <v>Ster Nerve Block Tray 10</v>
          </cell>
          <cell r="M241">
            <v>60</v>
          </cell>
        </row>
        <row r="242">
          <cell r="A242" t="str">
            <v>1931400</v>
          </cell>
          <cell r="E242">
            <v>43802</v>
          </cell>
          <cell r="F242">
            <v>43803</v>
          </cell>
          <cell r="G242" t="str">
            <v xml:space="preserve"> 1st Shift</v>
          </cell>
          <cell r="H242">
            <v>43808</v>
          </cell>
          <cell r="I242">
            <v>0.57134259259259257</v>
          </cell>
          <cell r="J242" t="str">
            <v>6294R1</v>
          </cell>
          <cell r="K242" t="str">
            <v>CNV1</v>
          </cell>
          <cell r="L242" t="str">
            <v>Ster Nerve Block Ty 10/RX</v>
          </cell>
          <cell r="M242">
            <v>12</v>
          </cell>
        </row>
        <row r="243">
          <cell r="A243" t="str">
            <v>1931387</v>
          </cell>
          <cell r="E243">
            <v>43802</v>
          </cell>
          <cell r="F243">
            <v>43803</v>
          </cell>
          <cell r="G243" t="str">
            <v xml:space="preserve"> 1st Shift</v>
          </cell>
          <cell r="H243">
            <v>43808</v>
          </cell>
          <cell r="I243">
            <v>0.60717592592592595</v>
          </cell>
          <cell r="J243" t="str">
            <v>7883R1</v>
          </cell>
          <cell r="K243" t="str">
            <v>CNV1</v>
          </cell>
          <cell r="L243" t="str">
            <v>Ster Transform/Tray 10cs</v>
          </cell>
          <cell r="M243">
            <v>10</v>
          </cell>
        </row>
        <row r="244">
          <cell r="A244" t="str">
            <v>1931405</v>
          </cell>
          <cell r="E244">
            <v>43802</v>
          </cell>
          <cell r="F244">
            <v>43803</v>
          </cell>
          <cell r="G244" t="str">
            <v xml:space="preserve"> 1st Shift</v>
          </cell>
          <cell r="H244">
            <v>43808</v>
          </cell>
          <cell r="I244">
            <v>0.68217592592592602</v>
          </cell>
          <cell r="J244">
            <v>3398</v>
          </cell>
          <cell r="K244" t="str">
            <v>CNV1</v>
          </cell>
          <cell r="L244" t="str">
            <v>Ster S/S/Epidural Tray10c</v>
          </cell>
          <cell r="M244">
            <v>20</v>
          </cell>
        </row>
        <row r="245">
          <cell r="A245" t="str">
            <v>1931408</v>
          </cell>
          <cell r="E245">
            <v>43802</v>
          </cell>
          <cell r="F245">
            <v>43803</v>
          </cell>
          <cell r="G245" t="str">
            <v xml:space="preserve"> 1st Shift</v>
          </cell>
          <cell r="H245">
            <v>43808</v>
          </cell>
          <cell r="I245">
            <v>0.72800925925925919</v>
          </cell>
          <cell r="J245">
            <v>5304</v>
          </cell>
          <cell r="K245" t="str">
            <v>CNV1</v>
          </cell>
          <cell r="L245" t="str">
            <v>Ster Winston Bone/O/Ty10c</v>
          </cell>
          <cell r="M245">
            <v>10</v>
          </cell>
        </row>
        <row r="246">
          <cell r="A246" t="str">
            <v>1931404</v>
          </cell>
          <cell r="E246">
            <v>43802</v>
          </cell>
          <cell r="F246">
            <v>43803</v>
          </cell>
          <cell r="G246" t="str">
            <v xml:space="preserve"> 1st Shift</v>
          </cell>
          <cell r="H246">
            <v>43808</v>
          </cell>
          <cell r="I246">
            <v>0.76446759259259256</v>
          </cell>
          <cell r="J246">
            <v>6343</v>
          </cell>
          <cell r="K246" t="str">
            <v>CNV1</v>
          </cell>
          <cell r="L246" t="str">
            <v>Ster P/Support Lumbar/T10</v>
          </cell>
          <cell r="M246">
            <v>25</v>
          </cell>
        </row>
        <row r="247">
          <cell r="A247" t="str">
            <v>1931403</v>
          </cell>
          <cell r="E247">
            <v>43802</v>
          </cell>
          <cell r="F247">
            <v>43803</v>
          </cell>
          <cell r="G247" t="str">
            <v xml:space="preserve"> 1st Shift</v>
          </cell>
          <cell r="H247">
            <v>43808</v>
          </cell>
          <cell r="I247">
            <v>0.81655092592592593</v>
          </cell>
          <cell r="J247" t="str">
            <v>1668R1</v>
          </cell>
          <cell r="K247" t="str">
            <v>CNV1</v>
          </cell>
          <cell r="L247" t="str">
            <v>Ster Suturing Tray/20cs</v>
          </cell>
          <cell r="M247">
            <v>12</v>
          </cell>
        </row>
        <row r="248">
          <cell r="A248" t="str">
            <v>1931406</v>
          </cell>
          <cell r="E248">
            <v>43802</v>
          </cell>
          <cell r="F248">
            <v>43803</v>
          </cell>
          <cell r="G248" t="str">
            <v xml:space="preserve"> 1st Shift</v>
          </cell>
          <cell r="H248">
            <v>43808</v>
          </cell>
          <cell r="I248">
            <v>0.85613425925925923</v>
          </cell>
          <cell r="J248" t="str">
            <v>9498R1</v>
          </cell>
          <cell r="K248" t="str">
            <v>CNV1</v>
          </cell>
          <cell r="L248" t="str">
            <v>Ster S/S Epidural Ty10/RX</v>
          </cell>
          <cell r="M248">
            <v>24</v>
          </cell>
        </row>
        <row r="249">
          <cell r="A249" t="str">
            <v>1910401</v>
          </cell>
          <cell r="E249">
            <v>43802</v>
          </cell>
          <cell r="F249">
            <v>43803</v>
          </cell>
          <cell r="G249" t="str">
            <v xml:space="preserve"> 2nd Shift</v>
          </cell>
          <cell r="H249">
            <v>43804</v>
          </cell>
          <cell r="I249">
            <v>0.27510416666666665</v>
          </cell>
          <cell r="J249">
            <v>668</v>
          </cell>
          <cell r="K249" t="str">
            <v>KOCH</v>
          </cell>
          <cell r="L249" t="str">
            <v>STER PUMP REFILL KIT/10</v>
          </cell>
          <cell r="M249">
            <v>55</v>
          </cell>
        </row>
        <row r="250">
          <cell r="A250" t="str">
            <v>1931390</v>
          </cell>
          <cell r="E250">
            <v>43802</v>
          </cell>
          <cell r="F250">
            <v>43803</v>
          </cell>
          <cell r="G250" t="str">
            <v xml:space="preserve"> 2nd Shift</v>
          </cell>
          <cell r="H250">
            <v>43808</v>
          </cell>
          <cell r="I250">
            <v>0.33696759259259257</v>
          </cell>
          <cell r="J250">
            <v>9882</v>
          </cell>
          <cell r="K250" t="str">
            <v>CNV1</v>
          </cell>
          <cell r="L250" t="str">
            <v>Ster MBB Tray 10/CS RX</v>
          </cell>
          <cell r="M250">
            <v>20</v>
          </cell>
        </row>
        <row r="251">
          <cell r="A251" t="str">
            <v>1931395</v>
          </cell>
          <cell r="E251">
            <v>43802</v>
          </cell>
          <cell r="F251">
            <v>43803</v>
          </cell>
          <cell r="G251" t="str">
            <v xml:space="preserve"> 2nd Shift</v>
          </cell>
          <cell r="H251">
            <v>43808</v>
          </cell>
          <cell r="I251">
            <v>0.37342592592592588</v>
          </cell>
          <cell r="J251" t="str">
            <v>2740R2</v>
          </cell>
          <cell r="K251" t="str">
            <v>CNV1</v>
          </cell>
          <cell r="L251" t="str">
            <v>Ster Nerve Block Ty10cs</v>
          </cell>
          <cell r="M251">
            <v>20</v>
          </cell>
        </row>
        <row r="252">
          <cell r="A252" t="str">
            <v>1910411</v>
          </cell>
          <cell r="E252">
            <v>43802</v>
          </cell>
          <cell r="F252">
            <v>43803</v>
          </cell>
          <cell r="G252" t="str">
            <v xml:space="preserve"> 2nd Shift</v>
          </cell>
          <cell r="H252">
            <v>43804</v>
          </cell>
          <cell r="I252">
            <v>0.39146990740740745</v>
          </cell>
          <cell r="J252">
            <v>759</v>
          </cell>
          <cell r="K252" t="str">
            <v>KOCH</v>
          </cell>
          <cell r="L252" t="str">
            <v>Ster Dress Chg Tray 20cs</v>
          </cell>
          <cell r="M252">
            <v>90</v>
          </cell>
        </row>
        <row r="253">
          <cell r="A253" t="str">
            <v>1931432</v>
          </cell>
          <cell r="E253">
            <v>43802</v>
          </cell>
          <cell r="F253">
            <v>43803</v>
          </cell>
          <cell r="G253" t="str">
            <v xml:space="preserve"> 2nd Shift</v>
          </cell>
          <cell r="H253">
            <v>43808</v>
          </cell>
          <cell r="I253">
            <v>0.42550925925925925</v>
          </cell>
          <cell r="J253">
            <v>7478</v>
          </cell>
          <cell r="K253" t="str">
            <v>CNV1</v>
          </cell>
          <cell r="L253" t="str">
            <v>STER MOORE 82768 TRAY/20</v>
          </cell>
          <cell r="M253">
            <v>90</v>
          </cell>
        </row>
        <row r="254">
          <cell r="A254" t="str">
            <v>1950092</v>
          </cell>
          <cell r="E254">
            <v>43802</v>
          </cell>
          <cell r="F254">
            <v>43803</v>
          </cell>
          <cell r="G254" t="str">
            <v xml:space="preserve"> 2nd Shift</v>
          </cell>
          <cell r="H254">
            <v>43804</v>
          </cell>
          <cell r="I254">
            <v>0.5006828703703704</v>
          </cell>
          <cell r="J254">
            <v>71021</v>
          </cell>
          <cell r="K254" t="str">
            <v>KOCH</v>
          </cell>
          <cell r="L254" t="str">
            <v>One Comp Tray</v>
          </cell>
          <cell r="M254">
            <v>30000</v>
          </cell>
        </row>
        <row r="255">
          <cell r="A255" t="str">
            <v>1931407</v>
          </cell>
          <cell r="E255">
            <v>43802</v>
          </cell>
          <cell r="F255">
            <v>43803</v>
          </cell>
          <cell r="G255" t="str">
            <v xml:space="preserve"> 2nd Shift</v>
          </cell>
          <cell r="H255">
            <v>43808</v>
          </cell>
          <cell r="I255">
            <v>0.91446759259259258</v>
          </cell>
          <cell r="J255" t="str">
            <v>9559R1</v>
          </cell>
          <cell r="K255" t="str">
            <v>CNV1</v>
          </cell>
          <cell r="L255" t="str">
            <v>Ster Support Tray 10/cs</v>
          </cell>
          <cell r="M255">
            <v>28</v>
          </cell>
        </row>
        <row r="256">
          <cell r="A256" t="str">
            <v>1931410</v>
          </cell>
          <cell r="E256">
            <v>43802</v>
          </cell>
          <cell r="F256">
            <v>43803</v>
          </cell>
          <cell r="G256" t="str">
            <v xml:space="preserve"> 2nd Shift</v>
          </cell>
          <cell r="H256">
            <v>43808</v>
          </cell>
          <cell r="I256">
            <v>0.97905092592592602</v>
          </cell>
          <cell r="J256">
            <v>2411</v>
          </cell>
          <cell r="K256" t="str">
            <v>CNV1</v>
          </cell>
          <cell r="L256" t="str">
            <v>Ster Universal B/Tray10RX</v>
          </cell>
          <cell r="M256">
            <v>50</v>
          </cell>
        </row>
        <row r="257">
          <cell r="A257" t="str">
            <v>1931418</v>
          </cell>
          <cell r="E257">
            <v>43803</v>
          </cell>
          <cell r="F257">
            <v>43804</v>
          </cell>
          <cell r="G257" t="str">
            <v xml:space="preserve"> 1st Shift</v>
          </cell>
          <cell r="H257">
            <v>43809</v>
          </cell>
          <cell r="I257">
            <v>0.55530092592592595</v>
          </cell>
          <cell r="J257" t="str">
            <v>1928R6</v>
          </cell>
          <cell r="K257" t="str">
            <v>CNV1</v>
          </cell>
          <cell r="L257" t="str">
            <v>Ster Arthrogram Tray10cRX</v>
          </cell>
          <cell r="M257">
            <v>25</v>
          </cell>
        </row>
        <row r="258">
          <cell r="A258" t="str">
            <v>1931427</v>
          </cell>
          <cell r="E258">
            <v>43803</v>
          </cell>
          <cell r="F258">
            <v>43804</v>
          </cell>
          <cell r="G258" t="str">
            <v xml:space="preserve"> 1st Shift</v>
          </cell>
          <cell r="H258">
            <v>43809</v>
          </cell>
          <cell r="I258">
            <v>0.59567129629629634</v>
          </cell>
          <cell r="J258">
            <v>1003</v>
          </cell>
          <cell r="K258" t="str">
            <v>CNV1</v>
          </cell>
          <cell r="L258" t="str">
            <v>Ster Dr.Murphy Epi/Ty10RX</v>
          </cell>
          <cell r="M258">
            <v>10</v>
          </cell>
        </row>
        <row r="259">
          <cell r="A259" t="str">
            <v>1931428</v>
          </cell>
          <cell r="E259">
            <v>43803</v>
          </cell>
          <cell r="F259">
            <v>43804</v>
          </cell>
          <cell r="G259" t="str">
            <v xml:space="preserve"> 1st Shift</v>
          </cell>
          <cell r="H259">
            <v>43809</v>
          </cell>
          <cell r="I259">
            <v>0.6243171296296296</v>
          </cell>
          <cell r="J259">
            <v>5535</v>
          </cell>
          <cell r="K259" t="str">
            <v>CNV1</v>
          </cell>
          <cell r="L259" t="str">
            <v>Ster DR Murphy N/B/Ty10rx</v>
          </cell>
          <cell r="M259">
            <v>30</v>
          </cell>
        </row>
        <row r="260">
          <cell r="A260" t="str">
            <v>1931423</v>
          </cell>
          <cell r="E260">
            <v>43803</v>
          </cell>
          <cell r="F260">
            <v>43804</v>
          </cell>
          <cell r="G260" t="str">
            <v xml:space="preserve"> 1st Shift</v>
          </cell>
          <cell r="H260">
            <v>43809</v>
          </cell>
          <cell r="I260">
            <v>0.70655092592592583</v>
          </cell>
          <cell r="J260">
            <v>9048</v>
          </cell>
          <cell r="K260" t="str">
            <v>CNV1</v>
          </cell>
          <cell r="L260" t="str">
            <v>Ster Nerve Block Ty 10RX</v>
          </cell>
          <cell r="M260">
            <v>10</v>
          </cell>
        </row>
        <row r="261">
          <cell r="A261" t="str">
            <v>1931426</v>
          </cell>
          <cell r="E261">
            <v>43803</v>
          </cell>
          <cell r="F261">
            <v>43804</v>
          </cell>
          <cell r="G261" t="str">
            <v xml:space="preserve"> 1st Shift</v>
          </cell>
          <cell r="H261">
            <v>43809</v>
          </cell>
          <cell r="I261">
            <v>0.73988425925925927</v>
          </cell>
          <cell r="J261" t="str">
            <v>2740R2</v>
          </cell>
          <cell r="K261" t="str">
            <v>CNV1</v>
          </cell>
          <cell r="L261" t="str">
            <v>Ster Nerve Block Ty10cs</v>
          </cell>
          <cell r="M261">
            <v>20</v>
          </cell>
        </row>
        <row r="262">
          <cell r="A262" t="str">
            <v>1931420</v>
          </cell>
          <cell r="E262">
            <v>43803</v>
          </cell>
          <cell r="F262">
            <v>43804</v>
          </cell>
          <cell r="G262" t="str">
            <v xml:space="preserve"> 1st Shift</v>
          </cell>
          <cell r="H262">
            <v>43809</v>
          </cell>
          <cell r="I262">
            <v>0.79196759259259253</v>
          </cell>
          <cell r="J262" t="str">
            <v>5684R1</v>
          </cell>
          <cell r="K262" t="str">
            <v>CNV1</v>
          </cell>
          <cell r="L262" t="str">
            <v>Ster Nerve Block Ty10C EX</v>
          </cell>
          <cell r="M262">
            <v>20</v>
          </cell>
        </row>
        <row r="263">
          <cell r="A263" t="str">
            <v>1931429</v>
          </cell>
          <cell r="E263">
            <v>43803</v>
          </cell>
          <cell r="F263">
            <v>43804</v>
          </cell>
          <cell r="G263" t="str">
            <v xml:space="preserve"> 1st Shift</v>
          </cell>
          <cell r="H263">
            <v>43809</v>
          </cell>
          <cell r="I263">
            <v>0.8440509259259259</v>
          </cell>
          <cell r="J263" t="str">
            <v>6295R2</v>
          </cell>
          <cell r="K263" t="str">
            <v>CNV1</v>
          </cell>
          <cell r="L263" t="str">
            <v>Ster S/S/Epidural/Ty10cRX</v>
          </cell>
          <cell r="M263">
            <v>5</v>
          </cell>
        </row>
        <row r="264">
          <cell r="A264" t="str">
            <v>1931422</v>
          </cell>
          <cell r="E264">
            <v>43803</v>
          </cell>
          <cell r="F264">
            <v>43804</v>
          </cell>
          <cell r="G264" t="str">
            <v xml:space="preserve"> 1st Shift</v>
          </cell>
          <cell r="H264">
            <v>43809</v>
          </cell>
          <cell r="I264">
            <v>0.87269675925925927</v>
          </cell>
          <cell r="J264" t="str">
            <v>7812R1</v>
          </cell>
          <cell r="K264" t="str">
            <v>CNV1</v>
          </cell>
          <cell r="L264" t="str">
            <v>STERILE NERVE BLOCK T/20C</v>
          </cell>
          <cell r="M264">
            <v>300</v>
          </cell>
        </row>
        <row r="265">
          <cell r="A265" t="str">
            <v>1931409</v>
          </cell>
          <cell r="E265">
            <v>43803</v>
          </cell>
          <cell r="F265">
            <v>43804</v>
          </cell>
          <cell r="G265" t="str">
            <v xml:space="preserve"> 2nd Shift</v>
          </cell>
          <cell r="H265">
            <v>43809</v>
          </cell>
          <cell r="I265">
            <v>0.33061342592592591</v>
          </cell>
          <cell r="J265" t="str">
            <v>8583R1</v>
          </cell>
          <cell r="K265" t="str">
            <v>CNV1</v>
          </cell>
          <cell r="L265" t="str">
            <v>Ster Dr. Carnes N/B 10/RX</v>
          </cell>
          <cell r="M265">
            <v>36</v>
          </cell>
        </row>
        <row r="266">
          <cell r="A266" t="str">
            <v>1931413</v>
          </cell>
          <cell r="E266">
            <v>43803</v>
          </cell>
          <cell r="F266">
            <v>43804</v>
          </cell>
          <cell r="G266" t="str">
            <v xml:space="preserve"> 2nd Shift</v>
          </cell>
          <cell r="H266">
            <v>43809</v>
          </cell>
          <cell r="I266">
            <v>0.39644675925925926</v>
          </cell>
          <cell r="J266">
            <v>3665</v>
          </cell>
          <cell r="K266" t="str">
            <v>CNV1</v>
          </cell>
          <cell r="L266" t="str">
            <v>Ster Laceration Tray/20</v>
          </cell>
          <cell r="M266">
            <v>25</v>
          </cell>
        </row>
        <row r="267">
          <cell r="A267" t="str">
            <v>1931415</v>
          </cell>
          <cell r="E267">
            <v>43803</v>
          </cell>
          <cell r="F267">
            <v>43804</v>
          </cell>
          <cell r="G267" t="str">
            <v xml:space="preserve"> 2nd Shift</v>
          </cell>
          <cell r="H267">
            <v>43809</v>
          </cell>
          <cell r="I267">
            <v>0.45634259259259258</v>
          </cell>
          <cell r="J267" t="str">
            <v>B8108R1</v>
          </cell>
          <cell r="K267" t="str">
            <v>CNV1</v>
          </cell>
          <cell r="L267" t="str">
            <v>Ster SS 3.2MM/P/Ins/Ty20c</v>
          </cell>
          <cell r="M267">
            <v>50</v>
          </cell>
        </row>
        <row r="268">
          <cell r="A268" t="str">
            <v>1931430</v>
          </cell>
          <cell r="E268">
            <v>43804</v>
          </cell>
          <cell r="F268">
            <v>43808</v>
          </cell>
          <cell r="G268" t="str">
            <v xml:space="preserve"> 1st Shift</v>
          </cell>
          <cell r="H268">
            <v>43810</v>
          </cell>
          <cell r="I268">
            <v>0.6956134259259259</v>
          </cell>
          <cell r="J268" t="str">
            <v>8563R1</v>
          </cell>
          <cell r="K268" t="str">
            <v>CNV1</v>
          </cell>
          <cell r="L268" t="str">
            <v>Ster Spine Inject/T10/RX</v>
          </cell>
          <cell r="M268">
            <v>40</v>
          </cell>
        </row>
        <row r="269">
          <cell r="A269" t="str">
            <v>1920924</v>
          </cell>
          <cell r="E269">
            <v>43803</v>
          </cell>
          <cell r="F269">
            <v>43808</v>
          </cell>
          <cell r="G269" t="str">
            <v xml:space="preserve"> 1st Shift</v>
          </cell>
          <cell r="H269">
            <v>43808</v>
          </cell>
          <cell r="I269">
            <v>0.75489583333333332</v>
          </cell>
          <cell r="J269">
            <v>5822</v>
          </cell>
          <cell r="K269" t="str">
            <v>DV3</v>
          </cell>
          <cell r="L269" t="str">
            <v>Ster HS SRK 112-5822/50C</v>
          </cell>
          <cell r="M269">
            <v>432</v>
          </cell>
        </row>
        <row r="270">
          <cell r="A270" t="str">
            <v>1931425</v>
          </cell>
          <cell r="E270">
            <v>43804</v>
          </cell>
          <cell r="F270">
            <v>43808</v>
          </cell>
          <cell r="G270" t="str">
            <v xml:space="preserve"> 1st Shift</v>
          </cell>
          <cell r="H270">
            <v>43810</v>
          </cell>
          <cell r="I270">
            <v>0.77894675925925927</v>
          </cell>
          <cell r="J270" t="str">
            <v>9259R1</v>
          </cell>
          <cell r="K270" t="str">
            <v>CNV1</v>
          </cell>
          <cell r="L270" t="str">
            <v>Ster Nerve Block T 10RXEX</v>
          </cell>
          <cell r="M270">
            <v>10</v>
          </cell>
        </row>
        <row r="271">
          <cell r="A271" t="str">
            <v>1931349</v>
          </cell>
          <cell r="E271">
            <v>43804</v>
          </cell>
          <cell r="F271">
            <v>43808</v>
          </cell>
          <cell r="G271" t="str">
            <v xml:space="preserve"> 1st Shift</v>
          </cell>
          <cell r="H271">
            <v>43810</v>
          </cell>
          <cell r="I271">
            <v>0.81540509259259253</v>
          </cell>
          <cell r="J271" t="str">
            <v>B7419</v>
          </cell>
          <cell r="K271" t="str">
            <v>CNV1</v>
          </cell>
          <cell r="L271" t="str">
            <v>Ster 3.2MM P/I/T/X-LG/G20</v>
          </cell>
          <cell r="M271">
            <v>25</v>
          </cell>
        </row>
        <row r="272">
          <cell r="A272" t="str">
            <v>1931433</v>
          </cell>
          <cell r="E272">
            <v>43804</v>
          </cell>
          <cell r="F272">
            <v>43808</v>
          </cell>
          <cell r="G272" t="str">
            <v xml:space="preserve"> 1st Shift</v>
          </cell>
          <cell r="H272">
            <v>43810</v>
          </cell>
          <cell r="I272">
            <v>0.86906250000000007</v>
          </cell>
          <cell r="J272">
            <v>5823</v>
          </cell>
          <cell r="K272" t="str">
            <v>CNV1</v>
          </cell>
          <cell r="L272" t="str">
            <v>STER HS ER LAC112-5823/20</v>
          </cell>
          <cell r="M272">
            <v>180</v>
          </cell>
        </row>
        <row r="273">
          <cell r="A273" t="str">
            <v>1920921</v>
          </cell>
          <cell r="E273">
            <v>43804</v>
          </cell>
          <cell r="F273">
            <v>43808</v>
          </cell>
          <cell r="G273" t="str">
            <v xml:space="preserve"> 2nd Shift</v>
          </cell>
          <cell r="H273">
            <v>43809</v>
          </cell>
          <cell r="I273">
            <v>0.44313657407407409</v>
          </cell>
          <cell r="J273">
            <v>770</v>
          </cell>
          <cell r="K273" t="str">
            <v>DV3</v>
          </cell>
          <cell r="L273" t="str">
            <v>Ster Staple Remover/48</v>
          </cell>
          <cell r="M273">
            <v>72</v>
          </cell>
        </row>
        <row r="274">
          <cell r="A274" t="str">
            <v>1920927</v>
          </cell>
          <cell r="E274">
            <v>43804</v>
          </cell>
          <cell r="F274">
            <v>43808</v>
          </cell>
          <cell r="G274" t="str">
            <v xml:space="preserve"> 2nd Shift</v>
          </cell>
          <cell r="H274">
            <v>43809</v>
          </cell>
          <cell r="I274">
            <v>0.52049768518518513</v>
          </cell>
          <cell r="J274">
            <v>716</v>
          </cell>
          <cell r="K274" t="str">
            <v>DV3</v>
          </cell>
          <cell r="L274" t="str">
            <v>Ster Staple Remover/48</v>
          </cell>
          <cell r="M274">
            <v>864</v>
          </cell>
        </row>
        <row r="275">
          <cell r="A275" t="str">
            <v>1931382</v>
          </cell>
          <cell r="E275">
            <v>43808</v>
          </cell>
          <cell r="F275">
            <v>43809</v>
          </cell>
          <cell r="G275" t="str">
            <v xml:space="preserve"> 1st Shift</v>
          </cell>
          <cell r="H275">
            <v>43811</v>
          </cell>
          <cell r="I275">
            <v>0.46281250000000002</v>
          </cell>
          <cell r="J275">
            <v>747</v>
          </cell>
          <cell r="K275" t="str">
            <v>CNV1</v>
          </cell>
          <cell r="L275" t="str">
            <v>Ster Suturing Tray/20</v>
          </cell>
          <cell r="M275">
            <v>135</v>
          </cell>
        </row>
        <row r="276">
          <cell r="A276" t="str">
            <v>1931435</v>
          </cell>
          <cell r="E276">
            <v>43808</v>
          </cell>
          <cell r="F276">
            <v>43809</v>
          </cell>
          <cell r="G276" t="str">
            <v xml:space="preserve"> 1st Shift</v>
          </cell>
          <cell r="H276">
            <v>43811</v>
          </cell>
          <cell r="I276">
            <v>0.70108796296296294</v>
          </cell>
          <cell r="J276">
            <v>5689</v>
          </cell>
          <cell r="K276" t="str">
            <v>CNV1</v>
          </cell>
          <cell r="L276" t="str">
            <v>Ster Injection Tray 10/CS</v>
          </cell>
          <cell r="M276">
            <v>40</v>
          </cell>
        </row>
        <row r="277">
          <cell r="A277" t="str">
            <v>1931436</v>
          </cell>
          <cell r="E277">
            <v>43808</v>
          </cell>
          <cell r="F277">
            <v>43809</v>
          </cell>
          <cell r="G277" t="str">
            <v xml:space="preserve"> 1st Shift</v>
          </cell>
          <cell r="H277">
            <v>43811</v>
          </cell>
          <cell r="I277">
            <v>0.75317129629629631</v>
          </cell>
          <cell r="J277">
            <v>9039</v>
          </cell>
          <cell r="K277" t="str">
            <v>CNV1</v>
          </cell>
          <cell r="L277" t="str">
            <v>Ster Nerve Block Ty 10 EX</v>
          </cell>
          <cell r="M277">
            <v>32</v>
          </cell>
        </row>
        <row r="278">
          <cell r="A278" t="str">
            <v>1931439</v>
          </cell>
          <cell r="E278">
            <v>43808</v>
          </cell>
          <cell r="F278">
            <v>43809</v>
          </cell>
          <cell r="G278" t="str">
            <v xml:space="preserve"> 1st Shift</v>
          </cell>
          <cell r="H278">
            <v>43811</v>
          </cell>
          <cell r="I278">
            <v>0.7990046296296297</v>
          </cell>
          <cell r="J278">
            <v>9662</v>
          </cell>
          <cell r="K278" t="str">
            <v>CNV1</v>
          </cell>
          <cell r="L278" t="str">
            <v>Ster S/Tissue B/Tray 10EX</v>
          </cell>
          <cell r="M278">
            <v>20</v>
          </cell>
        </row>
        <row r="279">
          <cell r="A279" t="str">
            <v>1931440</v>
          </cell>
          <cell r="E279">
            <v>43808</v>
          </cell>
          <cell r="F279">
            <v>43809</v>
          </cell>
          <cell r="G279" t="str">
            <v xml:space="preserve"> 1st Shift</v>
          </cell>
          <cell r="H279">
            <v>43811</v>
          </cell>
          <cell r="I279">
            <v>0.83546296296296296</v>
          </cell>
          <cell r="J279">
            <v>9779</v>
          </cell>
          <cell r="K279" t="str">
            <v>CNV1</v>
          </cell>
          <cell r="L279" t="str">
            <v>Ster Univesal N/Block T10</v>
          </cell>
          <cell r="M279">
            <v>100</v>
          </cell>
        </row>
        <row r="280">
          <cell r="A280" t="str">
            <v>1920928</v>
          </cell>
          <cell r="E280">
            <v>43808</v>
          </cell>
          <cell r="F280">
            <v>43809</v>
          </cell>
          <cell r="G280" t="str">
            <v xml:space="preserve"> 2nd Shift</v>
          </cell>
          <cell r="H280">
            <v>43810</v>
          </cell>
          <cell r="I280">
            <v>0.55307870370370371</v>
          </cell>
          <cell r="J280">
            <v>9199</v>
          </cell>
          <cell r="K280" t="str">
            <v>DV3</v>
          </cell>
          <cell r="L280" t="str">
            <v>HS STP RMVR #570-0620 /48</v>
          </cell>
          <cell r="M280">
            <v>108</v>
          </cell>
        </row>
        <row r="281">
          <cell r="A281" t="str">
            <v>1931438</v>
          </cell>
          <cell r="E281">
            <v>43808</v>
          </cell>
          <cell r="F281">
            <v>43809</v>
          </cell>
          <cell r="G281" t="str">
            <v xml:space="preserve"> 2nd Shift</v>
          </cell>
          <cell r="H281">
            <v>43811</v>
          </cell>
          <cell r="I281">
            <v>0.93442129629629633</v>
          </cell>
          <cell r="J281" t="str">
            <v>3282R4</v>
          </cell>
          <cell r="K281" t="str">
            <v>CNV1</v>
          </cell>
          <cell r="L281" t="str">
            <v>Ster Facet Block Ty 10cs</v>
          </cell>
          <cell r="M281">
            <v>10</v>
          </cell>
        </row>
        <row r="282">
          <cell r="A282" t="str">
            <v>1931441</v>
          </cell>
          <cell r="E282">
            <v>43808</v>
          </cell>
          <cell r="F282">
            <v>43809</v>
          </cell>
          <cell r="G282" t="str">
            <v xml:space="preserve"> 2nd Shift</v>
          </cell>
          <cell r="H282">
            <v>43811</v>
          </cell>
          <cell r="I282">
            <v>0.96184027777777781</v>
          </cell>
          <cell r="J282" t="str">
            <v>8667R2</v>
          </cell>
          <cell r="K282" t="str">
            <v>CNV1</v>
          </cell>
          <cell r="L282" t="str">
            <v>Ster Arthrogram Tray10/RX</v>
          </cell>
          <cell r="M282">
            <v>60</v>
          </cell>
        </row>
        <row r="283">
          <cell r="A283" t="str">
            <v>1931442</v>
          </cell>
          <cell r="E283">
            <v>43809</v>
          </cell>
          <cell r="F283">
            <v>43810</v>
          </cell>
          <cell r="G283" t="str">
            <v xml:space="preserve"> 1st Shift</v>
          </cell>
          <cell r="H283">
            <v>43815</v>
          </cell>
          <cell r="I283">
            <v>0.51131944444444444</v>
          </cell>
          <cell r="J283" t="str">
            <v>8139R2</v>
          </cell>
          <cell r="K283" t="str">
            <v>CNV1</v>
          </cell>
          <cell r="L283" t="str">
            <v>Ster 18G S/S/Epid Ty10cRX</v>
          </cell>
          <cell r="M283">
            <v>10</v>
          </cell>
        </row>
        <row r="284">
          <cell r="A284" t="str">
            <v>1931444</v>
          </cell>
          <cell r="E284">
            <v>43809</v>
          </cell>
          <cell r="F284">
            <v>43810</v>
          </cell>
          <cell r="G284" t="str">
            <v xml:space="preserve"> 1st Shift</v>
          </cell>
          <cell r="H284">
            <v>43815</v>
          </cell>
          <cell r="I284">
            <v>0.54465277777777776</v>
          </cell>
          <cell r="J284">
            <v>3238</v>
          </cell>
          <cell r="K284" t="str">
            <v>CNV1</v>
          </cell>
          <cell r="L284" t="str">
            <v>Ster Nerve BlockTy10c/EX</v>
          </cell>
          <cell r="M284">
            <v>30</v>
          </cell>
        </row>
        <row r="285">
          <cell r="A285" t="str">
            <v>1931447</v>
          </cell>
          <cell r="E285">
            <v>43809</v>
          </cell>
          <cell r="F285">
            <v>43810</v>
          </cell>
          <cell r="G285" t="str">
            <v xml:space="preserve"> 1st Shift</v>
          </cell>
          <cell r="H285">
            <v>43815</v>
          </cell>
          <cell r="I285">
            <v>0.61236111111111113</v>
          </cell>
          <cell r="J285">
            <v>5923</v>
          </cell>
          <cell r="K285" t="str">
            <v>CNV1</v>
          </cell>
          <cell r="L285" t="str">
            <v>Ster G/P Managem/Ty10C/EX</v>
          </cell>
          <cell r="M285">
            <v>20</v>
          </cell>
        </row>
        <row r="286">
          <cell r="A286" t="str">
            <v>1920925</v>
          </cell>
          <cell r="E286">
            <v>43808</v>
          </cell>
          <cell r="F286">
            <v>43810</v>
          </cell>
          <cell r="G286" t="str">
            <v xml:space="preserve"> 1st Shift</v>
          </cell>
          <cell r="H286">
            <v>43810</v>
          </cell>
          <cell r="I286">
            <v>0.6986458333333333</v>
          </cell>
          <cell r="J286">
            <v>9201</v>
          </cell>
          <cell r="K286" t="str">
            <v>DV3</v>
          </cell>
          <cell r="L286" t="str">
            <v>HS SRK 570-0619/50cs</v>
          </cell>
          <cell r="M286">
            <v>100</v>
          </cell>
        </row>
        <row r="287">
          <cell r="A287" t="str">
            <v>1931445</v>
          </cell>
          <cell r="E287">
            <v>43809</v>
          </cell>
          <cell r="F287">
            <v>43810</v>
          </cell>
          <cell r="G287" t="str">
            <v xml:space="preserve"> 1st Shift</v>
          </cell>
          <cell r="H287">
            <v>43815</v>
          </cell>
          <cell r="I287">
            <v>0.70611111111111102</v>
          </cell>
          <cell r="J287" t="str">
            <v>6657R5</v>
          </cell>
          <cell r="K287" t="str">
            <v>CNV1</v>
          </cell>
          <cell r="L287" t="str">
            <v>Ster S/S/Epidural Ty10RX</v>
          </cell>
          <cell r="M287">
            <v>12</v>
          </cell>
        </row>
        <row r="288">
          <cell r="A288" t="str">
            <v>1931446</v>
          </cell>
          <cell r="E288">
            <v>43809</v>
          </cell>
          <cell r="F288">
            <v>43810</v>
          </cell>
          <cell r="G288" t="str">
            <v xml:space="preserve"> 1st Shift</v>
          </cell>
          <cell r="H288">
            <v>43815</v>
          </cell>
          <cell r="I288">
            <v>0.734837962962963</v>
          </cell>
          <cell r="J288">
            <v>1065</v>
          </cell>
          <cell r="K288" t="str">
            <v>CNV1</v>
          </cell>
          <cell r="L288" t="str">
            <v>Ster Procedure Tray 10/CS</v>
          </cell>
          <cell r="M288">
            <v>30</v>
          </cell>
        </row>
        <row r="289">
          <cell r="A289" t="str">
            <v>1931450</v>
          </cell>
          <cell r="E289">
            <v>43809</v>
          </cell>
          <cell r="F289">
            <v>43810</v>
          </cell>
          <cell r="G289" t="str">
            <v xml:space="preserve"> 1st Shift</v>
          </cell>
          <cell r="H289">
            <v>43815</v>
          </cell>
          <cell r="I289">
            <v>0.77910879629629637</v>
          </cell>
          <cell r="J289">
            <v>1058</v>
          </cell>
          <cell r="K289" t="str">
            <v>CNV1</v>
          </cell>
          <cell r="L289" t="str">
            <v>Ster S/S Epidural Ty 10EX</v>
          </cell>
          <cell r="M289">
            <v>24</v>
          </cell>
        </row>
        <row r="290">
          <cell r="A290" t="str">
            <v>1920946</v>
          </cell>
          <cell r="E290">
            <v>43808</v>
          </cell>
          <cell r="F290">
            <v>43810</v>
          </cell>
          <cell r="G290" t="str">
            <v xml:space="preserve"> 1st Shift</v>
          </cell>
          <cell r="H290">
            <v>43810</v>
          </cell>
          <cell r="I290">
            <v>0.80396990740740737</v>
          </cell>
          <cell r="J290">
            <v>718</v>
          </cell>
          <cell r="K290" t="str">
            <v>DV3</v>
          </cell>
          <cell r="L290" t="str">
            <v>Ster Suture Kit/50</v>
          </cell>
          <cell r="M290">
            <v>1512</v>
          </cell>
        </row>
        <row r="291">
          <cell r="A291" t="str">
            <v>1931448</v>
          </cell>
          <cell r="E291">
            <v>43809</v>
          </cell>
          <cell r="F291">
            <v>43810</v>
          </cell>
          <cell r="G291" t="str">
            <v xml:space="preserve"> 1st Shift</v>
          </cell>
          <cell r="H291">
            <v>43815</v>
          </cell>
          <cell r="I291">
            <v>0.81869212962962967</v>
          </cell>
          <cell r="J291" t="str">
            <v>41065R3</v>
          </cell>
          <cell r="K291" t="str">
            <v>CNV1</v>
          </cell>
          <cell r="L291" t="str">
            <v>Ster Port Access T20EX/RX</v>
          </cell>
          <cell r="M291">
            <v>150</v>
          </cell>
        </row>
        <row r="292">
          <cell r="A292" t="str">
            <v>1931437</v>
          </cell>
          <cell r="E292">
            <v>43809</v>
          </cell>
          <cell r="F292">
            <v>43810</v>
          </cell>
          <cell r="G292" t="str">
            <v xml:space="preserve"> 2nd Shift</v>
          </cell>
          <cell r="H292">
            <v>43815</v>
          </cell>
          <cell r="I292">
            <v>0.32121527777777775</v>
          </cell>
          <cell r="J292" t="str">
            <v>8937R1</v>
          </cell>
          <cell r="K292" t="str">
            <v>CNV1</v>
          </cell>
          <cell r="L292" t="str">
            <v>Ster Reconstructive Tr/10</v>
          </cell>
          <cell r="M292">
            <v>90</v>
          </cell>
        </row>
        <row r="293">
          <cell r="A293" t="str">
            <v>1931443</v>
          </cell>
          <cell r="E293">
            <v>43809</v>
          </cell>
          <cell r="F293">
            <v>43810</v>
          </cell>
          <cell r="G293" t="str">
            <v xml:space="preserve"> 2nd Shift</v>
          </cell>
          <cell r="H293">
            <v>43815</v>
          </cell>
          <cell r="I293">
            <v>0.41236111111111112</v>
          </cell>
          <cell r="J293" t="str">
            <v>3764R2</v>
          </cell>
          <cell r="K293" t="str">
            <v>CNV1</v>
          </cell>
          <cell r="L293" t="str">
            <v>Ster Nerve Block Ty 10CRX</v>
          </cell>
          <cell r="M293">
            <v>50</v>
          </cell>
        </row>
        <row r="294">
          <cell r="A294" t="str">
            <v>1931452</v>
          </cell>
          <cell r="E294">
            <v>43810</v>
          </cell>
          <cell r="F294">
            <v>43811</v>
          </cell>
          <cell r="G294" t="str">
            <v xml:space="preserve"> 1st Shift</v>
          </cell>
          <cell r="H294">
            <v>43816</v>
          </cell>
          <cell r="I294">
            <v>0.51140046296296293</v>
          </cell>
          <cell r="J294">
            <v>2115</v>
          </cell>
          <cell r="K294" t="str">
            <v>CNV1</v>
          </cell>
          <cell r="L294" t="str">
            <v>Ster Universal P/Pk T/10C</v>
          </cell>
          <cell r="M294">
            <v>60</v>
          </cell>
        </row>
        <row r="295">
          <cell r="A295" t="str">
            <v>1931457</v>
          </cell>
          <cell r="E295">
            <v>43810</v>
          </cell>
          <cell r="F295">
            <v>43811</v>
          </cell>
          <cell r="G295" t="str">
            <v xml:space="preserve"> 1st Shift</v>
          </cell>
          <cell r="H295">
            <v>43816</v>
          </cell>
          <cell r="I295">
            <v>0.67077546296296298</v>
          </cell>
          <cell r="J295">
            <v>8476</v>
          </cell>
          <cell r="K295" t="str">
            <v>CNV1</v>
          </cell>
          <cell r="L295" t="str">
            <v>Sterile Nerve BLOCK/T10RX</v>
          </cell>
          <cell r="M295">
            <v>120</v>
          </cell>
        </row>
        <row r="296">
          <cell r="A296" t="str">
            <v>1931451</v>
          </cell>
          <cell r="E296">
            <v>43810</v>
          </cell>
          <cell r="F296">
            <v>43811</v>
          </cell>
          <cell r="G296" t="str">
            <v xml:space="preserve"> 1st Shift</v>
          </cell>
          <cell r="H296">
            <v>43816</v>
          </cell>
          <cell r="I296">
            <v>0.79577546296296298</v>
          </cell>
          <cell r="J296">
            <v>9267</v>
          </cell>
          <cell r="K296" t="str">
            <v>CNV1</v>
          </cell>
          <cell r="L296" t="str">
            <v>Ster Anesthesia T 10RX EX</v>
          </cell>
          <cell r="M296">
            <v>20</v>
          </cell>
        </row>
        <row r="297">
          <cell r="A297" t="str">
            <v>1931458</v>
          </cell>
          <cell r="E297">
            <v>43810</v>
          </cell>
          <cell r="F297">
            <v>43811</v>
          </cell>
          <cell r="G297" t="str">
            <v xml:space="preserve"> 1st Shift</v>
          </cell>
          <cell r="H297">
            <v>43816</v>
          </cell>
          <cell r="I297">
            <v>0.84785879629629635</v>
          </cell>
          <cell r="J297" t="str">
            <v>2257R1</v>
          </cell>
          <cell r="K297" t="str">
            <v>CNV1</v>
          </cell>
          <cell r="L297" t="str">
            <v>Sterile Pain Tray 20/cs</v>
          </cell>
          <cell r="M297">
            <v>30</v>
          </cell>
        </row>
        <row r="298">
          <cell r="A298" t="str">
            <v>1931449</v>
          </cell>
          <cell r="E298">
            <v>43810</v>
          </cell>
          <cell r="F298">
            <v>43811</v>
          </cell>
          <cell r="G298" t="str">
            <v xml:space="preserve"> 2nd Shift</v>
          </cell>
          <cell r="H298">
            <v>43816</v>
          </cell>
          <cell r="I298">
            <v>0.36556712962962962</v>
          </cell>
          <cell r="J298" t="str">
            <v>5566R1</v>
          </cell>
          <cell r="K298" t="str">
            <v>CNV1</v>
          </cell>
          <cell r="L298" t="str">
            <v>Ster Nerve Block T10EX/RX</v>
          </cell>
          <cell r="M298">
            <v>80</v>
          </cell>
        </row>
        <row r="299">
          <cell r="A299" t="str">
            <v>1931453</v>
          </cell>
          <cell r="E299">
            <v>43810</v>
          </cell>
          <cell r="F299">
            <v>43811</v>
          </cell>
          <cell r="G299" t="str">
            <v xml:space="preserve"> 2nd Shift</v>
          </cell>
          <cell r="H299">
            <v>43816</v>
          </cell>
          <cell r="I299">
            <v>0.5791087962962963</v>
          </cell>
          <cell r="J299">
            <v>5340</v>
          </cell>
          <cell r="K299" t="str">
            <v>CNV1</v>
          </cell>
          <cell r="L299" t="str">
            <v>Ster Transforam/Ty 10c/EX</v>
          </cell>
          <cell r="M299">
            <v>12</v>
          </cell>
        </row>
        <row r="300">
          <cell r="A300" t="str">
            <v>1920945</v>
          </cell>
          <cell r="E300">
            <v>43810</v>
          </cell>
          <cell r="F300">
            <v>43811</v>
          </cell>
          <cell r="G300" t="str">
            <v xml:space="preserve"> 2nd Shift</v>
          </cell>
          <cell r="H300">
            <v>43815</v>
          </cell>
          <cell r="I300">
            <v>0.61878472222222225</v>
          </cell>
          <cell r="J300">
            <v>732</v>
          </cell>
          <cell r="K300" t="str">
            <v>DV3</v>
          </cell>
          <cell r="L300" t="str">
            <v>Ster Suture Removal/50</v>
          </cell>
          <cell r="M300">
            <v>50</v>
          </cell>
        </row>
        <row r="301">
          <cell r="A301" t="str">
            <v>1931454</v>
          </cell>
          <cell r="E301">
            <v>43810</v>
          </cell>
          <cell r="F301">
            <v>43811</v>
          </cell>
          <cell r="G301" t="str">
            <v xml:space="preserve"> 2nd Shift</v>
          </cell>
          <cell r="H301">
            <v>43816</v>
          </cell>
          <cell r="I301">
            <v>0.91556712962962961</v>
          </cell>
          <cell r="J301" t="str">
            <v>5568R1</v>
          </cell>
          <cell r="K301" t="str">
            <v>CNV1</v>
          </cell>
          <cell r="L301" t="str">
            <v>Ster S/S/Epidural Tray/10</v>
          </cell>
          <cell r="M301">
            <v>25</v>
          </cell>
        </row>
        <row r="302">
          <cell r="A302" t="str">
            <v>1931456</v>
          </cell>
          <cell r="E302">
            <v>43810</v>
          </cell>
          <cell r="F302">
            <v>43811</v>
          </cell>
          <cell r="G302" t="str">
            <v xml:space="preserve"> 2nd Shift</v>
          </cell>
          <cell r="H302">
            <v>43816</v>
          </cell>
          <cell r="I302">
            <v>0.96765046296296298</v>
          </cell>
          <cell r="J302" t="str">
            <v>6133R1</v>
          </cell>
          <cell r="K302" t="str">
            <v>CNV1</v>
          </cell>
          <cell r="L302" t="str">
            <v>Ster Nerve Block Tray 10c</v>
          </cell>
          <cell r="M302">
            <v>12</v>
          </cell>
        </row>
        <row r="303">
          <cell r="A303" t="str">
            <v>1940086</v>
          </cell>
          <cell r="E303">
            <v>43811</v>
          </cell>
          <cell r="F303">
            <v>43815</v>
          </cell>
          <cell r="G303" t="str">
            <v xml:space="preserve"> 2nd Shift</v>
          </cell>
          <cell r="H303">
            <v>43816</v>
          </cell>
          <cell r="I303">
            <v>0.27436342592592594</v>
          </cell>
          <cell r="J303">
            <v>698</v>
          </cell>
          <cell r="K303" t="str">
            <v>CIRCLE</v>
          </cell>
          <cell r="L303" t="str">
            <v>Ster Drape/200</v>
          </cell>
          <cell r="M303">
            <v>165</v>
          </cell>
        </row>
        <row r="304">
          <cell r="A304" t="str">
            <v>1931455</v>
          </cell>
          <cell r="E304">
            <v>43811</v>
          </cell>
          <cell r="F304">
            <v>43815</v>
          </cell>
          <cell r="G304" t="str">
            <v xml:space="preserve"> 2nd Shift</v>
          </cell>
          <cell r="H304">
            <v>43817</v>
          </cell>
          <cell r="I304">
            <v>0.28952546296296294</v>
          </cell>
          <cell r="J304" t="str">
            <v>9119R1</v>
          </cell>
          <cell r="K304" t="str">
            <v>CNV1</v>
          </cell>
          <cell r="L304" t="str">
            <v>Ster Epidural Tray 10/cs</v>
          </cell>
          <cell r="M304">
            <v>12</v>
          </cell>
        </row>
        <row r="305">
          <cell r="A305" t="str">
            <v>1931434</v>
          </cell>
          <cell r="E305">
            <v>45267</v>
          </cell>
          <cell r="F305">
            <v>45268</v>
          </cell>
          <cell r="G305" t="str">
            <v xml:space="preserve"> 2nd Shift</v>
          </cell>
          <cell r="H305">
            <v>45272</v>
          </cell>
          <cell r="I305">
            <v>0.30440972222222223</v>
          </cell>
          <cell r="J305" t="str">
            <v>5084R2</v>
          </cell>
          <cell r="K305" t="str">
            <v>CNV1</v>
          </cell>
          <cell r="L305" t="str">
            <v>Ster Nerve Block Tray10RX</v>
          </cell>
          <cell r="M305">
            <v>190</v>
          </cell>
        </row>
        <row r="306">
          <cell r="A306" t="str">
            <v>LOT</v>
          </cell>
          <cell r="B306" t="str">
            <v>Racks</v>
          </cell>
          <cell r="C306" t="str">
            <v>Parts Prep</v>
          </cell>
          <cell r="D306" t="str">
            <v>Ready</v>
          </cell>
          <cell r="E306" t="str">
            <v>Request</v>
          </cell>
          <cell r="F306" t="str">
            <v xml:space="preserve">   In Parts Prep by</v>
          </cell>
          <cell r="H306" t="str">
            <v>Run Date/Time</v>
          </cell>
          <cell r="J306" t="str">
            <v>Item</v>
          </cell>
          <cell r="K306" t="str">
            <v xml:space="preserve"> </v>
          </cell>
          <cell r="L306" t="str">
            <v>Description</v>
          </cell>
          <cell r="M306" t="str">
            <v>Qty</v>
          </cell>
        </row>
        <row r="307">
          <cell r="A307" t="str">
            <v>1920930</v>
          </cell>
          <cell r="H307">
            <v>43781</v>
          </cell>
          <cell r="I307">
            <v>0.27436342592592594</v>
          </cell>
          <cell r="J307" t="str">
            <v>6417R1</v>
          </cell>
          <cell r="K307" t="str">
            <v>DV1*</v>
          </cell>
          <cell r="L307" t="str">
            <v>Ster Bone Marrow Ty10cRX</v>
          </cell>
          <cell r="M307">
            <v>20</v>
          </cell>
        </row>
        <row r="308">
          <cell r="A308" t="str">
            <v>1910416</v>
          </cell>
          <cell r="H308">
            <v>43788</v>
          </cell>
          <cell r="I308">
            <v>0.27528935185185183</v>
          </cell>
          <cell r="J308">
            <v>956</v>
          </cell>
          <cell r="K308" t="str">
            <v>MULTI*</v>
          </cell>
          <cell r="L308" t="str">
            <v>Ster MYELOGRM SFTY/10 RX</v>
          </cell>
          <cell r="M308">
            <v>10</v>
          </cell>
        </row>
        <row r="309">
          <cell r="A309" t="str">
            <v>1910414</v>
          </cell>
          <cell r="H309">
            <v>43787</v>
          </cell>
          <cell r="I309">
            <v>0.27585648148148151</v>
          </cell>
          <cell r="J309">
            <v>975</v>
          </cell>
          <cell r="K309" t="str">
            <v>MULTI*</v>
          </cell>
          <cell r="L309" t="str">
            <v>SterDELUXELUMTRAY/RX/10CS</v>
          </cell>
          <cell r="M309">
            <v>15</v>
          </cell>
        </row>
        <row r="310">
          <cell r="A310" t="str">
            <v>1910400</v>
          </cell>
          <cell r="H310">
            <v>43787</v>
          </cell>
          <cell r="I310">
            <v>0.2958912037037037</v>
          </cell>
          <cell r="J310">
            <v>3910</v>
          </cell>
          <cell r="K310" t="str">
            <v>MULTI*</v>
          </cell>
          <cell r="L310" t="str">
            <v>Ster Arthrogram Tray 10cs</v>
          </cell>
          <cell r="M310">
            <v>15</v>
          </cell>
        </row>
        <row r="311">
          <cell r="A311" t="str">
            <v>1910415</v>
          </cell>
          <cell r="H311">
            <v>43788</v>
          </cell>
          <cell r="I311">
            <v>0.29906250000000001</v>
          </cell>
          <cell r="J311">
            <v>974</v>
          </cell>
          <cell r="K311" t="str">
            <v>MULTI*</v>
          </cell>
          <cell r="L311" t="str">
            <v>Ster Deluxe Lumbar Ty10RX</v>
          </cell>
          <cell r="M311">
            <v>45</v>
          </cell>
        </row>
        <row r="312">
          <cell r="A312" t="str">
            <v>1910409</v>
          </cell>
          <cell r="H312">
            <v>43804</v>
          </cell>
          <cell r="I312">
            <v>0.30635416666666665</v>
          </cell>
          <cell r="J312">
            <v>835</v>
          </cell>
          <cell r="K312" t="str">
            <v>KOCH*</v>
          </cell>
          <cell r="L312" t="str">
            <v>Ster C/Line Dress C/T30EX</v>
          </cell>
          <cell r="M312">
            <v>40</v>
          </cell>
        </row>
        <row r="313">
          <cell r="A313" t="str">
            <v>1920948</v>
          </cell>
          <cell r="H313">
            <v>43802</v>
          </cell>
          <cell r="I313">
            <v>0.32741898148148146</v>
          </cell>
          <cell r="J313">
            <v>6103</v>
          </cell>
          <cell r="K313" t="str">
            <v>DV1*</v>
          </cell>
          <cell r="L313" t="str">
            <v>Ster Bone M/Biopsy Ty10RX</v>
          </cell>
          <cell r="M313">
            <v>80</v>
          </cell>
        </row>
        <row r="314">
          <cell r="A314" t="str">
            <v>1920911</v>
          </cell>
          <cell r="H314">
            <v>43781</v>
          </cell>
          <cell r="I314">
            <v>0.32937500000000003</v>
          </cell>
          <cell r="J314">
            <v>150</v>
          </cell>
          <cell r="K314" t="str">
            <v>DV1*</v>
          </cell>
          <cell r="L314" t="str">
            <v>Ster 1/2"Tbg&amp;Hdle&amp;Adap/25</v>
          </cell>
          <cell r="M314">
            <v>40</v>
          </cell>
        </row>
        <row r="315">
          <cell r="A315" t="str">
            <v>1910390</v>
          </cell>
          <cell r="H315">
            <v>43787</v>
          </cell>
          <cell r="I315">
            <v>0.33471064814814816</v>
          </cell>
          <cell r="J315">
            <v>656</v>
          </cell>
          <cell r="K315" t="str">
            <v>MULTI*</v>
          </cell>
          <cell r="L315" t="str">
            <v>SterMyelogramTray 10cs RX</v>
          </cell>
          <cell r="M315">
            <v>90</v>
          </cell>
        </row>
        <row r="316">
          <cell r="A316" t="str">
            <v>1920910</v>
          </cell>
          <cell r="H316">
            <v>43801</v>
          </cell>
          <cell r="I316">
            <v>0.35935185185185187</v>
          </cell>
          <cell r="J316">
            <v>153</v>
          </cell>
          <cell r="K316" t="str">
            <v>DV1*</v>
          </cell>
          <cell r="L316" t="str">
            <v>Ster3/8"Tbg&amp;Hdl&amp;Adpt/25</v>
          </cell>
          <cell r="M316">
            <v>160</v>
          </cell>
        </row>
        <row r="317">
          <cell r="A317" t="str">
            <v>1910392</v>
          </cell>
          <cell r="H317">
            <v>43788</v>
          </cell>
          <cell r="I317">
            <v>0.36957175925925928</v>
          </cell>
          <cell r="J317" t="str">
            <v>PPCD645</v>
          </cell>
          <cell r="K317" t="str">
            <v>MULTI*</v>
          </cell>
          <cell r="L317" t="str">
            <v>S/PYROGEN PROCESS C/D/LUM</v>
          </cell>
          <cell r="M317">
            <v>1</v>
          </cell>
        </row>
        <row r="318">
          <cell r="A318" t="str">
            <v>1910418</v>
          </cell>
          <cell r="H318">
            <v>43788</v>
          </cell>
          <cell r="I318">
            <v>0.38015046296296301</v>
          </cell>
          <cell r="J318">
            <v>648</v>
          </cell>
          <cell r="K318" t="str">
            <v>MULTI*</v>
          </cell>
          <cell r="L318" t="str">
            <v>SterLumbrTray w/20g/10 RX</v>
          </cell>
          <cell r="M318">
            <v>90</v>
          </cell>
        </row>
        <row r="319">
          <cell r="A319" t="str">
            <v>1920949</v>
          </cell>
          <cell r="H319">
            <v>43802</v>
          </cell>
          <cell r="I319">
            <v>0.45560185185185187</v>
          </cell>
          <cell r="J319" t="str">
            <v>PPCD655</v>
          </cell>
          <cell r="K319" t="str">
            <v>DV1*</v>
          </cell>
          <cell r="L319" t="str">
            <v>S/PYROGEN P/C/D/BONE/M/10</v>
          </cell>
          <cell r="M319">
            <v>1</v>
          </cell>
        </row>
        <row r="320">
          <cell r="A320" t="str">
            <v>1910389</v>
          </cell>
          <cell r="H320">
            <v>43787</v>
          </cell>
          <cell r="I320">
            <v>0.46532407407407406</v>
          </cell>
          <cell r="J320">
            <v>648</v>
          </cell>
          <cell r="K320" t="str">
            <v>MULTI*</v>
          </cell>
          <cell r="L320" t="str">
            <v>SterLumbrTray w/20g/10 RX</v>
          </cell>
          <cell r="M320">
            <v>135</v>
          </cell>
        </row>
        <row r="321">
          <cell r="A321" t="str">
            <v>1920950</v>
          </cell>
          <cell r="H321">
            <v>43802</v>
          </cell>
          <cell r="I321">
            <v>0.47312500000000002</v>
          </cell>
          <cell r="J321">
            <v>652</v>
          </cell>
          <cell r="K321" t="str">
            <v>DV1*</v>
          </cell>
          <cell r="L321" t="str">
            <v>SterBoneBiopsy w/I&amp;J/10RX</v>
          </cell>
          <cell r="M321">
            <v>40</v>
          </cell>
        </row>
        <row r="322">
          <cell r="A322" t="str">
            <v>1920903</v>
          </cell>
          <cell r="H322">
            <v>43776</v>
          </cell>
          <cell r="I322">
            <v>0.48961805555555554</v>
          </cell>
          <cell r="J322">
            <v>3220</v>
          </cell>
          <cell r="K322" t="str">
            <v>DV1*</v>
          </cell>
          <cell r="L322" t="str">
            <v>Ster Minor Pack/80</v>
          </cell>
          <cell r="M322">
            <v>48</v>
          </cell>
        </row>
        <row r="323">
          <cell r="A323" t="str">
            <v>1910405</v>
          </cell>
          <cell r="H323">
            <v>43795</v>
          </cell>
          <cell r="I323">
            <v>0.4916550925925926</v>
          </cell>
          <cell r="J323" t="str">
            <v>1993R2</v>
          </cell>
          <cell r="K323" t="str">
            <v>MULTI*</v>
          </cell>
          <cell r="L323" t="str">
            <v>Ster Austin R/A/M/Ty10cRX</v>
          </cell>
          <cell r="M323">
            <v>54</v>
          </cell>
        </row>
        <row r="324">
          <cell r="A324" t="str">
            <v>1910419R</v>
          </cell>
          <cell r="H324">
            <v>43788</v>
          </cell>
          <cell r="I324">
            <v>0.49283564814814818</v>
          </cell>
          <cell r="J324">
            <v>645</v>
          </cell>
          <cell r="K324" t="str">
            <v>MULTI*</v>
          </cell>
          <cell r="L324" t="str">
            <v>Ster PedLumbarTray10 RX</v>
          </cell>
          <cell r="M324">
            <v>15</v>
          </cell>
        </row>
        <row r="325">
          <cell r="A325" t="str">
            <v>1910420R</v>
          </cell>
          <cell r="H325">
            <v>43788</v>
          </cell>
          <cell r="I325">
            <v>0.52320601851851845</v>
          </cell>
          <cell r="J325">
            <v>645</v>
          </cell>
          <cell r="K325" t="str">
            <v>MULTI*</v>
          </cell>
          <cell r="L325" t="str">
            <v>Ster PedLumbarTray10 RX</v>
          </cell>
          <cell r="M325">
            <v>12</v>
          </cell>
        </row>
        <row r="326">
          <cell r="A326" t="str">
            <v>1920951</v>
          </cell>
          <cell r="H326">
            <v>43802</v>
          </cell>
          <cell r="I326">
            <v>0.53440972222222227</v>
          </cell>
          <cell r="J326">
            <v>653</v>
          </cell>
          <cell r="K326" t="str">
            <v>DV1*</v>
          </cell>
          <cell r="L326" t="str">
            <v>SterBoneBiopsyJStyle10 RX</v>
          </cell>
          <cell r="M326">
            <v>15</v>
          </cell>
        </row>
        <row r="327">
          <cell r="A327" t="str">
            <v>1910425</v>
          </cell>
          <cell r="H327">
            <v>43788</v>
          </cell>
          <cell r="I327">
            <v>0.54957175925925927</v>
          </cell>
          <cell r="J327" t="str">
            <v>651B</v>
          </cell>
          <cell r="K327" t="str">
            <v>MULTI*</v>
          </cell>
          <cell r="L327" t="str">
            <v>Ster Basic Biopsy Ty 10c</v>
          </cell>
          <cell r="M327">
            <v>154</v>
          </cell>
        </row>
        <row r="328">
          <cell r="A328" t="str">
            <v>1910421</v>
          </cell>
          <cell r="H328">
            <v>43795</v>
          </cell>
          <cell r="I328">
            <v>0.61393518518518519</v>
          </cell>
          <cell r="J328" t="str">
            <v>7791R1</v>
          </cell>
          <cell r="K328" t="str">
            <v>MULTI*</v>
          </cell>
          <cell r="L328" t="str">
            <v>Ster Boipsy Tray 10csRX</v>
          </cell>
          <cell r="M328">
            <v>10</v>
          </cell>
        </row>
        <row r="329">
          <cell r="A329" t="str">
            <v>1910391</v>
          </cell>
          <cell r="H329">
            <v>43787</v>
          </cell>
          <cell r="I329">
            <v>0.6708101851851852</v>
          </cell>
          <cell r="J329">
            <v>646</v>
          </cell>
          <cell r="K329" t="str">
            <v>MULTI*</v>
          </cell>
          <cell r="L329" t="str">
            <v>SterPedLumbr w/oMan/10 RX</v>
          </cell>
          <cell r="M329">
            <v>15</v>
          </cell>
        </row>
        <row r="330">
          <cell r="A330" t="str">
            <v>1910426</v>
          </cell>
          <cell r="H330">
            <v>43795</v>
          </cell>
          <cell r="I330">
            <v>0.69206018518518519</v>
          </cell>
          <cell r="J330">
            <v>1992</v>
          </cell>
          <cell r="K330" t="str">
            <v>MULTI*</v>
          </cell>
          <cell r="L330" t="str">
            <v>Ster Austin R/A/L/Ty10cRX</v>
          </cell>
          <cell r="M330">
            <v>10</v>
          </cell>
        </row>
        <row r="331">
          <cell r="A331" t="str">
            <v>1910404</v>
          </cell>
          <cell r="H331">
            <v>43787</v>
          </cell>
          <cell r="I331">
            <v>0.70118055555555558</v>
          </cell>
          <cell r="J331">
            <v>647</v>
          </cell>
          <cell r="K331" t="str">
            <v>MULTI*</v>
          </cell>
          <cell r="L331" t="str">
            <v>SterLumbrTray w/18g/10 RX</v>
          </cell>
          <cell r="M331">
            <v>15</v>
          </cell>
        </row>
        <row r="332">
          <cell r="A332" t="str">
            <v>1910403</v>
          </cell>
          <cell r="H332">
            <v>43787</v>
          </cell>
          <cell r="I332">
            <v>0.72864583333333333</v>
          </cell>
          <cell r="J332">
            <v>649</v>
          </cell>
          <cell r="K332" t="str">
            <v>MULTI*</v>
          </cell>
          <cell r="L332" t="str">
            <v>SterLumbrTray w/22g/10 RX</v>
          </cell>
          <cell r="M332">
            <v>45</v>
          </cell>
        </row>
        <row r="333">
          <cell r="A333" t="str">
            <v>1910427</v>
          </cell>
          <cell r="H333">
            <v>43795</v>
          </cell>
          <cell r="I333">
            <v>0.74800925925925921</v>
          </cell>
          <cell r="J333" t="str">
            <v>1993R2</v>
          </cell>
          <cell r="K333" t="str">
            <v>MULTI*</v>
          </cell>
          <cell r="L333" t="str">
            <v>Ster Austin R/A/M/Ty10cRX</v>
          </cell>
          <cell r="M333">
            <v>27</v>
          </cell>
        </row>
        <row r="334">
          <cell r="A334" t="str">
            <v>1910417</v>
          </cell>
          <cell r="H334">
            <v>43787</v>
          </cell>
          <cell r="I334">
            <v>0.79019675925925925</v>
          </cell>
          <cell r="J334">
            <v>6487</v>
          </cell>
          <cell r="K334" t="str">
            <v>MULTI*</v>
          </cell>
          <cell r="L334" t="str">
            <v>Ster O&amp;M 1111LPT648 10RX</v>
          </cell>
          <cell r="M334">
            <v>45</v>
          </cell>
        </row>
        <row r="335">
          <cell r="A335" t="str">
            <v>1910413</v>
          </cell>
          <cell r="H335">
            <v>43787</v>
          </cell>
          <cell r="I335">
            <v>0.86070601851851858</v>
          </cell>
          <cell r="J335">
            <v>651</v>
          </cell>
          <cell r="K335" t="str">
            <v>MULTI*</v>
          </cell>
          <cell r="L335" t="str">
            <v>SterBasicBiopsyTray/10 RX</v>
          </cell>
          <cell r="M335">
            <v>90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"/>
  <sheetViews>
    <sheetView zoomScaleNormal="100" workbookViewId="0">
      <selection activeCell="P14" sqref="P14"/>
    </sheetView>
  </sheetViews>
  <sheetFormatPr defaultRowHeight="12.75"/>
  <cols>
    <col min="1" max="2" width="4.75" customWidth="1"/>
    <col min="3" max="3" width="1.75" customWidth="1"/>
    <col min="5" max="5" width="10.75" customWidth="1"/>
    <col min="7" max="7" width="9.25" customWidth="1"/>
    <col min="9" max="9" width="9.5" customWidth="1"/>
    <col min="12" max="12" width="10.75" customWidth="1"/>
  </cols>
  <sheetData>
    <row r="1" spans="1:12" ht="27.75">
      <c r="A1" s="312">
        <v>90210</v>
      </c>
      <c r="B1" s="313"/>
      <c r="C1" s="68"/>
      <c r="D1" s="69"/>
      <c r="E1" s="70" t="s">
        <v>37</v>
      </c>
      <c r="F1" s="69"/>
      <c r="G1" s="69"/>
      <c r="H1" s="227" t="s">
        <v>4</v>
      </c>
      <c r="I1" s="314" t="s">
        <v>249</v>
      </c>
      <c r="J1" s="314"/>
      <c r="K1" s="69"/>
      <c r="L1" s="69"/>
    </row>
    <row r="2" spans="1:12">
      <c r="A2" s="312"/>
      <c r="B2" s="313"/>
      <c r="C2" s="68"/>
      <c r="D2" s="69"/>
      <c r="E2" s="69"/>
      <c r="F2" s="69"/>
      <c r="G2" s="69"/>
      <c r="H2" s="69"/>
      <c r="I2" s="69"/>
      <c r="J2" s="69"/>
      <c r="K2" s="69"/>
      <c r="L2" s="69"/>
    </row>
    <row r="3" spans="1:12" ht="22.5">
      <c r="A3" s="312"/>
      <c r="B3" s="313"/>
      <c r="C3" s="68"/>
      <c r="D3" s="315" t="s">
        <v>38</v>
      </c>
      <c r="E3" s="315"/>
      <c r="F3" s="315"/>
      <c r="G3" s="315"/>
      <c r="H3" s="315"/>
      <c r="I3" s="315"/>
      <c r="J3" s="315"/>
      <c r="K3" s="315"/>
      <c r="L3" s="315"/>
    </row>
    <row r="4" spans="1:12">
      <c r="A4" s="312"/>
      <c r="B4" s="313"/>
      <c r="C4" s="68"/>
      <c r="D4" s="69"/>
      <c r="E4" s="69"/>
      <c r="F4" s="69"/>
      <c r="G4" s="69"/>
      <c r="H4" s="69"/>
      <c r="I4" s="69"/>
      <c r="J4" s="69"/>
      <c r="K4" s="69"/>
      <c r="L4" s="69"/>
    </row>
    <row r="5" spans="1:12" ht="18.75">
      <c r="A5" s="312"/>
      <c r="B5" s="313"/>
      <c r="C5" s="68"/>
      <c r="D5" s="71" t="s">
        <v>39</v>
      </c>
      <c r="E5" s="69"/>
      <c r="F5" s="72" t="s">
        <v>40</v>
      </c>
      <c r="G5" s="69"/>
      <c r="H5" s="69"/>
      <c r="I5" s="69"/>
      <c r="J5" s="69"/>
      <c r="K5" s="69"/>
      <c r="L5" s="69"/>
    </row>
    <row r="6" spans="1:12" ht="16.149999999999999" customHeight="1">
      <c r="A6" s="312"/>
      <c r="B6" s="313"/>
      <c r="C6" s="68"/>
      <c r="D6" s="72"/>
      <c r="E6" s="69"/>
      <c r="F6" s="69"/>
      <c r="G6" s="69"/>
      <c r="H6" s="69"/>
      <c r="I6" s="69"/>
      <c r="J6" s="69"/>
      <c r="K6" s="69"/>
      <c r="L6" s="69"/>
    </row>
    <row r="7" spans="1:12" ht="18" customHeight="1">
      <c r="A7" s="312"/>
      <c r="B7" s="313"/>
      <c r="C7" s="68"/>
      <c r="D7" s="71" t="s">
        <v>41</v>
      </c>
      <c r="E7" s="69"/>
      <c r="F7" s="72" t="s">
        <v>42</v>
      </c>
      <c r="G7" s="69"/>
      <c r="H7" s="69"/>
      <c r="I7" s="69"/>
      <c r="J7" s="69"/>
      <c r="K7" s="69"/>
      <c r="L7" s="69"/>
    </row>
    <row r="8" spans="1:12" ht="16.149999999999999" customHeight="1">
      <c r="A8" s="312"/>
      <c r="B8" s="313"/>
      <c r="C8" s="68"/>
      <c r="D8" s="72"/>
      <c r="E8" s="69"/>
      <c r="F8" s="69"/>
      <c r="G8" s="69"/>
      <c r="H8" s="69"/>
      <c r="I8" s="69"/>
      <c r="J8" s="69"/>
      <c r="K8" s="69"/>
      <c r="L8" s="69"/>
    </row>
    <row r="9" spans="1:12" ht="18.75">
      <c r="A9" s="312"/>
      <c r="B9" s="313"/>
      <c r="C9" s="68"/>
      <c r="D9" s="71" t="s">
        <v>43</v>
      </c>
      <c r="E9" s="69"/>
      <c r="F9" s="72" t="s">
        <v>44</v>
      </c>
      <c r="G9" s="69"/>
      <c r="H9" s="69"/>
      <c r="I9" s="69"/>
      <c r="J9" s="69"/>
      <c r="K9" s="69"/>
      <c r="L9" s="69"/>
    </row>
    <row r="10" spans="1:12" ht="16.149999999999999" customHeight="1">
      <c r="A10" s="316" t="s">
        <v>45</v>
      </c>
      <c r="B10" s="316"/>
      <c r="C10" s="316"/>
      <c r="D10" s="71"/>
      <c r="E10" s="69"/>
      <c r="F10" s="72"/>
      <c r="G10" s="69"/>
      <c r="H10" s="69"/>
      <c r="I10" s="69"/>
      <c r="J10" s="69"/>
      <c r="K10" s="69"/>
      <c r="L10" s="69"/>
    </row>
    <row r="11" spans="1:12" ht="18.75">
      <c r="A11" s="316"/>
      <c r="B11" s="316"/>
      <c r="C11" s="316"/>
      <c r="D11" s="71" t="s">
        <v>46</v>
      </c>
      <c r="E11" s="69"/>
      <c r="F11" s="72" t="s">
        <v>47</v>
      </c>
      <c r="G11" s="69"/>
      <c r="H11" s="69"/>
      <c r="I11" s="69"/>
      <c r="J11" s="69"/>
      <c r="K11" s="69"/>
      <c r="L11" s="69"/>
    </row>
    <row r="12" spans="1:12" ht="16.149999999999999" customHeight="1">
      <c r="A12" s="316"/>
      <c r="B12" s="316"/>
      <c r="C12" s="316"/>
      <c r="D12" s="71"/>
      <c r="E12" s="69"/>
      <c r="F12" s="72"/>
      <c r="G12" s="69"/>
      <c r="H12" s="69"/>
      <c r="I12" s="69"/>
      <c r="J12" s="69"/>
      <c r="K12" s="69"/>
      <c r="L12" s="69"/>
    </row>
    <row r="13" spans="1:12" ht="18.75">
      <c r="A13" s="316"/>
      <c r="B13" s="316"/>
      <c r="C13" s="316"/>
      <c r="D13" s="71" t="s">
        <v>48</v>
      </c>
      <c r="E13" s="69"/>
      <c r="F13" s="72" t="s">
        <v>49</v>
      </c>
      <c r="G13" s="69"/>
      <c r="H13" s="69"/>
      <c r="I13" s="69"/>
      <c r="J13" s="69"/>
      <c r="K13" s="69"/>
      <c r="L13" s="69"/>
    </row>
    <row r="14" spans="1:12">
      <c r="A14" s="316"/>
      <c r="B14" s="316"/>
      <c r="C14" s="316"/>
      <c r="D14" s="69"/>
      <c r="E14" s="69"/>
      <c r="F14" s="69"/>
      <c r="G14" s="69"/>
      <c r="H14" s="69"/>
      <c r="I14" s="69"/>
      <c r="J14" s="69"/>
      <c r="K14" s="69"/>
      <c r="L14" s="69"/>
    </row>
    <row r="15" spans="1:12" ht="22.5">
      <c r="A15" s="316"/>
      <c r="B15" s="316"/>
      <c r="C15" s="316"/>
      <c r="D15" s="315" t="s">
        <v>50</v>
      </c>
      <c r="E15" s="315"/>
      <c r="F15" s="315"/>
      <c r="G15" s="315"/>
      <c r="H15" s="315"/>
      <c r="I15" s="315"/>
      <c r="J15" s="315"/>
      <c r="K15" s="315"/>
      <c r="L15" s="315"/>
    </row>
    <row r="16" spans="1:12">
      <c r="A16" s="316"/>
      <c r="B16" s="316"/>
      <c r="C16" s="316"/>
      <c r="D16" s="69"/>
      <c r="E16" s="69"/>
      <c r="F16" s="69"/>
      <c r="G16" s="69"/>
      <c r="H16" s="69"/>
      <c r="I16" s="69"/>
      <c r="J16" s="69"/>
      <c r="K16" s="69"/>
      <c r="L16" s="69"/>
    </row>
    <row r="17" spans="1:12" ht="20.25">
      <c r="A17" s="316"/>
      <c r="B17" s="316"/>
      <c r="C17" s="316"/>
      <c r="D17" s="73" t="s">
        <v>51</v>
      </c>
      <c r="E17" s="69"/>
      <c r="F17" s="69"/>
      <c r="G17" s="69"/>
      <c r="H17" s="69"/>
      <c r="I17" s="73" t="s">
        <v>52</v>
      </c>
      <c r="J17" s="69"/>
      <c r="K17" s="69"/>
      <c r="L17" s="69"/>
    </row>
    <row r="18" spans="1:12" ht="15.75">
      <c r="A18" s="316"/>
      <c r="B18" s="316"/>
      <c r="C18" s="316"/>
      <c r="D18" s="74" t="s">
        <v>53</v>
      </c>
      <c r="E18" s="69"/>
      <c r="F18" s="69"/>
      <c r="G18" s="69"/>
      <c r="H18" s="69"/>
      <c r="I18" s="74" t="s">
        <v>54</v>
      </c>
      <c r="J18" s="69"/>
      <c r="K18" s="69"/>
      <c r="L18" s="69"/>
    </row>
    <row r="19" spans="1:12" ht="15.75">
      <c r="A19" s="316"/>
      <c r="B19" s="316"/>
      <c r="C19" s="316"/>
      <c r="D19" s="74" t="s">
        <v>55</v>
      </c>
      <c r="E19" s="69"/>
      <c r="F19" s="69"/>
      <c r="G19" s="69"/>
      <c r="H19" s="69"/>
      <c r="I19" s="74" t="s">
        <v>56</v>
      </c>
      <c r="J19" s="69"/>
      <c r="K19" s="69"/>
      <c r="L19" s="69"/>
    </row>
    <row r="20" spans="1:12" ht="15.75">
      <c r="A20" s="316"/>
      <c r="B20" s="316"/>
      <c r="C20" s="316"/>
      <c r="D20" s="74" t="s">
        <v>57</v>
      </c>
      <c r="E20" s="69"/>
      <c r="F20" s="69"/>
      <c r="G20" s="69"/>
      <c r="H20" s="69"/>
      <c r="I20" s="74" t="s">
        <v>57</v>
      </c>
      <c r="J20" s="69"/>
      <c r="K20" s="69"/>
      <c r="L20" s="69"/>
    </row>
    <row r="21" spans="1:12" ht="15.75">
      <c r="A21" s="316"/>
      <c r="B21" s="316"/>
      <c r="C21" s="316"/>
      <c r="D21" s="74" t="s">
        <v>58</v>
      </c>
      <c r="E21" s="74" t="s">
        <v>59</v>
      </c>
      <c r="F21" s="69"/>
      <c r="G21" s="69"/>
      <c r="H21" s="69"/>
      <c r="I21" s="74" t="s">
        <v>58</v>
      </c>
      <c r="J21" s="74" t="s">
        <v>60</v>
      </c>
      <c r="K21" s="69"/>
      <c r="L21" s="69"/>
    </row>
    <row r="22" spans="1:12" ht="15.75">
      <c r="A22" s="75"/>
      <c r="B22" s="75"/>
      <c r="C22" s="76"/>
      <c r="D22" s="74"/>
      <c r="E22" s="74"/>
      <c r="F22" s="69"/>
      <c r="G22" s="69"/>
      <c r="H22" s="69"/>
      <c r="I22" s="74"/>
      <c r="J22" s="74"/>
      <c r="K22" s="69"/>
      <c r="L22" s="69"/>
    </row>
    <row r="23" spans="1:12">
      <c r="A23" s="75"/>
      <c r="B23" s="75"/>
      <c r="C23" s="76"/>
      <c r="D23" s="69"/>
      <c r="E23" s="69"/>
      <c r="F23" s="69"/>
      <c r="G23" s="69"/>
      <c r="H23" s="69"/>
      <c r="I23" s="69"/>
      <c r="J23" s="69"/>
      <c r="K23" s="69"/>
      <c r="L23" s="69"/>
    </row>
    <row r="24" spans="1:12" ht="15.75">
      <c r="A24" s="77"/>
      <c r="B24" s="75"/>
      <c r="C24" s="76"/>
      <c r="D24" s="74" t="s">
        <v>61</v>
      </c>
      <c r="E24" s="74" t="s">
        <v>62</v>
      </c>
      <c r="F24" s="69"/>
      <c r="G24" s="69"/>
      <c r="H24" s="69"/>
      <c r="I24" s="69" t="s">
        <v>63</v>
      </c>
      <c r="J24" s="78"/>
      <c r="K24" s="78"/>
      <c r="L24" s="69"/>
    </row>
    <row r="25" spans="1:12" ht="15.75">
      <c r="A25" s="75"/>
      <c r="B25" s="75"/>
      <c r="C25" s="76"/>
      <c r="D25" s="74" t="s">
        <v>53</v>
      </c>
      <c r="E25" s="69"/>
      <c r="F25" s="69"/>
      <c r="G25" s="69"/>
      <c r="H25" s="69"/>
      <c r="I25" s="69"/>
      <c r="J25" s="69"/>
      <c r="K25" s="69"/>
      <c r="L25" s="69"/>
    </row>
    <row r="26" spans="1:12" ht="15.75">
      <c r="A26" s="75"/>
      <c r="B26" s="75"/>
      <c r="C26" s="76"/>
      <c r="D26" s="74" t="s">
        <v>64</v>
      </c>
      <c r="E26" s="74"/>
      <c r="F26" s="74"/>
      <c r="G26" s="79" t="s">
        <v>32</v>
      </c>
      <c r="H26" s="74"/>
      <c r="I26" s="317" t="s">
        <v>65</v>
      </c>
      <c r="J26" s="317"/>
      <c r="K26" s="74"/>
      <c r="L26" s="79" t="s">
        <v>32</v>
      </c>
    </row>
    <row r="27" spans="1:12">
      <c r="A27" s="75"/>
      <c r="B27" s="75"/>
      <c r="C27" s="76"/>
      <c r="D27" s="318"/>
      <c r="E27" s="318"/>
      <c r="F27" s="69"/>
      <c r="G27" s="80"/>
      <c r="H27" s="69"/>
      <c r="I27" s="318"/>
      <c r="J27" s="318"/>
      <c r="K27" s="69"/>
      <c r="L27" s="81"/>
    </row>
    <row r="28" spans="1:12">
      <c r="A28" s="75"/>
      <c r="B28" s="75"/>
      <c r="C28" s="76"/>
      <c r="D28" s="82"/>
      <c r="E28" s="82"/>
      <c r="F28" s="69"/>
      <c r="G28" s="69"/>
      <c r="H28" s="69"/>
      <c r="I28" s="69"/>
      <c r="J28" s="69"/>
      <c r="K28" s="69"/>
      <c r="L28" s="69"/>
    </row>
    <row r="29" spans="1:12">
      <c r="A29" s="75"/>
      <c r="B29" s="75"/>
      <c r="C29" s="76"/>
      <c r="D29" s="69" t="s">
        <v>66</v>
      </c>
      <c r="E29" s="69"/>
      <c r="F29" s="319"/>
      <c r="G29" s="319"/>
      <c r="H29" s="69"/>
      <c r="I29" s="69" t="s">
        <v>67</v>
      </c>
      <c r="J29" s="69"/>
      <c r="K29" s="319"/>
      <c r="L29" s="319"/>
    </row>
    <row r="30" spans="1:12">
      <c r="A30" s="75"/>
      <c r="B30" s="75"/>
      <c r="C30" s="76"/>
      <c r="D30" s="69"/>
      <c r="E30" s="69"/>
      <c r="F30" s="82"/>
      <c r="G30" s="82"/>
      <c r="H30" s="69"/>
      <c r="I30" s="69"/>
      <c r="J30" s="69"/>
      <c r="K30" s="82"/>
      <c r="L30" s="82"/>
    </row>
    <row r="31" spans="1:12" ht="22.5">
      <c r="A31" s="75"/>
      <c r="B31" s="75"/>
      <c r="C31" s="76"/>
      <c r="D31" s="83"/>
      <c r="E31" s="72" t="s">
        <v>68</v>
      </c>
      <c r="F31" s="82"/>
      <c r="G31" s="82"/>
      <c r="H31" s="69"/>
      <c r="I31" s="69"/>
      <c r="J31" s="69"/>
      <c r="K31" s="82"/>
      <c r="L31" s="82"/>
    </row>
    <row r="32" spans="1:12" ht="22.5">
      <c r="A32" s="75"/>
      <c r="B32" s="75"/>
      <c r="C32" s="76"/>
      <c r="D32" s="315" t="s">
        <v>69</v>
      </c>
      <c r="E32" s="315"/>
      <c r="F32" s="315"/>
      <c r="G32" s="315"/>
      <c r="H32" s="315"/>
      <c r="I32" s="315"/>
      <c r="J32" s="315"/>
      <c r="K32" s="315"/>
      <c r="L32" s="315"/>
    </row>
    <row r="33" spans="1:12">
      <c r="A33" s="75"/>
      <c r="B33" s="75"/>
      <c r="C33" s="76"/>
      <c r="D33" s="69"/>
      <c r="E33" s="69"/>
      <c r="F33" s="69"/>
      <c r="G33" s="69"/>
      <c r="H33" s="69"/>
      <c r="I33" s="69"/>
      <c r="J33" s="69"/>
      <c r="K33" s="69"/>
      <c r="L33" s="69"/>
    </row>
    <row r="34" spans="1:12" ht="15.75">
      <c r="A34" s="75"/>
      <c r="B34" s="75"/>
      <c r="C34" s="76"/>
      <c r="D34" s="84" t="s">
        <v>70</v>
      </c>
      <c r="E34" s="84" t="s">
        <v>71</v>
      </c>
      <c r="F34" s="309" t="s">
        <v>72</v>
      </c>
      <c r="G34" s="309"/>
      <c r="H34" s="309"/>
      <c r="I34" s="309"/>
      <c r="J34" s="310" t="s">
        <v>73</v>
      </c>
      <c r="K34" s="311"/>
      <c r="L34" s="84" t="s">
        <v>74</v>
      </c>
    </row>
    <row r="35" spans="1:12" ht="28.9" customHeight="1">
      <c r="A35" s="75"/>
      <c r="B35" s="75"/>
      <c r="C35" s="76"/>
      <c r="D35" s="85"/>
      <c r="E35" s="85"/>
      <c r="F35" s="320"/>
      <c r="G35" s="320"/>
      <c r="H35" s="320"/>
      <c r="I35" s="320"/>
      <c r="J35" s="321"/>
      <c r="K35" s="322"/>
      <c r="L35" s="85"/>
    </row>
    <row r="36" spans="1:12" ht="28.9" customHeight="1">
      <c r="A36" s="75"/>
      <c r="B36" s="75"/>
      <c r="C36" s="76"/>
      <c r="D36" s="85"/>
      <c r="E36" s="85"/>
      <c r="F36" s="320"/>
      <c r="G36" s="320"/>
      <c r="H36" s="320"/>
      <c r="I36" s="320"/>
      <c r="J36" s="321"/>
      <c r="K36" s="322"/>
      <c r="L36" s="85"/>
    </row>
    <row r="37" spans="1:12" ht="28.9" customHeight="1">
      <c r="A37" s="75"/>
      <c r="B37" s="75"/>
      <c r="C37" s="76"/>
      <c r="D37" s="85"/>
      <c r="E37" s="85"/>
      <c r="F37" s="320"/>
      <c r="G37" s="320"/>
      <c r="H37" s="320"/>
      <c r="I37" s="320"/>
      <c r="J37" s="321"/>
      <c r="K37" s="322"/>
      <c r="L37" s="85"/>
    </row>
    <row r="38" spans="1:12" ht="28.9" customHeight="1">
      <c r="A38" s="75"/>
      <c r="B38" s="75"/>
      <c r="C38" s="76"/>
      <c r="D38" s="85"/>
      <c r="E38" s="85"/>
      <c r="F38" s="320"/>
      <c r="G38" s="320"/>
      <c r="H38" s="320"/>
      <c r="I38" s="320"/>
      <c r="J38" s="321"/>
      <c r="K38" s="322"/>
      <c r="L38" s="85"/>
    </row>
    <row r="39" spans="1:12" ht="28.9" customHeight="1">
      <c r="A39" s="75"/>
      <c r="B39" s="75"/>
      <c r="C39" s="76"/>
      <c r="D39" s="85"/>
      <c r="E39" s="85"/>
      <c r="F39" s="320"/>
      <c r="G39" s="320"/>
      <c r="H39" s="320"/>
      <c r="I39" s="320"/>
      <c r="J39" s="321"/>
      <c r="K39" s="322"/>
      <c r="L39" s="85"/>
    </row>
    <row r="40" spans="1:12" ht="28.9" customHeight="1">
      <c r="A40" s="75"/>
      <c r="B40" s="75"/>
      <c r="C40" s="76"/>
      <c r="D40" s="85"/>
      <c r="E40" s="85"/>
      <c r="F40" s="320"/>
      <c r="G40" s="320"/>
      <c r="H40" s="320"/>
      <c r="I40" s="320"/>
      <c r="J40" s="321"/>
      <c r="K40" s="322"/>
      <c r="L40" s="85"/>
    </row>
    <row r="41" spans="1:12" ht="12" customHeight="1">
      <c r="A41" s="77"/>
      <c r="B41" s="77"/>
      <c r="C41" s="77"/>
      <c r="D41" s="69"/>
      <c r="E41" s="69"/>
      <c r="F41" s="69"/>
      <c r="G41" s="69"/>
      <c r="H41" s="69"/>
      <c r="I41" s="69"/>
      <c r="J41" s="69"/>
      <c r="K41" s="69"/>
      <c r="L41" s="69"/>
    </row>
    <row r="42" spans="1:12" ht="15.75">
      <c r="A42" s="77"/>
      <c r="B42" s="77"/>
      <c r="C42" s="77"/>
      <c r="D42" s="86" t="s">
        <v>75</v>
      </c>
      <c r="E42" s="69"/>
      <c r="F42" s="69"/>
      <c r="G42" s="69"/>
      <c r="H42" s="69"/>
      <c r="I42" s="69"/>
      <c r="J42" s="69"/>
      <c r="K42" s="69"/>
      <c r="L42" s="69"/>
    </row>
    <row r="43" spans="1:12" ht="13.15" customHeight="1">
      <c r="A43" s="77"/>
      <c r="B43" s="77"/>
      <c r="C43" s="77"/>
      <c r="D43" s="69" t="s">
        <v>76</v>
      </c>
      <c r="E43" s="69"/>
      <c r="F43" s="69"/>
      <c r="G43" s="69"/>
      <c r="H43" s="69"/>
      <c r="I43" s="69"/>
      <c r="J43" s="69"/>
      <c r="K43" s="69"/>
      <c r="L43" s="69"/>
    </row>
    <row r="44" spans="1:12" ht="10.15" customHeight="1">
      <c r="A44" s="77"/>
      <c r="B44" s="77"/>
      <c r="C44" s="77"/>
      <c r="D44" s="69"/>
      <c r="E44" s="69"/>
      <c r="F44" s="69"/>
      <c r="G44" s="69"/>
      <c r="H44" s="69"/>
      <c r="I44" s="69"/>
      <c r="J44" s="69"/>
      <c r="K44" s="69"/>
      <c r="L44" s="69"/>
    </row>
    <row r="45" spans="1:12">
      <c r="A45" s="77"/>
      <c r="B45" s="77"/>
      <c r="C45" s="77"/>
      <c r="D45" s="87" t="s">
        <v>77</v>
      </c>
      <c r="E45" s="69"/>
      <c r="F45" s="69"/>
      <c r="G45" s="69"/>
      <c r="H45" s="69"/>
      <c r="I45" s="69"/>
      <c r="J45" s="69"/>
      <c r="K45" s="87" t="s">
        <v>157</v>
      </c>
      <c r="L45" s="69"/>
    </row>
  </sheetData>
  <mergeCells count="25">
    <mergeCell ref="F38:I38"/>
    <mergeCell ref="J38:K38"/>
    <mergeCell ref="F39:I39"/>
    <mergeCell ref="J39:K39"/>
    <mergeCell ref="F40:I40"/>
    <mergeCell ref="J40:K40"/>
    <mergeCell ref="F35:I35"/>
    <mergeCell ref="J35:K35"/>
    <mergeCell ref="F36:I36"/>
    <mergeCell ref="J36:K36"/>
    <mergeCell ref="F37:I37"/>
    <mergeCell ref="J37:K37"/>
    <mergeCell ref="F34:I34"/>
    <mergeCell ref="J34:K34"/>
    <mergeCell ref="A1:B9"/>
    <mergeCell ref="I1:J1"/>
    <mergeCell ref="D3:L3"/>
    <mergeCell ref="A10:C21"/>
    <mergeCell ref="D15:L15"/>
    <mergeCell ref="I26:J26"/>
    <mergeCell ref="D27:E27"/>
    <mergeCell ref="I27:J27"/>
    <mergeCell ref="F29:G29"/>
    <mergeCell ref="K29:L29"/>
    <mergeCell ref="D32:L32"/>
  </mergeCells>
  <printOptions horizontalCentered="1"/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4</xdr:col>
                    <xdr:colOff>419100</xdr:colOff>
                    <xdr:row>3</xdr:row>
                    <xdr:rowOff>152400</xdr:rowOff>
                  </from>
                  <to>
                    <xdr:col>4</xdr:col>
                    <xdr:colOff>723900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419100</xdr:colOff>
                    <xdr:row>5</xdr:row>
                    <xdr:rowOff>180975</xdr:rowOff>
                  </from>
                  <to>
                    <xdr:col>4</xdr:col>
                    <xdr:colOff>723900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409575</xdr:colOff>
                    <xdr:row>7</xdr:row>
                    <xdr:rowOff>171450</xdr:rowOff>
                  </from>
                  <to>
                    <xdr:col>4</xdr:col>
                    <xdr:colOff>714375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4</xdr:col>
                    <xdr:colOff>419100</xdr:colOff>
                    <xdr:row>9</xdr:row>
                    <xdr:rowOff>171450</xdr:rowOff>
                  </from>
                  <to>
                    <xdr:col>4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19050</xdr:rowOff>
                  </from>
                  <to>
                    <xdr:col>4</xdr:col>
                    <xdr:colOff>47625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4</xdr:col>
                    <xdr:colOff>419100</xdr:colOff>
                    <xdr:row>11</xdr:row>
                    <xdr:rowOff>171450</xdr:rowOff>
                  </from>
                  <to>
                    <xdr:col>4</xdr:col>
                    <xdr:colOff>723900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68"/>
  <sheetViews>
    <sheetView tabSelected="1" zoomScale="75" zoomScaleNormal="75" zoomScaleSheetLayoutView="50" workbookViewId="0">
      <selection activeCell="B12" sqref="B12"/>
    </sheetView>
  </sheetViews>
  <sheetFormatPr defaultColWidth="12" defaultRowHeight="14.25"/>
  <cols>
    <col min="1" max="1" width="23" style="40" customWidth="1"/>
    <col min="2" max="3" width="15.875" style="40" customWidth="1"/>
    <col min="4" max="4" width="16.25" style="40" customWidth="1"/>
    <col min="5" max="13" width="15.875" style="40" customWidth="1"/>
    <col min="14" max="256" width="12" style="40"/>
    <col min="257" max="257" width="29.875" style="40" customWidth="1"/>
    <col min="258" max="269" width="15.875" style="40" customWidth="1"/>
    <col min="270" max="512" width="12" style="40"/>
    <col min="513" max="513" width="29.875" style="40" customWidth="1"/>
    <col min="514" max="525" width="15.875" style="40" customWidth="1"/>
    <col min="526" max="768" width="12" style="40"/>
    <col min="769" max="769" width="29.875" style="40" customWidth="1"/>
    <col min="770" max="781" width="15.875" style="40" customWidth="1"/>
    <col min="782" max="1024" width="12" style="40"/>
    <col min="1025" max="1025" width="29.875" style="40" customWidth="1"/>
    <col min="1026" max="1037" width="15.875" style="40" customWidth="1"/>
    <col min="1038" max="1280" width="12" style="40"/>
    <col min="1281" max="1281" width="29.875" style="40" customWidth="1"/>
    <col min="1282" max="1293" width="15.875" style="40" customWidth="1"/>
    <col min="1294" max="1536" width="12" style="40"/>
    <col min="1537" max="1537" width="29.875" style="40" customWidth="1"/>
    <col min="1538" max="1549" width="15.875" style="40" customWidth="1"/>
    <col min="1550" max="1792" width="12" style="40"/>
    <col min="1793" max="1793" width="29.875" style="40" customWidth="1"/>
    <col min="1794" max="1805" width="15.875" style="40" customWidth="1"/>
    <col min="1806" max="2048" width="12" style="40"/>
    <col min="2049" max="2049" width="29.875" style="40" customWidth="1"/>
    <col min="2050" max="2061" width="15.875" style="40" customWidth="1"/>
    <col min="2062" max="2304" width="12" style="40"/>
    <col min="2305" max="2305" width="29.875" style="40" customWidth="1"/>
    <col min="2306" max="2317" width="15.875" style="40" customWidth="1"/>
    <col min="2318" max="2560" width="12" style="40"/>
    <col min="2561" max="2561" width="29.875" style="40" customWidth="1"/>
    <col min="2562" max="2573" width="15.875" style="40" customWidth="1"/>
    <col min="2574" max="2816" width="12" style="40"/>
    <col min="2817" max="2817" width="29.875" style="40" customWidth="1"/>
    <col min="2818" max="2829" width="15.875" style="40" customWidth="1"/>
    <col min="2830" max="3072" width="12" style="40"/>
    <col min="3073" max="3073" width="29.875" style="40" customWidth="1"/>
    <col min="3074" max="3085" width="15.875" style="40" customWidth="1"/>
    <col min="3086" max="3328" width="12" style="40"/>
    <col min="3329" max="3329" width="29.875" style="40" customWidth="1"/>
    <col min="3330" max="3341" width="15.875" style="40" customWidth="1"/>
    <col min="3342" max="3584" width="12" style="40"/>
    <col min="3585" max="3585" width="29.875" style="40" customWidth="1"/>
    <col min="3586" max="3597" width="15.875" style="40" customWidth="1"/>
    <col min="3598" max="3840" width="12" style="40"/>
    <col min="3841" max="3841" width="29.875" style="40" customWidth="1"/>
    <col min="3842" max="3853" width="15.875" style="40" customWidth="1"/>
    <col min="3854" max="4096" width="12" style="40"/>
    <col min="4097" max="4097" width="29.875" style="40" customWidth="1"/>
    <col min="4098" max="4109" width="15.875" style="40" customWidth="1"/>
    <col min="4110" max="4352" width="12" style="40"/>
    <col min="4353" max="4353" width="29.875" style="40" customWidth="1"/>
    <col min="4354" max="4365" width="15.875" style="40" customWidth="1"/>
    <col min="4366" max="4608" width="12" style="40"/>
    <col min="4609" max="4609" width="29.875" style="40" customWidth="1"/>
    <col min="4610" max="4621" width="15.875" style="40" customWidth="1"/>
    <col min="4622" max="4864" width="12" style="40"/>
    <col min="4865" max="4865" width="29.875" style="40" customWidth="1"/>
    <col min="4866" max="4877" width="15.875" style="40" customWidth="1"/>
    <col min="4878" max="5120" width="12" style="40"/>
    <col min="5121" max="5121" width="29.875" style="40" customWidth="1"/>
    <col min="5122" max="5133" width="15.875" style="40" customWidth="1"/>
    <col min="5134" max="5376" width="12" style="40"/>
    <col min="5377" max="5377" width="29.875" style="40" customWidth="1"/>
    <col min="5378" max="5389" width="15.875" style="40" customWidth="1"/>
    <col min="5390" max="5632" width="12" style="40"/>
    <col min="5633" max="5633" width="29.875" style="40" customWidth="1"/>
    <col min="5634" max="5645" width="15.875" style="40" customWidth="1"/>
    <col min="5646" max="5888" width="12" style="40"/>
    <col min="5889" max="5889" width="29.875" style="40" customWidth="1"/>
    <col min="5890" max="5901" width="15.875" style="40" customWidth="1"/>
    <col min="5902" max="6144" width="12" style="40"/>
    <col min="6145" max="6145" width="29.875" style="40" customWidth="1"/>
    <col min="6146" max="6157" width="15.875" style="40" customWidth="1"/>
    <col min="6158" max="6400" width="12" style="40"/>
    <col min="6401" max="6401" width="29.875" style="40" customWidth="1"/>
    <col min="6402" max="6413" width="15.875" style="40" customWidth="1"/>
    <col min="6414" max="6656" width="12" style="40"/>
    <col min="6657" max="6657" width="29.875" style="40" customWidth="1"/>
    <col min="6658" max="6669" width="15.875" style="40" customWidth="1"/>
    <col min="6670" max="6912" width="12" style="40"/>
    <col min="6913" max="6913" width="29.875" style="40" customWidth="1"/>
    <col min="6914" max="6925" width="15.875" style="40" customWidth="1"/>
    <col min="6926" max="7168" width="12" style="40"/>
    <col min="7169" max="7169" width="29.875" style="40" customWidth="1"/>
    <col min="7170" max="7181" width="15.875" style="40" customWidth="1"/>
    <col min="7182" max="7424" width="12" style="40"/>
    <col min="7425" max="7425" width="29.875" style="40" customWidth="1"/>
    <col min="7426" max="7437" width="15.875" style="40" customWidth="1"/>
    <col min="7438" max="7680" width="12" style="40"/>
    <col min="7681" max="7681" width="29.875" style="40" customWidth="1"/>
    <col min="7682" max="7693" width="15.875" style="40" customWidth="1"/>
    <col min="7694" max="7936" width="12" style="40"/>
    <col min="7937" max="7937" width="29.875" style="40" customWidth="1"/>
    <col min="7938" max="7949" width="15.875" style="40" customWidth="1"/>
    <col min="7950" max="8192" width="12" style="40"/>
    <col min="8193" max="8193" width="29.875" style="40" customWidth="1"/>
    <col min="8194" max="8205" width="15.875" style="40" customWidth="1"/>
    <col min="8206" max="8448" width="12" style="40"/>
    <col min="8449" max="8449" width="29.875" style="40" customWidth="1"/>
    <col min="8450" max="8461" width="15.875" style="40" customWidth="1"/>
    <col min="8462" max="8704" width="12" style="40"/>
    <col min="8705" max="8705" width="29.875" style="40" customWidth="1"/>
    <col min="8706" max="8717" width="15.875" style="40" customWidth="1"/>
    <col min="8718" max="8960" width="12" style="40"/>
    <col min="8961" max="8961" width="29.875" style="40" customWidth="1"/>
    <col min="8962" max="8973" width="15.875" style="40" customWidth="1"/>
    <col min="8974" max="9216" width="12" style="40"/>
    <col min="9217" max="9217" width="29.875" style="40" customWidth="1"/>
    <col min="9218" max="9229" width="15.875" style="40" customWidth="1"/>
    <col min="9230" max="9472" width="12" style="40"/>
    <col min="9473" max="9473" width="29.875" style="40" customWidth="1"/>
    <col min="9474" max="9485" width="15.875" style="40" customWidth="1"/>
    <col min="9486" max="9728" width="12" style="40"/>
    <col min="9729" max="9729" width="29.875" style="40" customWidth="1"/>
    <col min="9730" max="9741" width="15.875" style="40" customWidth="1"/>
    <col min="9742" max="9984" width="12" style="40"/>
    <col min="9985" max="9985" width="29.875" style="40" customWidth="1"/>
    <col min="9986" max="9997" width="15.875" style="40" customWidth="1"/>
    <col min="9998" max="10240" width="12" style="40"/>
    <col min="10241" max="10241" width="29.875" style="40" customWidth="1"/>
    <col min="10242" max="10253" width="15.875" style="40" customWidth="1"/>
    <col min="10254" max="10496" width="12" style="40"/>
    <col min="10497" max="10497" width="29.875" style="40" customWidth="1"/>
    <col min="10498" max="10509" width="15.875" style="40" customWidth="1"/>
    <col min="10510" max="10752" width="12" style="40"/>
    <col min="10753" max="10753" width="29.875" style="40" customWidth="1"/>
    <col min="10754" max="10765" width="15.875" style="40" customWidth="1"/>
    <col min="10766" max="11008" width="12" style="40"/>
    <col min="11009" max="11009" width="29.875" style="40" customWidth="1"/>
    <col min="11010" max="11021" width="15.875" style="40" customWidth="1"/>
    <col min="11022" max="11264" width="12" style="40"/>
    <col min="11265" max="11265" width="29.875" style="40" customWidth="1"/>
    <col min="11266" max="11277" width="15.875" style="40" customWidth="1"/>
    <col min="11278" max="11520" width="12" style="40"/>
    <col min="11521" max="11521" width="29.875" style="40" customWidth="1"/>
    <col min="11522" max="11533" width="15.875" style="40" customWidth="1"/>
    <col min="11534" max="11776" width="12" style="40"/>
    <col min="11777" max="11777" width="29.875" style="40" customWidth="1"/>
    <col min="11778" max="11789" width="15.875" style="40" customWidth="1"/>
    <col min="11790" max="12032" width="12" style="40"/>
    <col min="12033" max="12033" width="29.875" style="40" customWidth="1"/>
    <col min="12034" max="12045" width="15.875" style="40" customWidth="1"/>
    <col min="12046" max="12288" width="12" style="40"/>
    <col min="12289" max="12289" width="29.875" style="40" customWidth="1"/>
    <col min="12290" max="12301" width="15.875" style="40" customWidth="1"/>
    <col min="12302" max="12544" width="12" style="40"/>
    <col min="12545" max="12545" width="29.875" style="40" customWidth="1"/>
    <col min="12546" max="12557" width="15.875" style="40" customWidth="1"/>
    <col min="12558" max="12800" width="12" style="40"/>
    <col min="12801" max="12801" width="29.875" style="40" customWidth="1"/>
    <col min="12802" max="12813" width="15.875" style="40" customWidth="1"/>
    <col min="12814" max="13056" width="12" style="40"/>
    <col min="13057" max="13057" width="29.875" style="40" customWidth="1"/>
    <col min="13058" max="13069" width="15.875" style="40" customWidth="1"/>
    <col min="13070" max="13312" width="12" style="40"/>
    <col min="13313" max="13313" width="29.875" style="40" customWidth="1"/>
    <col min="13314" max="13325" width="15.875" style="40" customWidth="1"/>
    <col min="13326" max="13568" width="12" style="40"/>
    <col min="13569" max="13569" width="29.875" style="40" customWidth="1"/>
    <col min="13570" max="13581" width="15.875" style="40" customWidth="1"/>
    <col min="13582" max="13824" width="12" style="40"/>
    <col min="13825" max="13825" width="29.875" style="40" customWidth="1"/>
    <col min="13826" max="13837" width="15.875" style="40" customWidth="1"/>
    <col min="13838" max="14080" width="12" style="40"/>
    <col min="14081" max="14081" width="29.875" style="40" customWidth="1"/>
    <col min="14082" max="14093" width="15.875" style="40" customWidth="1"/>
    <col min="14094" max="14336" width="12" style="40"/>
    <col min="14337" max="14337" width="29.875" style="40" customWidth="1"/>
    <col min="14338" max="14349" width="15.875" style="40" customWidth="1"/>
    <col min="14350" max="14592" width="12" style="40"/>
    <col min="14593" max="14593" width="29.875" style="40" customWidth="1"/>
    <col min="14594" max="14605" width="15.875" style="40" customWidth="1"/>
    <col min="14606" max="14848" width="12" style="40"/>
    <col min="14849" max="14849" width="29.875" style="40" customWidth="1"/>
    <col min="14850" max="14861" width="15.875" style="40" customWidth="1"/>
    <col min="14862" max="15104" width="12" style="40"/>
    <col min="15105" max="15105" width="29.875" style="40" customWidth="1"/>
    <col min="15106" max="15117" width="15.875" style="40" customWidth="1"/>
    <col min="15118" max="15360" width="12" style="40"/>
    <col min="15361" max="15361" width="29.875" style="40" customWidth="1"/>
    <col min="15362" max="15373" width="15.875" style="40" customWidth="1"/>
    <col min="15374" max="15616" width="12" style="40"/>
    <col min="15617" max="15617" width="29.875" style="40" customWidth="1"/>
    <col min="15618" max="15629" width="15.875" style="40" customWidth="1"/>
    <col min="15630" max="15872" width="12" style="40"/>
    <col min="15873" max="15873" width="29.875" style="40" customWidth="1"/>
    <col min="15874" max="15885" width="15.875" style="40" customWidth="1"/>
    <col min="15886" max="16128" width="12" style="40"/>
    <col min="16129" max="16129" width="29.875" style="40" customWidth="1"/>
    <col min="16130" max="16141" width="15.875" style="40" customWidth="1"/>
    <col min="16142" max="16384" width="12" style="40"/>
  </cols>
  <sheetData>
    <row r="1" spans="1:18" ht="39.75" customHeight="1">
      <c r="A1" s="39" t="s">
        <v>20</v>
      </c>
      <c r="C1" s="333" t="s">
        <v>159</v>
      </c>
      <c r="D1" s="334"/>
      <c r="E1" s="334"/>
      <c r="F1" s="334"/>
      <c r="G1" s="334"/>
      <c r="H1" s="334"/>
      <c r="I1" s="334"/>
      <c r="J1" s="335" t="s">
        <v>21</v>
      </c>
      <c r="K1" s="335"/>
      <c r="L1" s="335"/>
      <c r="M1" s="335"/>
    </row>
    <row r="2" spans="1:18" ht="9" customHeight="1"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</row>
    <row r="3" spans="1:18">
      <c r="A3" s="40" t="s">
        <v>22</v>
      </c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</row>
    <row r="5" spans="1:18">
      <c r="A5" s="43"/>
    </row>
    <row r="9" spans="1:18" ht="6" customHeight="1"/>
    <row r="10" spans="1:18" ht="5.25" customHeight="1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8" ht="24.95" customHeight="1">
      <c r="A11" s="287" t="s">
        <v>23</v>
      </c>
      <c r="B11" s="207" t="str">
        <f>IF(NOT(ISNA(INDEX(Schedule!$O:$O,MATCH(B12,Schedule!$T:$T,0)))), INDEX(Schedule!$O:$O,MATCH(B12,Schedule!$T:$T,0)), "")</f>
        <v/>
      </c>
      <c r="C11" s="207" t="str">
        <f>IF(NOT(ISNA(INDEX(Schedule!$O:$O,MATCH(C12,Schedule!$T:$T,0)))), INDEX(Schedule!$O:$O,MATCH(C12,Schedule!$T:$T,0)), "")</f>
        <v/>
      </c>
      <c r="D11" s="207" t="str">
        <f>IF(NOT(ISNA(INDEX(Schedule!$O:$O,MATCH(D12,Schedule!$T:$T,0)))), INDEX(Schedule!$O:$O,MATCH(D12,Schedule!$T:$T,0)), "")</f>
        <v/>
      </c>
      <c r="E11" s="207" t="str">
        <f>IF(NOT(ISNA(INDEX(Schedule!$O:$O,MATCH(E12,Schedule!$T:$T,0)))), INDEX(Schedule!$O:$O,MATCH(E12,Schedule!$T:$T,0)), "")</f>
        <v/>
      </c>
      <c r="F11" s="207" t="str">
        <f>IF(NOT(ISNA(INDEX(Schedule!$O:$O,MATCH(F12,Schedule!$T:$T,0)))), INDEX(Schedule!$O:$O,MATCH(F12,Schedule!$T:$T,0)), "")</f>
        <v/>
      </c>
      <c r="G11" s="207" t="str">
        <f>IF(NOT(ISNA(INDEX(Schedule!$O:$O,MATCH(G12,Schedule!$T:$T,0)))), INDEX(Schedule!$O:$O,MATCH(G12,Schedule!$T:$T,0)), "")</f>
        <v/>
      </c>
      <c r="H11" s="207" t="str">
        <f>IF(NOT(ISNA(INDEX(Schedule!$O:$O,MATCH(H12,Schedule!$T:$T,0)))), INDEX(Schedule!$O:$O,MATCH(H12,Schedule!$T:$T,0)), "")</f>
        <v/>
      </c>
      <c r="I11" s="207" t="str">
        <f>IF(NOT(ISNA(INDEX(Schedule!$O:$O,MATCH(I12,Schedule!$T:$T,0)))), INDEX(Schedule!$O:$O,MATCH(I12,Schedule!$T:$T,0)), "")</f>
        <v/>
      </c>
      <c r="J11" s="207" t="str">
        <f>IF(NOT(ISNA(INDEX(Schedule!$O:$O,MATCH(J12,Schedule!$T:$T,0)))), INDEX(Schedule!$O:$O,MATCH(J12,Schedule!$T:$T,0)), "")</f>
        <v/>
      </c>
      <c r="K11" s="207" t="str">
        <f>IF(NOT(ISNA(INDEX(Schedule!$O:$O,MATCH(K12,Schedule!$T:$T,0)))), INDEX(Schedule!$O:$O,MATCH(K12,Schedule!$T:$T,0)), "")</f>
        <v/>
      </c>
      <c r="L11" s="207" t="str">
        <f>IF(NOT(ISNA(INDEX(Schedule!$O:$O,MATCH(L12,Schedule!$T:$T,0)))), INDEX(Schedule!$O:$O,MATCH(L12,Schedule!$T:$T,0)), "")</f>
        <v/>
      </c>
      <c r="M11" s="207" t="str">
        <f>IF(NOT(ISNA(INDEX(Schedule!$O:$O,MATCH(M12,Schedule!$T:$T,0)))), INDEX(Schedule!$O:$O,MATCH(M12,Schedule!$T:$T,0)), "")</f>
        <v/>
      </c>
      <c r="P11" s="323"/>
      <c r="Q11" s="323"/>
      <c r="R11" s="323"/>
    </row>
    <row r="12" spans="1:18" ht="24.95" customHeight="1">
      <c r="A12" s="287" t="s">
        <v>24</v>
      </c>
      <c r="B12" s="305"/>
      <c r="C12" s="305"/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P12" s="323"/>
      <c r="Q12" s="323"/>
      <c r="R12" s="323"/>
    </row>
    <row r="13" spans="1:18" ht="24.95" customHeight="1">
      <c r="A13" s="287" t="s">
        <v>25</v>
      </c>
      <c r="B13" s="208" t="str">
        <f>IF(NOT(ISNA(INDEX(Schedule!$V:$V,MATCH(B12,Schedule!$T:$T,0)))), INDEX(Schedule!$V:$V,MATCH(B12,Schedule!$T:$T,0)), "")</f>
        <v/>
      </c>
      <c r="C13" s="208" t="str">
        <f>IF(NOT(ISNA(INDEX(Schedule!$V:$V,MATCH(C12,Schedule!$T:$T,0)))), INDEX(Schedule!$V:$V,MATCH(C12,Schedule!$T:$T,0)), "")</f>
        <v/>
      </c>
      <c r="D13" s="209" t="str">
        <f>IF(NOT(ISNA(INDEX(Schedule!$V:$V,MATCH(D12,Schedule!$T:$T,0)))), INDEX(Schedule!$V:$V,MATCH(D12,Schedule!$T:$T,0)), "")</f>
        <v/>
      </c>
      <c r="E13" s="209" t="str">
        <f>IF(NOT(ISNA(INDEX(Schedule!$V:$V,MATCH(E12,Schedule!$T:$T,0)))), INDEX(Schedule!$V:$V,MATCH(E12,Schedule!$T:$T,0)), "")</f>
        <v/>
      </c>
      <c r="F13" s="209" t="str">
        <f>IF(NOT(ISNA(INDEX(Schedule!$V:$V,MATCH(F12,Schedule!$T:$T,0)))), INDEX(Schedule!$V:$V,MATCH(F12,Schedule!$T:$T,0)), "")</f>
        <v/>
      </c>
      <c r="G13" s="209" t="str">
        <f>IF(NOT(ISNA(INDEX(Schedule!$V:$V,MATCH(G12,Schedule!$T:$T,0)))), INDEX(Schedule!$V:$V,MATCH(G12,Schedule!$T:$T,0)), "")</f>
        <v/>
      </c>
      <c r="H13" s="209" t="str">
        <f>IF(NOT(ISNA(INDEX(Schedule!$V:$V,MATCH(H12,Schedule!$T:$T,0)))), INDEX(Schedule!$V:$V,MATCH(H12,Schedule!$T:$T,0)), "")</f>
        <v/>
      </c>
      <c r="I13" s="209" t="str">
        <f>IF(NOT(ISNA(INDEX(Schedule!$V:$V,MATCH(I12,Schedule!$T:$T,0)))), INDEX(Schedule!$V:$V,MATCH(I12,Schedule!$T:$T,0)), "")</f>
        <v/>
      </c>
      <c r="J13" s="209" t="str">
        <f>IF(NOT(ISNA(INDEX(Schedule!$V:$V,MATCH(J12,Schedule!$T:$T,0)))), INDEX(Schedule!$V:$V,MATCH(J12,Schedule!$T:$T,0)), "")</f>
        <v/>
      </c>
      <c r="K13" s="209" t="str">
        <f>IF(NOT(ISNA(INDEX(Schedule!$V:$V,MATCH(K12,Schedule!$T:$T,0)))), INDEX(Schedule!$V:$V,MATCH(K12,Schedule!$T:$T,0)), "")</f>
        <v/>
      </c>
      <c r="L13" s="209" t="str">
        <f>IF(NOT(ISNA(INDEX(Schedule!$V:$V,MATCH(L12,Schedule!$T:$T,0)))), INDEX(Schedule!$V:$V,MATCH(L12,Schedule!$T:$T,0)), "")</f>
        <v/>
      </c>
      <c r="M13" s="209" t="str">
        <f>IF(NOT(ISNA(INDEX(Schedule!$V:$V,MATCH(M12,Schedule!$T:$T,0)))), INDEX(Schedule!$V:$V,MATCH(M12,Schedule!$T:$T,0)), "")</f>
        <v/>
      </c>
      <c r="P13" s="323"/>
      <c r="Q13" s="323"/>
      <c r="R13" s="323"/>
    </row>
    <row r="14" spans="1:18" ht="25.5" hidden="1" customHeight="1">
      <c r="A14" s="288"/>
      <c r="B14" s="210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</row>
    <row r="15" spans="1:18" ht="24.95" customHeight="1">
      <c r="A15" s="287" t="s">
        <v>23</v>
      </c>
      <c r="B15" s="207" t="str">
        <f>IF(NOT(ISNA(INDEX(Schedule!$O:$O,MATCH(B16,Schedule!$T:$T,0)))), INDEX(Schedule!$O:$O,MATCH(B16,Schedule!$T:$T,0)), "")</f>
        <v/>
      </c>
      <c r="C15" s="207" t="str">
        <f>IF(NOT(ISNA(INDEX(Schedule!$O:$O,MATCH(C16,Schedule!$T:$T,0)))), INDEX(Schedule!$O:$O,MATCH(C16,Schedule!$T:$T,0)), "")</f>
        <v/>
      </c>
      <c r="D15" s="207" t="str">
        <f>IF(NOT(ISNA(INDEX(Schedule!$O:$O,MATCH(D16,Schedule!$T:$T,0)))), INDEX(Schedule!$O:$O,MATCH(D16,Schedule!$T:$T,0)), "")</f>
        <v/>
      </c>
      <c r="E15" s="207" t="str">
        <f>IF(NOT(ISNA(INDEX(Schedule!$O:$O,MATCH(E16,Schedule!$T:$T,0)))), INDEX(Schedule!$O:$O,MATCH(E16,Schedule!$T:$T,0)), "")</f>
        <v/>
      </c>
      <c r="F15" s="207" t="str">
        <f>IF(NOT(ISNA(INDEX(Schedule!$O:$O,MATCH(F16,Schedule!$T:$T,0)))), INDEX(Schedule!$O:$O,MATCH(F16,Schedule!$T:$T,0)), "")</f>
        <v/>
      </c>
      <c r="G15" s="207" t="str">
        <f>IF(NOT(ISNA(INDEX(Schedule!$O:$O,MATCH(G16,Schedule!$T:$T,0)))), INDEX(Schedule!$O:$O,MATCH(G16,Schedule!$T:$T,0)), "")</f>
        <v/>
      </c>
      <c r="H15" s="207" t="str">
        <f>IF(NOT(ISNA(INDEX(Schedule!$O:$O,MATCH(H16,Schedule!$T:$T,0)))), INDEX(Schedule!$O:$O,MATCH(H16,Schedule!$T:$T,0)), "")</f>
        <v/>
      </c>
      <c r="I15" s="207" t="str">
        <f>IF(NOT(ISNA(INDEX(Schedule!$O:$O,MATCH(I16,Schedule!$T:$T,0)))), INDEX(Schedule!$O:$O,MATCH(I16,Schedule!$T:$T,0)), "")</f>
        <v/>
      </c>
      <c r="J15" s="207" t="str">
        <f>IF(NOT(ISNA(INDEX(Schedule!$O:$O,MATCH(J16,Schedule!$T:$T,0)))), INDEX(Schedule!$O:$O,MATCH(J16,Schedule!$T:$T,0)), "")</f>
        <v/>
      </c>
      <c r="K15" s="207" t="str">
        <f>IF(NOT(ISNA(INDEX(Schedule!$O:$O,MATCH(K16,Schedule!$T:$T,0)))), INDEX(Schedule!$O:$O,MATCH(K16,Schedule!$T:$T,0)), "")</f>
        <v/>
      </c>
      <c r="L15" s="207" t="str">
        <f>IF(NOT(ISNA(INDEX(Schedule!$O:$O,MATCH(L16,Schedule!$T:$T,0)))), INDEX(Schedule!$O:$O,MATCH(L16,Schedule!$T:$T,0)), "")</f>
        <v/>
      </c>
      <c r="M15" s="207" t="str">
        <f>IF(NOT(ISNA(INDEX(Schedule!$O:$O,MATCH(M16,Schedule!$T:$T,0)))), INDEX(Schedule!$O:$O,MATCH(M16,Schedule!$T:$T,0)), "")</f>
        <v/>
      </c>
    </row>
    <row r="16" spans="1:18" ht="24.95" customHeight="1">
      <c r="A16" s="287" t="s">
        <v>24</v>
      </c>
      <c r="B16" s="305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O16" s="46"/>
      <c r="P16" s="199"/>
    </row>
    <row r="17" spans="1:13" ht="24.75" customHeight="1">
      <c r="A17" s="287" t="s">
        <v>25</v>
      </c>
      <c r="B17" s="208" t="str">
        <f>IF(NOT(ISNA(INDEX(Schedule!$V:$V,MATCH(B16,Schedule!$T:$T,0)))), INDEX(Schedule!$V:$V,MATCH(B16,Schedule!$T:$T,0)), "")</f>
        <v/>
      </c>
      <c r="C17" s="208" t="str">
        <f>IF(NOT(ISNA(INDEX(Schedule!$V:$V,MATCH(C16,Schedule!$T:$T,0)))), INDEX(Schedule!$V:$V,MATCH(C16,Schedule!$T:$T,0)), "")</f>
        <v/>
      </c>
      <c r="D17" s="209" t="str">
        <f>IF(NOT(ISNA(INDEX(Schedule!$V:$V,MATCH(D16,Schedule!$T:$T,0)))), INDEX(Schedule!$V:$V,MATCH(D16,Schedule!$T:$T,0)), "")</f>
        <v/>
      </c>
      <c r="E17" s="209" t="str">
        <f>IF(NOT(ISNA(INDEX(Schedule!$V:$V,MATCH(E16,Schedule!$T:$T,0)))), INDEX(Schedule!$V:$V,MATCH(E16,Schedule!$T:$T,0)), "")</f>
        <v/>
      </c>
      <c r="F17" s="209" t="str">
        <f>IF(NOT(ISNA(INDEX(Schedule!$V:$V,MATCH(F16,Schedule!$T:$T,0)))), INDEX(Schedule!$V:$V,MATCH(F16,Schedule!$T:$T,0)), "")</f>
        <v/>
      </c>
      <c r="G17" s="209" t="str">
        <f>IF(NOT(ISNA(INDEX(Schedule!$V:$V,MATCH(G16,Schedule!$T:$T,0)))), INDEX(Schedule!$V:$V,MATCH(G16,Schedule!$T:$T,0)), "")</f>
        <v/>
      </c>
      <c r="H17" s="209" t="str">
        <f>IF(NOT(ISNA(INDEX(Schedule!$V:$V,MATCH(H16,Schedule!$T:$T,0)))), INDEX(Schedule!$V:$V,MATCH(H16,Schedule!$T:$T,0)), "")</f>
        <v/>
      </c>
      <c r="I17" s="209" t="str">
        <f>IF(NOT(ISNA(INDEX(Schedule!$V:$V,MATCH(I16,Schedule!$T:$T,0)))), INDEX(Schedule!$V:$V,MATCH(I16,Schedule!$T:$T,0)), "")</f>
        <v/>
      </c>
      <c r="J17" s="209" t="str">
        <f>IF(NOT(ISNA(INDEX(Schedule!$V:$V,MATCH(J16,Schedule!$T:$T,0)))), INDEX(Schedule!$V:$V,MATCH(J16,Schedule!$T:$T,0)), "")</f>
        <v/>
      </c>
      <c r="K17" s="209" t="str">
        <f>IF(NOT(ISNA(INDEX(Schedule!$V:$V,MATCH(K16,Schedule!$T:$T,0)))), INDEX(Schedule!$V:$V,MATCH(K16,Schedule!$T:$T,0)), "")</f>
        <v/>
      </c>
      <c r="L17" s="209" t="str">
        <f>IF(NOT(ISNA(INDEX(Schedule!$V:$V,MATCH(L16,Schedule!$T:$T,0)))), INDEX(Schedule!$V:$V,MATCH(L16,Schedule!$T:$T,0)), "")</f>
        <v/>
      </c>
      <c r="M17" s="209" t="str">
        <f>IF(NOT(ISNA(INDEX(Schedule!$V:$V,MATCH(M16,Schedule!$T:$T,0)))), INDEX(Schedule!$V:$V,MATCH(M16,Schedule!$T:$T,0)), "")</f>
        <v/>
      </c>
    </row>
    <row r="18" spans="1:13" ht="25.5" hidden="1" customHeight="1">
      <c r="A18" s="288"/>
      <c r="B18" s="210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</row>
    <row r="19" spans="1:13" ht="24.95" customHeight="1">
      <c r="A19" s="287" t="s">
        <v>23</v>
      </c>
      <c r="B19" s="207" t="str">
        <f>IF(NOT(ISNA(INDEX(Schedule!$O:$O,MATCH(B20,Schedule!$T:$T,0)))), INDEX(Schedule!$O:$O,MATCH(B20,Schedule!$T:$T,0)), "")</f>
        <v/>
      </c>
      <c r="C19" s="207" t="str">
        <f>IF(NOT(ISNA(INDEX(Schedule!$O:$O,MATCH(C20,Schedule!$T:$T,0)))), INDEX(Schedule!$O:$O,MATCH(C20,Schedule!$T:$T,0)), "")</f>
        <v/>
      </c>
      <c r="D19" s="207" t="str">
        <f>IF(NOT(ISNA(INDEX(Schedule!$O:$O,MATCH(D20,Schedule!$T:$T,0)))), INDEX(Schedule!$O:$O,MATCH(D20,Schedule!$T:$T,0)), "")</f>
        <v/>
      </c>
      <c r="E19" s="207" t="str">
        <f>IF(NOT(ISNA(INDEX(Schedule!$O:$O,MATCH(E20,Schedule!$T:$T,0)))), INDEX(Schedule!$O:$O,MATCH(E20,Schedule!$T:$T,0)), "")</f>
        <v/>
      </c>
      <c r="F19" s="207" t="str">
        <f>IF(NOT(ISNA(INDEX(Schedule!$O:$O,MATCH(F20,Schedule!$T:$T,0)))), INDEX(Schedule!$O:$O,MATCH(F20,Schedule!$T:$T,0)), "")</f>
        <v/>
      </c>
      <c r="G19" s="207" t="str">
        <f>IF(NOT(ISNA(INDEX(Schedule!$O:$O,MATCH(G20,Schedule!$T:$T,0)))), INDEX(Schedule!$O:$O,MATCH(G20,Schedule!$T:$T,0)), "")</f>
        <v/>
      </c>
      <c r="H19" s="207" t="str">
        <f>IF(NOT(ISNA(INDEX(Schedule!$O:$O,MATCH(H20,Schedule!$T:$T,0)))), INDEX(Schedule!$O:$O,MATCH(H20,Schedule!$T:$T,0)), "")</f>
        <v/>
      </c>
      <c r="I19" s="207" t="str">
        <f>IF(NOT(ISNA(INDEX(Schedule!$O:$O,MATCH(I20,Schedule!$T:$T,0)))), INDEX(Schedule!$O:$O,MATCH(I20,Schedule!$T:$T,0)), "")</f>
        <v/>
      </c>
      <c r="J19" s="207" t="str">
        <f>IF(NOT(ISNA(INDEX(Schedule!$O:$O,MATCH(J20,Schedule!$T:$T,0)))), INDEX(Schedule!$O:$O,MATCH(J20,Schedule!$T:$T,0)), "")</f>
        <v/>
      </c>
      <c r="K19" s="207" t="str">
        <f>IF(NOT(ISNA(INDEX(Schedule!$O:$O,MATCH(K20,Schedule!$T:$T,0)))), INDEX(Schedule!$O:$O,MATCH(K20,Schedule!$T:$T,0)), "")</f>
        <v/>
      </c>
      <c r="L19" s="207" t="str">
        <f>IF(NOT(ISNA(INDEX(Schedule!$O:$O,MATCH(L20,Schedule!$T:$T,0)))), INDEX(Schedule!$O:$O,MATCH(L20,Schedule!$T:$T,0)), "")</f>
        <v/>
      </c>
      <c r="M19" s="207" t="str">
        <f>IF(NOT(ISNA(INDEX(Schedule!$O:$O,MATCH(M20,Schedule!$T:$T,0)))), INDEX(Schedule!$O:$O,MATCH(M20,Schedule!$T:$T,0)), "")</f>
        <v/>
      </c>
    </row>
    <row r="20" spans="1:13" ht="24.95" customHeight="1">
      <c r="A20" s="287" t="s">
        <v>24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</row>
    <row r="21" spans="1:13" ht="24.95" customHeight="1">
      <c r="A21" s="287" t="s">
        <v>25</v>
      </c>
      <c r="B21" s="208" t="str">
        <f>IF(NOT(ISNA(INDEX(Schedule!$V:$V,MATCH(B20,Schedule!$T:$T,0)))), INDEX(Schedule!$V:$V,MATCH(B20,Schedule!$T:$T,0)), "")</f>
        <v/>
      </c>
      <c r="C21" s="208" t="str">
        <f>IF(NOT(ISNA(INDEX(Schedule!$V:$V,MATCH(C20,Schedule!$T:$T,0)))), INDEX(Schedule!$V:$V,MATCH(C20,Schedule!$T:$T,0)), "")</f>
        <v/>
      </c>
      <c r="D21" s="209" t="str">
        <f>IF(NOT(ISNA(INDEX(Schedule!$V:$V,MATCH(D20,Schedule!$T:$T,0)))), INDEX(Schedule!$V:$V,MATCH(D20,Schedule!$T:$T,0)), "")</f>
        <v/>
      </c>
      <c r="E21" s="209" t="str">
        <f>IF(NOT(ISNA(INDEX(Schedule!$V:$V,MATCH(E20,Schedule!$T:$T,0)))), INDEX(Schedule!$V:$V,MATCH(E20,Schedule!$T:$T,0)), "")</f>
        <v/>
      </c>
      <c r="F21" s="209" t="str">
        <f>IF(NOT(ISNA(INDEX(Schedule!$V:$V,MATCH(F20,Schedule!$T:$T,0)))), INDEX(Schedule!$V:$V,MATCH(F20,Schedule!$T:$T,0)), "")</f>
        <v/>
      </c>
      <c r="G21" s="209" t="str">
        <f>IF(NOT(ISNA(INDEX(Schedule!$V:$V,MATCH(G20,Schedule!$T:$T,0)))), INDEX(Schedule!$V:$V,MATCH(G20,Schedule!$T:$T,0)), "")</f>
        <v/>
      </c>
      <c r="H21" s="209" t="str">
        <f>IF(NOT(ISNA(INDEX(Schedule!$V:$V,MATCH(H20,Schedule!$T:$T,0)))), INDEX(Schedule!$V:$V,MATCH(H20,Schedule!$T:$T,0)), "")</f>
        <v/>
      </c>
      <c r="I21" s="209" t="str">
        <f>IF(NOT(ISNA(INDEX(Schedule!$V:$V,MATCH(I20,Schedule!$T:$T,0)))), INDEX(Schedule!$V:$V,MATCH(I20,Schedule!$T:$T,0)), "")</f>
        <v/>
      </c>
      <c r="J21" s="209" t="str">
        <f>IF(NOT(ISNA(INDEX(Schedule!$V:$V,MATCH(J20,Schedule!$T:$T,0)))), INDEX(Schedule!$V:$V,MATCH(J20,Schedule!$T:$T,0)), "")</f>
        <v/>
      </c>
      <c r="K21" s="209" t="str">
        <f>IF(NOT(ISNA(INDEX(Schedule!$V:$V,MATCH(K20,Schedule!$T:$T,0)))), INDEX(Schedule!$V:$V,MATCH(K20,Schedule!$T:$T,0)), "")</f>
        <v/>
      </c>
      <c r="L21" s="209" t="str">
        <f>IF(NOT(ISNA(INDEX(Schedule!$V:$V,MATCH(L20,Schedule!$T:$T,0)))), INDEX(Schedule!$V:$V,MATCH(L20,Schedule!$T:$T,0)), "")</f>
        <v/>
      </c>
      <c r="M21" s="209" t="str">
        <f>IF(NOT(ISNA(INDEX(Schedule!$V:$V,MATCH(M20,Schedule!$T:$T,0)))), INDEX(Schedule!$V:$V,MATCH(M20,Schedule!$T:$T,0)), "")</f>
        <v/>
      </c>
    </row>
    <row r="22" spans="1:13" ht="19.5" hidden="1" customHeight="1">
      <c r="A22" s="288"/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1:13" ht="24.95" customHeight="1">
      <c r="A23" s="287" t="s">
        <v>23</v>
      </c>
      <c r="B23" s="207" t="str">
        <f>IF(NOT(ISNA(INDEX(Schedule!$O:$O,MATCH(B24,Schedule!$T:$T,0)))), INDEX(Schedule!$O:$O,MATCH(B24,Schedule!$T:$T,0)), "")</f>
        <v/>
      </c>
      <c r="C23" s="207" t="str">
        <f>IF(NOT(ISNA(INDEX(Schedule!$O:$O,MATCH(C24,Schedule!$T:$T,0)))), INDEX(Schedule!$O:$O,MATCH(C24,Schedule!$T:$T,0)), "")</f>
        <v/>
      </c>
      <c r="D23" s="207" t="str">
        <f>IF(NOT(ISNA(INDEX(Schedule!$O:$O,MATCH(D24,Schedule!$T:$T,0)))), INDEX(Schedule!$O:$O,MATCH(D24,Schedule!$T:$T,0)), "")</f>
        <v/>
      </c>
      <c r="E23" s="207" t="str">
        <f>IF(NOT(ISNA(INDEX(Schedule!$O:$O,MATCH(E24,Schedule!$T:$T,0)))), INDEX(Schedule!$O:$O,MATCH(E24,Schedule!$T:$T,0)), "")</f>
        <v/>
      </c>
      <c r="F23" s="207" t="str">
        <f>IF(NOT(ISNA(INDEX(Schedule!$O:$O,MATCH(F24,Schedule!$T:$T,0)))), INDEX(Schedule!$O:$O,MATCH(F24,Schedule!$T:$T,0)), "")</f>
        <v/>
      </c>
      <c r="G23" s="207" t="str">
        <f>IF(NOT(ISNA(INDEX(Schedule!$O:$O,MATCH(G24,Schedule!$T:$T,0)))), INDEX(Schedule!$O:$O,MATCH(G24,Schedule!$T:$T,0)), "")</f>
        <v/>
      </c>
      <c r="H23" s="207" t="str">
        <f>IF(NOT(ISNA(INDEX(Schedule!$O:$O,MATCH(H24,Schedule!$T:$T,0)))), INDEX(Schedule!$O:$O,MATCH(H24,Schedule!$T:$T,0)), "")</f>
        <v/>
      </c>
      <c r="I23" s="207" t="str">
        <f>IF(NOT(ISNA(INDEX(Schedule!$O:$O,MATCH(I24,Schedule!$T:$T,0)))), INDEX(Schedule!$O:$O,MATCH(I24,Schedule!$T:$T,0)), "")</f>
        <v/>
      </c>
      <c r="J23" s="207" t="str">
        <f>IF(NOT(ISNA(INDEX(Schedule!$O:$O,MATCH(J24,Schedule!$T:$T,0)))), INDEX(Schedule!$O:$O,MATCH(J24,Schedule!$T:$T,0)), "")</f>
        <v/>
      </c>
      <c r="K23" s="207" t="str">
        <f>IF(NOT(ISNA(INDEX(Schedule!$O:$O,MATCH(K24,Schedule!$T:$T,0)))), INDEX(Schedule!$O:$O,MATCH(K24,Schedule!$T:$T,0)), "")</f>
        <v/>
      </c>
      <c r="L23" s="207" t="str">
        <f>IF(NOT(ISNA(INDEX(Schedule!$O:$O,MATCH(L24,Schedule!$T:$T,0)))), INDEX(Schedule!$O:$O,MATCH(L24,Schedule!$T:$T,0)), "")</f>
        <v/>
      </c>
      <c r="M23" s="207" t="str">
        <f>IF(NOT(ISNA(INDEX(Schedule!$O:$O,MATCH(M24,Schedule!$T:$T,0)))), INDEX(Schedule!$O:$O,MATCH(M24,Schedule!$T:$T,0)), "")</f>
        <v/>
      </c>
    </row>
    <row r="24" spans="1:13" ht="24.95" customHeight="1">
      <c r="A24" s="287" t="s">
        <v>24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</row>
    <row r="25" spans="1:13" ht="24.95" customHeight="1">
      <c r="A25" s="287" t="s">
        <v>25</v>
      </c>
      <c r="B25" s="208" t="str">
        <f>IF(NOT(ISNA(INDEX(Schedule!$V:$V,MATCH(B24,Schedule!$T:$T,0)))), INDEX(Schedule!$V:$V,MATCH(B24,Schedule!$T:$T,0)), "")</f>
        <v/>
      </c>
      <c r="C25" s="208" t="str">
        <f>IF(NOT(ISNA(INDEX(Schedule!$V:$V,MATCH(C24,Schedule!$T:$T,0)))), INDEX(Schedule!$V:$V,MATCH(C24,Schedule!$T:$T,0)), "")</f>
        <v/>
      </c>
      <c r="D25" s="209" t="str">
        <f>IF(NOT(ISNA(INDEX(Schedule!$V:$V,MATCH(D24,Schedule!$T:$T,0)))), INDEX(Schedule!$V:$V,MATCH(D24,Schedule!$T:$T,0)), "")</f>
        <v/>
      </c>
      <c r="E25" s="209" t="str">
        <f>IF(NOT(ISNA(INDEX(Schedule!$V:$V,MATCH(E24,Schedule!$T:$T,0)))), INDEX(Schedule!$V:$V,MATCH(E24,Schedule!$T:$T,0)), "")</f>
        <v/>
      </c>
      <c r="F25" s="209" t="str">
        <f>IF(NOT(ISNA(INDEX(Schedule!$V:$V,MATCH(F24,Schedule!$T:$T,0)))), INDEX(Schedule!$V:$V,MATCH(F24,Schedule!$T:$T,0)), "")</f>
        <v/>
      </c>
      <c r="G25" s="209" t="str">
        <f>IF(NOT(ISNA(INDEX(Schedule!$V:$V,MATCH(G24,Schedule!$T:$T,0)))), INDEX(Schedule!$V:$V,MATCH(G24,Schedule!$T:$T,0)), "")</f>
        <v/>
      </c>
      <c r="H25" s="209" t="str">
        <f>IF(NOT(ISNA(INDEX(Schedule!$V:$V,MATCH(H24,Schedule!$T:$T,0)))), INDEX(Schedule!$V:$V,MATCH(H24,Schedule!$T:$T,0)), "")</f>
        <v/>
      </c>
      <c r="I25" s="209" t="str">
        <f>IF(NOT(ISNA(INDEX(Schedule!$V:$V,MATCH(I24,Schedule!$T:$T,0)))), INDEX(Schedule!$V:$V,MATCH(I24,Schedule!$T:$T,0)), "")</f>
        <v/>
      </c>
      <c r="J25" s="209" t="str">
        <f>IF(NOT(ISNA(INDEX(Schedule!$V:$V,MATCH(J24,Schedule!$T:$T,0)))), INDEX(Schedule!$V:$V,MATCH(J24,Schedule!$T:$T,0)), "")</f>
        <v/>
      </c>
      <c r="K25" s="209" t="str">
        <f>IF(NOT(ISNA(INDEX(Schedule!$V:$V,MATCH(K24,Schedule!$T:$T,0)))), INDEX(Schedule!$V:$V,MATCH(K24,Schedule!$T:$T,0)), "")</f>
        <v/>
      </c>
      <c r="L25" s="209" t="str">
        <f>IF(NOT(ISNA(INDEX(Schedule!$V:$V,MATCH(L24,Schedule!$T:$T,0)))), INDEX(Schedule!$V:$V,MATCH(L24,Schedule!$T:$T,0)), "")</f>
        <v/>
      </c>
      <c r="M25" s="209" t="str">
        <f>IF(NOT(ISNA(INDEX(Schedule!$V:$V,MATCH(M24,Schedule!$T:$T,0)))), INDEX(Schedule!$V:$V,MATCH(M24,Schedule!$T:$T,0)), "")</f>
        <v/>
      </c>
    </row>
    <row r="26" spans="1:13" ht="13.15" customHeight="1" thickBot="1">
      <c r="A26" s="214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1:13" ht="34.9" customHeight="1">
      <c r="A27" s="341" t="s">
        <v>158</v>
      </c>
      <c r="B27" s="331"/>
      <c r="C27" s="331"/>
      <c r="D27" s="331"/>
      <c r="E27" s="331"/>
      <c r="F27" s="331"/>
      <c r="G27" s="331"/>
      <c r="H27" s="331"/>
      <c r="I27" s="331"/>
      <c r="J27" s="331"/>
      <c r="K27" s="331"/>
      <c r="L27" s="331"/>
      <c r="M27" s="332"/>
    </row>
    <row r="28" spans="1:13" ht="4.9000000000000004" customHeight="1" thickBot="1">
      <c r="A28" s="342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7"/>
    </row>
    <row r="29" spans="1:13" ht="4.5" customHeight="1" thickBot="1">
      <c r="A29" s="214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22.5" customHeight="1">
      <c r="A30" s="336" t="s">
        <v>26</v>
      </c>
      <c r="B30" s="337"/>
      <c r="C30" s="337"/>
      <c r="D30" s="337"/>
      <c r="E30" s="337"/>
      <c r="F30" s="337"/>
      <c r="G30" s="337"/>
      <c r="H30" s="337"/>
      <c r="I30" s="337"/>
      <c r="J30" s="337"/>
      <c r="K30" s="337"/>
      <c r="L30" s="337"/>
      <c r="M30" s="338"/>
    </row>
    <row r="31" spans="1:13" ht="22.5" customHeight="1">
      <c r="A31" s="289" t="s">
        <v>27</v>
      </c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4"/>
    </row>
    <row r="32" spans="1:13" ht="28.5" customHeight="1" thickBot="1">
      <c r="A32" s="290" t="s">
        <v>28</v>
      </c>
      <c r="B32" s="219"/>
      <c r="C32" s="219"/>
      <c r="D32" s="220"/>
      <c r="E32" s="220"/>
      <c r="F32" s="220"/>
      <c r="G32" s="220"/>
      <c r="H32" s="220"/>
      <c r="I32" s="220"/>
      <c r="J32" s="220"/>
      <c r="K32" s="220"/>
      <c r="L32" s="220"/>
      <c r="M32" s="221"/>
    </row>
    <row r="33" spans="1:13" ht="26.25" customHeight="1" thickBot="1">
      <c r="A33" s="222" t="s">
        <v>37</v>
      </c>
      <c r="B33" s="327" t="s">
        <v>250</v>
      </c>
      <c r="C33" s="328"/>
      <c r="D33" s="223" t="s">
        <v>234</v>
      </c>
      <c r="E33" s="329"/>
      <c r="F33" s="330"/>
      <c r="G33" s="307" t="s">
        <v>29</v>
      </c>
      <c r="H33" s="224"/>
      <c r="I33" s="339" t="s">
        <v>30</v>
      </c>
      <c r="J33" s="340"/>
      <c r="K33" s="340"/>
      <c r="L33" s="295" t="s">
        <v>233</v>
      </c>
      <c r="M33" s="225"/>
    </row>
    <row r="34" spans="1:13" ht="4.5" customHeight="1" thickBot="1">
      <c r="A34" s="4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2.5" customHeight="1">
      <c r="A35" s="324" t="s">
        <v>31</v>
      </c>
      <c r="B35" s="325"/>
      <c r="C35" s="325"/>
      <c r="D35" s="325"/>
      <c r="E35" s="325"/>
      <c r="F35" s="325"/>
      <c r="G35" s="325"/>
      <c r="H35" s="325"/>
      <c r="I35" s="325"/>
      <c r="J35" s="325"/>
      <c r="K35" s="325"/>
      <c r="L35" s="325"/>
      <c r="M35" s="326"/>
    </row>
    <row r="36" spans="1:13" ht="28.5" customHeight="1">
      <c r="A36" s="291" t="s">
        <v>232</v>
      </c>
      <c r="B36" s="49"/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1"/>
    </row>
    <row r="37" spans="1:13" ht="28.5" customHeight="1">
      <c r="A37" s="292" t="s">
        <v>32</v>
      </c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5"/>
    </row>
    <row r="38" spans="1:13" ht="28.5" customHeight="1">
      <c r="A38" s="293" t="s">
        <v>33</v>
      </c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5"/>
    </row>
    <row r="39" spans="1:13" ht="28.5" customHeight="1" thickBot="1">
      <c r="A39" s="294" t="s">
        <v>32</v>
      </c>
      <c r="B39" s="56"/>
      <c r="C39" s="56"/>
      <c r="D39" s="57"/>
      <c r="E39" s="57"/>
      <c r="F39" s="57"/>
      <c r="G39" s="57"/>
      <c r="H39" s="57"/>
      <c r="I39" s="57"/>
      <c r="J39" s="57"/>
      <c r="K39" s="57"/>
      <c r="L39" s="57"/>
      <c r="M39" s="58"/>
    </row>
    <row r="40" spans="1:13" ht="20.25" customHeight="1" thickBot="1">
      <c r="A40" s="59" t="s">
        <v>34</v>
      </c>
      <c r="B40" s="60"/>
      <c r="C40" s="61"/>
      <c r="D40" s="48"/>
      <c r="E40" s="48"/>
      <c r="F40" s="48"/>
      <c r="G40" s="48"/>
      <c r="H40" s="48"/>
      <c r="I40" s="48"/>
      <c r="J40" s="48"/>
      <c r="K40" s="48"/>
      <c r="L40" s="48"/>
      <c r="M40" s="62"/>
    </row>
    <row r="41" spans="1:13" ht="17.25" customHeight="1">
      <c r="A41" s="63" t="s">
        <v>35</v>
      </c>
      <c r="C41" s="64"/>
      <c r="D41" s="64"/>
      <c r="E41" s="64"/>
      <c r="F41" s="64"/>
      <c r="G41" s="64"/>
      <c r="H41" s="64"/>
      <c r="I41" s="64"/>
      <c r="J41" s="64"/>
      <c r="K41" s="65"/>
      <c r="L41" s="66"/>
      <c r="M41" s="67" t="s">
        <v>36</v>
      </c>
    </row>
    <row r="42" spans="1:13" ht="28.5" hidden="1" customHeight="1"/>
    <row r="43" spans="1:13" s="66" customFormat="1" ht="10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 ht="5.25" customHeight="1"/>
    <row r="45" spans="1:13" ht="21" customHeight="1">
      <c r="B45" s="199"/>
    </row>
    <row r="48" spans="1:13">
      <c r="D48" s="204"/>
    </row>
    <row r="49" spans="4:8">
      <c r="D49" s="204"/>
    </row>
    <row r="50" spans="4:8">
      <c r="D50" s="204"/>
    </row>
    <row r="51" spans="4:8">
      <c r="D51" s="204"/>
    </row>
    <row r="52" spans="4:8">
      <c r="D52" s="204"/>
    </row>
    <row r="53" spans="4:8">
      <c r="D53" s="204"/>
      <c r="H53" s="195"/>
    </row>
    <row r="54" spans="4:8">
      <c r="D54" s="204"/>
    </row>
    <row r="55" spans="4:8">
      <c r="D55" s="204"/>
      <c r="H55" s="196"/>
    </row>
    <row r="56" spans="4:8">
      <c r="D56" s="204"/>
    </row>
    <row r="57" spans="4:8">
      <c r="D57" s="204"/>
    </row>
    <row r="65" spans="2:13" hidden="1"/>
    <row r="66" spans="2:13" hidden="1">
      <c r="B66" s="40" t="s">
        <v>192</v>
      </c>
      <c r="M66" s="40" t="s">
        <v>196</v>
      </c>
    </row>
    <row r="67" spans="2:13" hidden="1">
      <c r="B67" s="40" t="s">
        <v>193</v>
      </c>
      <c r="M67" s="40" t="s">
        <v>197</v>
      </c>
    </row>
    <row r="68" spans="2:13" hidden="1">
      <c r="B68" s="40" t="s">
        <v>194</v>
      </c>
      <c r="M68" s="40" t="s">
        <v>198</v>
      </c>
    </row>
  </sheetData>
  <mergeCells count="10">
    <mergeCell ref="C1:I1"/>
    <mergeCell ref="J1:M1"/>
    <mergeCell ref="A30:M30"/>
    <mergeCell ref="I33:K33"/>
    <mergeCell ref="A27:A28"/>
    <mergeCell ref="P11:R13"/>
    <mergeCell ref="A35:M35"/>
    <mergeCell ref="B33:C33"/>
    <mergeCell ref="E33:F33"/>
    <mergeCell ref="B27:M27"/>
  </mergeCells>
  <dataValidations count="2">
    <dataValidation type="list" showInputMessage="1" showErrorMessage="1" sqref="M33" xr:uid="{00000000-0002-0000-0100-000000000000}">
      <formula1>$M$65:$M$68</formula1>
    </dataValidation>
    <dataValidation type="list" showInputMessage="1" showErrorMessage="1" sqref="B31:M31" xr:uid="{00000000-0002-0000-0100-000001000000}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56D59599-7D40-4870-AA80-B96A2E3243DA}">
          <x14:formula1>
            <xm:f>Schedule!$T$1:$T$111</xm:f>
          </x14:formula1>
          <xm:sqref>B12:M12 B24:M24 B20:M20 B16:M16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K22"/>
  <sheetViews>
    <sheetView zoomScaleNormal="100" workbookViewId="0">
      <selection activeCell="P10" sqref="P10"/>
    </sheetView>
  </sheetViews>
  <sheetFormatPr defaultRowHeight="12.75"/>
  <cols>
    <col min="1" max="1" width="5.75" style="185" customWidth="1"/>
    <col min="2" max="2" width="10.375" customWidth="1"/>
    <col min="6" max="6" width="19.125" style="185" customWidth="1"/>
    <col min="8" max="8" width="7.125" customWidth="1"/>
  </cols>
  <sheetData>
    <row r="1" spans="1:11" ht="28.15" customHeight="1">
      <c r="A1" s="345" t="s">
        <v>161</v>
      </c>
      <c r="B1" s="345"/>
      <c r="C1" s="345"/>
      <c r="D1" s="345"/>
      <c r="E1" s="345"/>
      <c r="F1" s="194"/>
      <c r="G1" s="345" t="s">
        <v>161</v>
      </c>
      <c r="H1" s="345"/>
      <c r="I1" s="345"/>
      <c r="J1" s="345"/>
      <c r="K1" s="345"/>
    </row>
    <row r="2" spans="1:11" ht="28.15" customHeight="1">
      <c r="A2" s="345" t="s">
        <v>166</v>
      </c>
      <c r="B2" s="345"/>
      <c r="C2" s="345"/>
      <c r="D2" s="345"/>
      <c r="E2" s="345"/>
      <c r="F2" s="194"/>
      <c r="G2" s="345" t="s">
        <v>166</v>
      </c>
      <c r="H2" s="345"/>
      <c r="I2" s="345"/>
      <c r="J2" s="345"/>
      <c r="K2" s="345"/>
    </row>
    <row r="3" spans="1:11" ht="28.15" customHeight="1">
      <c r="A3" s="345" t="s">
        <v>160</v>
      </c>
      <c r="B3" s="345"/>
      <c r="C3" s="345"/>
      <c r="D3" s="345"/>
      <c r="E3" s="345"/>
      <c r="F3" s="194"/>
      <c r="G3" s="345" t="s">
        <v>160</v>
      </c>
      <c r="H3" s="345"/>
      <c r="I3" s="345"/>
      <c r="J3" s="345"/>
      <c r="K3" s="345"/>
    </row>
    <row r="4" spans="1:11" ht="28.15" customHeight="1">
      <c r="A4" s="298" t="s">
        <v>162</v>
      </c>
      <c r="B4" s="187"/>
      <c r="C4" s="344">
        <v>90210</v>
      </c>
      <c r="D4" s="344"/>
      <c r="E4" s="344"/>
      <c r="F4" s="188"/>
      <c r="G4" s="298" t="s">
        <v>162</v>
      </c>
      <c r="H4" s="187"/>
      <c r="I4" s="344">
        <v>90210</v>
      </c>
      <c r="J4" s="344"/>
      <c r="K4" s="344"/>
    </row>
    <row r="5" spans="1:11" ht="10.9" customHeight="1">
      <c r="G5" s="185"/>
      <c r="H5" s="185"/>
      <c r="I5" s="185"/>
      <c r="J5" s="185"/>
      <c r="K5" s="185"/>
    </row>
    <row r="6" spans="1:11" ht="18">
      <c r="A6" s="20" t="s">
        <v>163</v>
      </c>
      <c r="G6" s="20" t="s">
        <v>163</v>
      </c>
      <c r="H6" s="185"/>
      <c r="I6" s="185"/>
      <c r="J6" s="185"/>
      <c r="K6" s="185"/>
    </row>
    <row r="7" spans="1:11" s="185" customFormat="1" ht="7.9" customHeight="1">
      <c r="A7" s="189"/>
      <c r="G7" s="189"/>
    </row>
    <row r="8" spans="1:11" ht="18">
      <c r="A8" s="20" t="s">
        <v>164</v>
      </c>
      <c r="B8" s="191"/>
      <c r="C8" s="343"/>
      <c r="D8" s="343"/>
      <c r="E8" s="343"/>
      <c r="F8" s="192"/>
      <c r="G8" s="20" t="s">
        <v>164</v>
      </c>
      <c r="H8" s="191"/>
      <c r="I8" s="343"/>
      <c r="J8" s="343"/>
      <c r="K8" s="343"/>
    </row>
    <row r="9" spans="1:11">
      <c r="G9" s="185"/>
      <c r="H9" s="185"/>
      <c r="I9" s="185"/>
      <c r="J9" s="185"/>
      <c r="K9" s="185"/>
    </row>
    <row r="10" spans="1:11">
      <c r="A10" s="190" t="s">
        <v>77</v>
      </c>
      <c r="B10" s="186"/>
      <c r="E10" s="193" t="s">
        <v>165</v>
      </c>
      <c r="F10" s="193"/>
      <c r="G10" s="190" t="s">
        <v>77</v>
      </c>
      <c r="H10" s="186"/>
      <c r="I10" s="185"/>
      <c r="J10" s="185"/>
      <c r="K10" s="193" t="s">
        <v>165</v>
      </c>
    </row>
    <row r="11" spans="1:11" s="185" customFormat="1">
      <c r="A11" s="190"/>
      <c r="B11" s="186"/>
      <c r="E11" s="193"/>
      <c r="F11" s="193"/>
      <c r="G11" s="190"/>
      <c r="H11" s="186"/>
      <c r="K11" s="193"/>
    </row>
    <row r="13" spans="1:11" ht="25.9" customHeight="1">
      <c r="A13" s="345" t="s">
        <v>161</v>
      </c>
      <c r="B13" s="345"/>
      <c r="C13" s="345"/>
      <c r="D13" s="345"/>
      <c r="E13" s="345"/>
      <c r="F13" s="194"/>
      <c r="G13" s="345" t="s">
        <v>161</v>
      </c>
      <c r="H13" s="345"/>
      <c r="I13" s="345"/>
      <c r="J13" s="345"/>
      <c r="K13" s="345"/>
    </row>
    <row r="14" spans="1:11" ht="25.9" customHeight="1">
      <c r="A14" s="345" t="s">
        <v>166</v>
      </c>
      <c r="B14" s="345"/>
      <c r="C14" s="345"/>
      <c r="D14" s="345"/>
      <c r="E14" s="345"/>
      <c r="F14" s="194"/>
      <c r="G14" s="345" t="s">
        <v>166</v>
      </c>
      <c r="H14" s="345"/>
      <c r="I14" s="345"/>
      <c r="J14" s="345"/>
      <c r="K14" s="345"/>
    </row>
    <row r="15" spans="1:11" ht="25.9" customHeight="1">
      <c r="A15" s="345" t="s">
        <v>160</v>
      </c>
      <c r="B15" s="345"/>
      <c r="C15" s="345"/>
      <c r="D15" s="345"/>
      <c r="E15" s="345"/>
      <c r="F15" s="194"/>
      <c r="G15" s="345" t="s">
        <v>160</v>
      </c>
      <c r="H15" s="345"/>
      <c r="I15" s="345"/>
      <c r="J15" s="345"/>
      <c r="K15" s="345"/>
    </row>
    <row r="16" spans="1:11" ht="25.9" customHeight="1">
      <c r="A16" s="298" t="s">
        <v>162</v>
      </c>
      <c r="B16" s="187"/>
      <c r="C16" s="344">
        <v>90210</v>
      </c>
      <c r="D16" s="344"/>
      <c r="E16" s="344"/>
      <c r="F16" s="188"/>
      <c r="G16" s="298" t="s">
        <v>162</v>
      </c>
      <c r="H16" s="187"/>
      <c r="I16" s="344">
        <v>90210</v>
      </c>
      <c r="J16" s="344"/>
      <c r="K16" s="344"/>
    </row>
    <row r="17" spans="1:11" ht="10.9" customHeight="1">
      <c r="B17" s="185"/>
      <c r="C17" s="185"/>
      <c r="D17" s="185"/>
      <c r="E17" s="185"/>
      <c r="G17" s="185"/>
      <c r="H17" s="185"/>
      <c r="I17" s="185"/>
      <c r="J17" s="185"/>
      <c r="K17" s="185"/>
    </row>
    <row r="18" spans="1:11" ht="18">
      <c r="A18" s="20" t="s">
        <v>163</v>
      </c>
      <c r="B18" s="185"/>
      <c r="C18" s="185"/>
      <c r="D18" s="185"/>
      <c r="E18" s="185"/>
      <c r="G18" s="20" t="s">
        <v>163</v>
      </c>
      <c r="H18" s="185"/>
      <c r="I18" s="185"/>
      <c r="J18" s="185"/>
      <c r="K18" s="185"/>
    </row>
    <row r="19" spans="1:11" ht="7.9" customHeight="1">
      <c r="A19" s="189"/>
      <c r="B19" s="185"/>
      <c r="C19" s="185"/>
      <c r="D19" s="185"/>
      <c r="E19" s="185"/>
      <c r="G19" s="189"/>
      <c r="H19" s="185"/>
      <c r="I19" s="185"/>
      <c r="J19" s="185"/>
      <c r="K19" s="185"/>
    </row>
    <row r="20" spans="1:11" ht="18">
      <c r="A20" s="20" t="s">
        <v>164</v>
      </c>
      <c r="B20" s="191"/>
      <c r="C20" s="343"/>
      <c r="D20" s="343"/>
      <c r="E20" s="343"/>
      <c r="F20" s="192"/>
      <c r="G20" s="20" t="s">
        <v>164</v>
      </c>
      <c r="H20" s="191"/>
      <c r="I20" s="343"/>
      <c r="J20" s="343"/>
      <c r="K20" s="343"/>
    </row>
    <row r="21" spans="1:11">
      <c r="B21" s="185"/>
      <c r="C21" s="185"/>
      <c r="D21" s="185"/>
      <c r="E21" s="185"/>
      <c r="G21" s="185"/>
      <c r="H21" s="185"/>
      <c r="I21" s="185"/>
      <c r="J21" s="185"/>
      <c r="K21" s="185"/>
    </row>
    <row r="22" spans="1:11">
      <c r="A22" s="190" t="s">
        <v>77</v>
      </c>
      <c r="B22" s="186"/>
      <c r="C22" s="185"/>
      <c r="D22" s="185"/>
      <c r="E22" s="193" t="s">
        <v>165</v>
      </c>
      <c r="F22" s="193"/>
      <c r="G22" s="190" t="s">
        <v>77</v>
      </c>
      <c r="H22" s="186"/>
      <c r="I22" s="185"/>
      <c r="J22" s="185"/>
      <c r="K22" s="193" t="s">
        <v>165</v>
      </c>
    </row>
  </sheetData>
  <mergeCells count="20">
    <mergeCell ref="G1:K1"/>
    <mergeCell ref="G2:K2"/>
    <mergeCell ref="G3:K3"/>
    <mergeCell ref="A1:E1"/>
    <mergeCell ref="A2:E2"/>
    <mergeCell ref="A3:E3"/>
    <mergeCell ref="C20:E20"/>
    <mergeCell ref="A13:E13"/>
    <mergeCell ref="A14:E14"/>
    <mergeCell ref="A15:E15"/>
    <mergeCell ref="I16:K16"/>
    <mergeCell ref="I20:K20"/>
    <mergeCell ref="G13:K13"/>
    <mergeCell ref="G14:K14"/>
    <mergeCell ref="G15:K15"/>
    <mergeCell ref="C8:E8"/>
    <mergeCell ref="C4:E4"/>
    <mergeCell ref="I4:K4"/>
    <mergeCell ref="I8:K8"/>
    <mergeCell ref="C16:E16"/>
  </mergeCells>
  <printOptions verticalCentered="1"/>
  <pageMargins left="0" right="0" top="0" bottom="0" header="0" footer="0"/>
  <pageSetup paperSize="6" scale="9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95"/>
  <sheetViews>
    <sheetView zoomScale="85" zoomScaleNormal="85" workbookViewId="0">
      <selection activeCell="P371" sqref="P371"/>
    </sheetView>
  </sheetViews>
  <sheetFormatPr defaultColWidth="8.125" defaultRowHeight="12.75"/>
  <cols>
    <col min="1" max="4" width="8.125" customWidth="1"/>
    <col min="5" max="5" width="7.875" customWidth="1"/>
    <col min="6" max="8" width="8.125" customWidth="1"/>
    <col min="9" max="9" width="7.25" customWidth="1"/>
    <col min="10" max="10" width="12.625" customWidth="1"/>
    <col min="11" max="11" width="5.625" customWidth="1"/>
    <col min="261" max="261" width="7.875" customWidth="1"/>
    <col min="265" max="265" width="7.25" customWidth="1"/>
    <col min="266" max="266" width="12.625" customWidth="1"/>
    <col min="267" max="267" width="5.625" customWidth="1"/>
    <col min="517" max="517" width="7.875" customWidth="1"/>
    <col min="521" max="521" width="7.25" customWidth="1"/>
    <col min="522" max="522" width="12.625" customWidth="1"/>
    <col min="523" max="523" width="5.625" customWidth="1"/>
    <col min="773" max="773" width="7.875" customWidth="1"/>
    <col min="777" max="777" width="7.25" customWidth="1"/>
    <col min="778" max="778" width="12.625" customWidth="1"/>
    <col min="779" max="779" width="5.625" customWidth="1"/>
    <col min="1029" max="1029" width="7.875" customWidth="1"/>
    <col min="1033" max="1033" width="7.25" customWidth="1"/>
    <col min="1034" max="1034" width="12.625" customWidth="1"/>
    <col min="1035" max="1035" width="5.625" customWidth="1"/>
    <col min="1285" max="1285" width="7.875" customWidth="1"/>
    <col min="1289" max="1289" width="7.25" customWidth="1"/>
    <col min="1290" max="1290" width="12.625" customWidth="1"/>
    <col min="1291" max="1291" width="5.625" customWidth="1"/>
    <col min="1541" max="1541" width="7.875" customWidth="1"/>
    <col min="1545" max="1545" width="7.25" customWidth="1"/>
    <col min="1546" max="1546" width="12.625" customWidth="1"/>
    <col min="1547" max="1547" width="5.625" customWidth="1"/>
    <col min="1797" max="1797" width="7.875" customWidth="1"/>
    <col min="1801" max="1801" width="7.25" customWidth="1"/>
    <col min="1802" max="1802" width="12.625" customWidth="1"/>
    <col min="1803" max="1803" width="5.625" customWidth="1"/>
    <col min="2053" max="2053" width="7.875" customWidth="1"/>
    <col min="2057" max="2057" width="7.25" customWidth="1"/>
    <col min="2058" max="2058" width="12.625" customWidth="1"/>
    <col min="2059" max="2059" width="5.625" customWidth="1"/>
    <col min="2309" max="2309" width="7.875" customWidth="1"/>
    <col min="2313" max="2313" width="7.25" customWidth="1"/>
    <col min="2314" max="2314" width="12.625" customWidth="1"/>
    <col min="2315" max="2315" width="5.625" customWidth="1"/>
    <col min="2565" max="2565" width="7.875" customWidth="1"/>
    <col min="2569" max="2569" width="7.25" customWidth="1"/>
    <col min="2570" max="2570" width="12.625" customWidth="1"/>
    <col min="2571" max="2571" width="5.625" customWidth="1"/>
    <col min="2821" max="2821" width="7.875" customWidth="1"/>
    <col min="2825" max="2825" width="7.25" customWidth="1"/>
    <col min="2826" max="2826" width="12.625" customWidth="1"/>
    <col min="2827" max="2827" width="5.625" customWidth="1"/>
    <col min="3077" max="3077" width="7.875" customWidth="1"/>
    <col min="3081" max="3081" width="7.25" customWidth="1"/>
    <col min="3082" max="3082" width="12.625" customWidth="1"/>
    <col min="3083" max="3083" width="5.625" customWidth="1"/>
    <col min="3333" max="3333" width="7.875" customWidth="1"/>
    <col min="3337" max="3337" width="7.25" customWidth="1"/>
    <col min="3338" max="3338" width="12.625" customWidth="1"/>
    <col min="3339" max="3339" width="5.625" customWidth="1"/>
    <col min="3589" max="3589" width="7.875" customWidth="1"/>
    <col min="3593" max="3593" width="7.25" customWidth="1"/>
    <col min="3594" max="3594" width="12.625" customWidth="1"/>
    <col min="3595" max="3595" width="5.625" customWidth="1"/>
    <col min="3845" max="3845" width="7.875" customWidth="1"/>
    <col min="3849" max="3849" width="7.25" customWidth="1"/>
    <col min="3850" max="3850" width="12.625" customWidth="1"/>
    <col min="3851" max="3851" width="5.625" customWidth="1"/>
    <col min="4101" max="4101" width="7.875" customWidth="1"/>
    <col min="4105" max="4105" width="7.25" customWidth="1"/>
    <col min="4106" max="4106" width="12.625" customWidth="1"/>
    <col min="4107" max="4107" width="5.625" customWidth="1"/>
    <col min="4357" max="4357" width="7.875" customWidth="1"/>
    <col min="4361" max="4361" width="7.25" customWidth="1"/>
    <col min="4362" max="4362" width="12.625" customWidth="1"/>
    <col min="4363" max="4363" width="5.625" customWidth="1"/>
    <col min="4613" max="4613" width="7.875" customWidth="1"/>
    <col min="4617" max="4617" width="7.25" customWidth="1"/>
    <col min="4618" max="4618" width="12.625" customWidth="1"/>
    <col min="4619" max="4619" width="5.625" customWidth="1"/>
    <col min="4869" max="4869" width="7.875" customWidth="1"/>
    <col min="4873" max="4873" width="7.25" customWidth="1"/>
    <col min="4874" max="4874" width="12.625" customWidth="1"/>
    <col min="4875" max="4875" width="5.625" customWidth="1"/>
    <col min="5125" max="5125" width="7.875" customWidth="1"/>
    <col min="5129" max="5129" width="7.25" customWidth="1"/>
    <col min="5130" max="5130" width="12.625" customWidth="1"/>
    <col min="5131" max="5131" width="5.625" customWidth="1"/>
    <col min="5381" max="5381" width="7.875" customWidth="1"/>
    <col min="5385" max="5385" width="7.25" customWidth="1"/>
    <col min="5386" max="5386" width="12.625" customWidth="1"/>
    <col min="5387" max="5387" width="5.625" customWidth="1"/>
    <col min="5637" max="5637" width="7.875" customWidth="1"/>
    <col min="5641" max="5641" width="7.25" customWidth="1"/>
    <col min="5642" max="5642" width="12.625" customWidth="1"/>
    <col min="5643" max="5643" width="5.625" customWidth="1"/>
    <col min="5893" max="5893" width="7.875" customWidth="1"/>
    <col min="5897" max="5897" width="7.25" customWidth="1"/>
    <col min="5898" max="5898" width="12.625" customWidth="1"/>
    <col min="5899" max="5899" width="5.625" customWidth="1"/>
    <col min="6149" max="6149" width="7.875" customWidth="1"/>
    <col min="6153" max="6153" width="7.25" customWidth="1"/>
    <col min="6154" max="6154" width="12.625" customWidth="1"/>
    <col min="6155" max="6155" width="5.625" customWidth="1"/>
    <col min="6405" max="6405" width="7.875" customWidth="1"/>
    <col min="6409" max="6409" width="7.25" customWidth="1"/>
    <col min="6410" max="6410" width="12.625" customWidth="1"/>
    <col min="6411" max="6411" width="5.625" customWidth="1"/>
    <col min="6661" max="6661" width="7.875" customWidth="1"/>
    <col min="6665" max="6665" width="7.25" customWidth="1"/>
    <col min="6666" max="6666" width="12.625" customWidth="1"/>
    <col min="6667" max="6667" width="5.625" customWidth="1"/>
    <col min="6917" max="6917" width="7.875" customWidth="1"/>
    <col min="6921" max="6921" width="7.25" customWidth="1"/>
    <col min="6922" max="6922" width="12.625" customWidth="1"/>
    <col min="6923" max="6923" width="5.625" customWidth="1"/>
    <col min="7173" max="7173" width="7.875" customWidth="1"/>
    <col min="7177" max="7177" width="7.25" customWidth="1"/>
    <col min="7178" max="7178" width="12.625" customWidth="1"/>
    <col min="7179" max="7179" width="5.625" customWidth="1"/>
    <col min="7429" max="7429" width="7.875" customWidth="1"/>
    <col min="7433" max="7433" width="7.25" customWidth="1"/>
    <col min="7434" max="7434" width="12.625" customWidth="1"/>
    <col min="7435" max="7435" width="5.625" customWidth="1"/>
    <col min="7685" max="7685" width="7.875" customWidth="1"/>
    <col min="7689" max="7689" width="7.25" customWidth="1"/>
    <col min="7690" max="7690" width="12.625" customWidth="1"/>
    <col min="7691" max="7691" width="5.625" customWidth="1"/>
    <col min="7941" max="7941" width="7.875" customWidth="1"/>
    <col min="7945" max="7945" width="7.25" customWidth="1"/>
    <col min="7946" max="7946" width="12.625" customWidth="1"/>
    <col min="7947" max="7947" width="5.625" customWidth="1"/>
    <col min="8197" max="8197" width="7.875" customWidth="1"/>
    <col min="8201" max="8201" width="7.25" customWidth="1"/>
    <col min="8202" max="8202" width="12.625" customWidth="1"/>
    <col min="8203" max="8203" width="5.625" customWidth="1"/>
    <col min="8453" max="8453" width="7.875" customWidth="1"/>
    <col min="8457" max="8457" width="7.25" customWidth="1"/>
    <col min="8458" max="8458" width="12.625" customWidth="1"/>
    <col min="8459" max="8459" width="5.625" customWidth="1"/>
    <col min="8709" max="8709" width="7.875" customWidth="1"/>
    <col min="8713" max="8713" width="7.25" customWidth="1"/>
    <col min="8714" max="8714" width="12.625" customWidth="1"/>
    <col min="8715" max="8715" width="5.625" customWidth="1"/>
    <col min="8965" max="8965" width="7.875" customWidth="1"/>
    <col min="8969" max="8969" width="7.25" customWidth="1"/>
    <col min="8970" max="8970" width="12.625" customWidth="1"/>
    <col min="8971" max="8971" width="5.625" customWidth="1"/>
    <col min="9221" max="9221" width="7.875" customWidth="1"/>
    <col min="9225" max="9225" width="7.25" customWidth="1"/>
    <col min="9226" max="9226" width="12.625" customWidth="1"/>
    <col min="9227" max="9227" width="5.625" customWidth="1"/>
    <col min="9477" max="9477" width="7.875" customWidth="1"/>
    <col min="9481" max="9481" width="7.25" customWidth="1"/>
    <col min="9482" max="9482" width="12.625" customWidth="1"/>
    <col min="9483" max="9483" width="5.625" customWidth="1"/>
    <col min="9733" max="9733" width="7.875" customWidth="1"/>
    <col min="9737" max="9737" width="7.25" customWidth="1"/>
    <col min="9738" max="9738" width="12.625" customWidth="1"/>
    <col min="9739" max="9739" width="5.625" customWidth="1"/>
    <col min="9989" max="9989" width="7.875" customWidth="1"/>
    <col min="9993" max="9993" width="7.25" customWidth="1"/>
    <col min="9994" max="9994" width="12.625" customWidth="1"/>
    <col min="9995" max="9995" width="5.625" customWidth="1"/>
    <col min="10245" max="10245" width="7.875" customWidth="1"/>
    <col min="10249" max="10249" width="7.25" customWidth="1"/>
    <col min="10250" max="10250" width="12.625" customWidth="1"/>
    <col min="10251" max="10251" width="5.625" customWidth="1"/>
    <col min="10501" max="10501" width="7.875" customWidth="1"/>
    <col min="10505" max="10505" width="7.25" customWidth="1"/>
    <col min="10506" max="10506" width="12.625" customWidth="1"/>
    <col min="10507" max="10507" width="5.625" customWidth="1"/>
    <col min="10757" max="10757" width="7.875" customWidth="1"/>
    <col min="10761" max="10761" width="7.25" customWidth="1"/>
    <col min="10762" max="10762" width="12.625" customWidth="1"/>
    <col min="10763" max="10763" width="5.625" customWidth="1"/>
    <col min="11013" max="11013" width="7.875" customWidth="1"/>
    <col min="11017" max="11017" width="7.25" customWidth="1"/>
    <col min="11018" max="11018" width="12.625" customWidth="1"/>
    <col min="11019" max="11019" width="5.625" customWidth="1"/>
    <col min="11269" max="11269" width="7.875" customWidth="1"/>
    <col min="11273" max="11273" width="7.25" customWidth="1"/>
    <col min="11274" max="11274" width="12.625" customWidth="1"/>
    <col min="11275" max="11275" width="5.625" customWidth="1"/>
    <col min="11525" max="11525" width="7.875" customWidth="1"/>
    <col min="11529" max="11529" width="7.25" customWidth="1"/>
    <col min="11530" max="11530" width="12.625" customWidth="1"/>
    <col min="11531" max="11531" width="5.625" customWidth="1"/>
    <col min="11781" max="11781" width="7.875" customWidth="1"/>
    <col min="11785" max="11785" width="7.25" customWidth="1"/>
    <col min="11786" max="11786" width="12.625" customWidth="1"/>
    <col min="11787" max="11787" width="5.625" customWidth="1"/>
    <col min="12037" max="12037" width="7.875" customWidth="1"/>
    <col min="12041" max="12041" width="7.25" customWidth="1"/>
    <col min="12042" max="12042" width="12.625" customWidth="1"/>
    <col min="12043" max="12043" width="5.625" customWidth="1"/>
    <col min="12293" max="12293" width="7.875" customWidth="1"/>
    <col min="12297" max="12297" width="7.25" customWidth="1"/>
    <col min="12298" max="12298" width="12.625" customWidth="1"/>
    <col min="12299" max="12299" width="5.625" customWidth="1"/>
    <col min="12549" max="12549" width="7.875" customWidth="1"/>
    <col min="12553" max="12553" width="7.25" customWidth="1"/>
    <col min="12554" max="12554" width="12.625" customWidth="1"/>
    <col min="12555" max="12555" width="5.625" customWidth="1"/>
    <col min="12805" max="12805" width="7.875" customWidth="1"/>
    <col min="12809" max="12809" width="7.25" customWidth="1"/>
    <col min="12810" max="12810" width="12.625" customWidth="1"/>
    <col min="12811" max="12811" width="5.625" customWidth="1"/>
    <col min="13061" max="13061" width="7.875" customWidth="1"/>
    <col min="13065" max="13065" width="7.25" customWidth="1"/>
    <col min="13066" max="13066" width="12.625" customWidth="1"/>
    <col min="13067" max="13067" width="5.625" customWidth="1"/>
    <col min="13317" max="13317" width="7.875" customWidth="1"/>
    <col min="13321" max="13321" width="7.25" customWidth="1"/>
    <col min="13322" max="13322" width="12.625" customWidth="1"/>
    <col min="13323" max="13323" width="5.625" customWidth="1"/>
    <col min="13573" max="13573" width="7.875" customWidth="1"/>
    <col min="13577" max="13577" width="7.25" customWidth="1"/>
    <col min="13578" max="13578" width="12.625" customWidth="1"/>
    <col min="13579" max="13579" width="5.625" customWidth="1"/>
    <col min="13829" max="13829" width="7.875" customWidth="1"/>
    <col min="13833" max="13833" width="7.25" customWidth="1"/>
    <col min="13834" max="13834" width="12.625" customWidth="1"/>
    <col min="13835" max="13835" width="5.625" customWidth="1"/>
    <col min="14085" max="14085" width="7.875" customWidth="1"/>
    <col min="14089" max="14089" width="7.25" customWidth="1"/>
    <col min="14090" max="14090" width="12.625" customWidth="1"/>
    <col min="14091" max="14091" width="5.625" customWidth="1"/>
    <col min="14341" max="14341" width="7.875" customWidth="1"/>
    <col min="14345" max="14345" width="7.25" customWidth="1"/>
    <col min="14346" max="14346" width="12.625" customWidth="1"/>
    <col min="14347" max="14347" width="5.625" customWidth="1"/>
    <col min="14597" max="14597" width="7.875" customWidth="1"/>
    <col min="14601" max="14601" width="7.25" customWidth="1"/>
    <col min="14602" max="14602" width="12.625" customWidth="1"/>
    <col min="14603" max="14603" width="5.625" customWidth="1"/>
    <col min="14853" max="14853" width="7.875" customWidth="1"/>
    <col min="14857" max="14857" width="7.25" customWidth="1"/>
    <col min="14858" max="14858" width="12.625" customWidth="1"/>
    <col min="14859" max="14859" width="5.625" customWidth="1"/>
    <col min="15109" max="15109" width="7.875" customWidth="1"/>
    <col min="15113" max="15113" width="7.25" customWidth="1"/>
    <col min="15114" max="15114" width="12.625" customWidth="1"/>
    <col min="15115" max="15115" width="5.625" customWidth="1"/>
    <col min="15365" max="15365" width="7.875" customWidth="1"/>
    <col min="15369" max="15369" width="7.25" customWidth="1"/>
    <col min="15370" max="15370" width="12.625" customWidth="1"/>
    <col min="15371" max="15371" width="5.625" customWidth="1"/>
    <col min="15621" max="15621" width="7.875" customWidth="1"/>
    <col min="15625" max="15625" width="7.25" customWidth="1"/>
    <col min="15626" max="15626" width="12.625" customWidth="1"/>
    <col min="15627" max="15627" width="5.625" customWidth="1"/>
    <col min="15877" max="15877" width="7.875" customWidth="1"/>
    <col min="15881" max="15881" width="7.25" customWidth="1"/>
    <col min="15882" max="15882" width="12.625" customWidth="1"/>
    <col min="15883" max="15883" width="5.625" customWidth="1"/>
    <col min="16133" max="16133" width="7.875" customWidth="1"/>
    <col min="16137" max="16137" width="7.25" customWidth="1"/>
    <col min="16138" max="16138" width="12.625" customWidth="1"/>
    <col min="16139" max="16139" width="5.625" customWidth="1"/>
  </cols>
  <sheetData>
    <row r="1" spans="1:12" s="197" customFormat="1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s="197" customFormat="1" ht="34.5">
      <c r="B2" s="3"/>
      <c r="E2" s="3"/>
      <c r="F2" s="3"/>
      <c r="G2" s="3"/>
      <c r="H2" s="3"/>
    </row>
    <row r="3" spans="1:12" s="197" customFormat="1" ht="32.25">
      <c r="B3" s="5"/>
      <c r="C3" s="6" t="s">
        <v>2</v>
      </c>
      <c r="E3" s="5"/>
      <c r="F3" s="5"/>
      <c r="G3" s="5"/>
      <c r="H3" s="5"/>
    </row>
    <row r="4" spans="1:12" s="197" customFormat="1"/>
    <row r="5" spans="1:12" s="197" customFormat="1"/>
    <row r="6" spans="1:12" s="197" customFormat="1" ht="59.25">
      <c r="C6" s="7" t="s">
        <v>3</v>
      </c>
      <c r="G6" s="200" t="s">
        <v>4</v>
      </c>
      <c r="H6" s="346">
        <v>90210</v>
      </c>
      <c r="I6" s="346"/>
      <c r="J6" s="346"/>
      <c r="K6" s="346"/>
    </row>
    <row r="7" spans="1:12" s="197" customFormat="1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s="197" customFormat="1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9" spans="1:12" s="197" customFormat="1"/>
    <row r="10" spans="1:12" s="197" customFormat="1" ht="33" thickBot="1">
      <c r="A10" s="14" t="s">
        <v>5</v>
      </c>
      <c r="C10" s="347" t="str">
        <f>IF('09-54-01 BIC'!$B$11="","N/A",'09-54-01 BIC'!$B$11)</f>
        <v>N/A</v>
      </c>
      <c r="D10" s="347"/>
      <c r="E10" s="15" t="s">
        <v>6</v>
      </c>
      <c r="F10" s="347" t="str">
        <f>IF('09-54-01 BIC'!$B$12="","N/A",'09-54-01 BIC'!$B$12)</f>
        <v>N/A</v>
      </c>
      <c r="G10" s="347"/>
      <c r="H10" s="347"/>
      <c r="I10" s="15" t="s">
        <v>7</v>
      </c>
      <c r="J10" s="347" t="str">
        <f>IF('09-54-01 BIC'!$B$13="","N/A",'09-54-01 BIC'!$B$13)</f>
        <v>N/A</v>
      </c>
      <c r="K10" s="347"/>
      <c r="L10" s="16" t="s">
        <v>8</v>
      </c>
    </row>
    <row r="11" spans="1:12" s="197" customFormat="1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s="197" customFormat="1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s="197" customFormat="1" ht="33" thickBot="1">
      <c r="A13" s="14" t="s">
        <v>5</v>
      </c>
      <c r="C13" s="347" t="str">
        <f>IF('09-54-01 BIC'!$B$15="","N/A",'09-54-01 BIC'!$B$15)</f>
        <v>N/A</v>
      </c>
      <c r="D13" s="347"/>
      <c r="E13" s="15" t="s">
        <v>6</v>
      </c>
      <c r="F13" s="347" t="str">
        <f>IF('09-54-01 BIC'!$B$16="","N/A",'09-54-01 BIC'!$B$16)</f>
        <v>N/A</v>
      </c>
      <c r="G13" s="347"/>
      <c r="H13" s="347"/>
      <c r="I13" s="15" t="s">
        <v>7</v>
      </c>
      <c r="J13" s="347" t="str">
        <f>IF('09-54-01 BIC'!$B$17="","N/A",'09-54-01 BIC'!$B$17)</f>
        <v>N/A</v>
      </c>
      <c r="K13" s="347"/>
      <c r="L13" s="16" t="s">
        <v>8</v>
      </c>
    </row>
    <row r="14" spans="1:12" s="197" customFormat="1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s="197" customFormat="1" ht="18">
      <c r="I15" s="21"/>
      <c r="L15" s="20"/>
    </row>
    <row r="16" spans="1:12" s="197" customFormat="1" ht="33" thickBot="1">
      <c r="A16" s="14" t="s">
        <v>5</v>
      </c>
      <c r="C16" s="347" t="str">
        <f>IF('09-54-01 BIC'!$B$19="","N/A",'09-54-01 BIC'!$B$19)</f>
        <v>N/A</v>
      </c>
      <c r="D16" s="347"/>
      <c r="E16" s="15" t="s">
        <v>6</v>
      </c>
      <c r="F16" s="347" t="str">
        <f>IF('09-54-01 BIC'!$B$20="","N/A",'09-54-01 BIC'!$B$20)</f>
        <v>N/A</v>
      </c>
      <c r="G16" s="347"/>
      <c r="H16" s="347"/>
      <c r="I16" s="15" t="s">
        <v>7</v>
      </c>
      <c r="J16" s="347" t="str">
        <f>IF('09-54-01 BIC'!$B$21="","N/A",'09-54-01 BIC'!$B$21)</f>
        <v>N/A</v>
      </c>
      <c r="K16" s="347"/>
      <c r="L16" s="16" t="s">
        <v>8</v>
      </c>
    </row>
    <row r="17" spans="1:12" s="197" customFormat="1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s="197" customFormat="1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s="197" customFormat="1" ht="33" thickBot="1">
      <c r="A19" s="14" t="s">
        <v>5</v>
      </c>
      <c r="C19" s="347" t="str">
        <f>IF('09-54-01 BIC'!$B$23="","N/A",'09-54-01 BIC'!$B$23)</f>
        <v>N/A</v>
      </c>
      <c r="D19" s="347"/>
      <c r="E19" s="15" t="s">
        <v>6</v>
      </c>
      <c r="F19" s="347" t="str">
        <f>IF('09-54-01 BIC'!$B$24="","N/A",'09-54-01 BIC'!$B$24)</f>
        <v>N/A</v>
      </c>
      <c r="G19" s="347"/>
      <c r="H19" s="347"/>
      <c r="I19" s="15" t="s">
        <v>7</v>
      </c>
      <c r="J19" s="347" t="str">
        <f>IF('09-54-01 BIC'!$B$25="","N/A",'09-54-01 BIC'!$B$25)</f>
        <v>N/A</v>
      </c>
      <c r="K19" s="347"/>
      <c r="L19" s="16" t="s">
        <v>8</v>
      </c>
    </row>
    <row r="20" spans="1:12" s="197" customFormat="1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s="197" customFormat="1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s="197" customFormat="1" ht="33" thickBot="1">
      <c r="A22" s="14" t="s">
        <v>5</v>
      </c>
      <c r="C22" s="347" t="s">
        <v>231</v>
      </c>
      <c r="D22" s="347"/>
      <c r="E22" s="15" t="s">
        <v>6</v>
      </c>
      <c r="F22" s="347" t="s">
        <v>231</v>
      </c>
      <c r="G22" s="347"/>
      <c r="H22" s="347"/>
      <c r="I22" s="15" t="s">
        <v>7</v>
      </c>
      <c r="J22" s="347" t="s">
        <v>231</v>
      </c>
      <c r="K22" s="347"/>
      <c r="L22" s="16" t="s">
        <v>8</v>
      </c>
    </row>
    <row r="23" spans="1:12" s="197" customFormat="1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4" spans="1:12" s="197" customFormat="1"/>
    <row r="25" spans="1:12" s="197" customFormat="1"/>
    <row r="26" spans="1:12" s="197" customFormat="1" ht="22.5">
      <c r="A26" s="24" t="s">
        <v>9</v>
      </c>
      <c r="B26" s="24"/>
      <c r="C26" s="25"/>
      <c r="D26" s="351"/>
      <c r="E26" s="351"/>
      <c r="F26" s="351"/>
      <c r="G26" s="25"/>
      <c r="H26" s="26" t="s">
        <v>10</v>
      </c>
      <c r="I26" s="25"/>
      <c r="J26" s="352">
        <f ca="1">TODAY()</f>
        <v>43790</v>
      </c>
      <c r="K26" s="352"/>
      <c r="L26" s="352"/>
    </row>
    <row r="27" spans="1:12" s="197" customFormat="1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s="197" customFormat="1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s="197" customFormat="1" ht="45" thickBot="1">
      <c r="C29" s="7" t="s">
        <v>11</v>
      </c>
      <c r="G29" s="348">
        <v>1</v>
      </c>
      <c r="H29" s="349"/>
      <c r="I29" s="350"/>
    </row>
    <row r="30" spans="1:12" s="197" customFormat="1"/>
    <row r="31" spans="1:12" s="197" customFormat="1"/>
    <row r="32" spans="1:12" s="197" customFormat="1">
      <c r="A32" s="28" t="s">
        <v>12</v>
      </c>
      <c r="B32" s="29" t="s">
        <v>13</v>
      </c>
      <c r="C32" s="30"/>
      <c r="D32" s="30"/>
      <c r="E32" s="30"/>
      <c r="F32" s="30"/>
      <c r="G32" s="30"/>
      <c r="H32" s="30"/>
      <c r="I32" s="30"/>
      <c r="J32" s="30"/>
      <c r="L32" s="28" t="s">
        <v>14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A34" s="197"/>
      <c r="B34" s="3"/>
      <c r="C34" s="197"/>
      <c r="D34" s="197"/>
      <c r="E34" s="3"/>
      <c r="F34" s="3"/>
      <c r="G34" s="3"/>
      <c r="H34" s="3"/>
      <c r="I34" s="197"/>
      <c r="J34" s="197"/>
      <c r="K34" s="197"/>
      <c r="L34" s="197"/>
    </row>
    <row r="35" spans="1:12" ht="32.25">
      <c r="A35" s="197"/>
      <c r="B35" s="5"/>
      <c r="C35" s="6" t="s">
        <v>2</v>
      </c>
      <c r="D35" s="197"/>
      <c r="E35" s="5"/>
      <c r="F35" s="5"/>
      <c r="G35" s="5"/>
      <c r="H35" s="5"/>
      <c r="I35" s="197"/>
      <c r="J35" s="197"/>
      <c r="K35" s="197"/>
      <c r="L35" s="197"/>
    </row>
    <row r="36" spans="1:12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</row>
    <row r="37" spans="1:12">
      <c r="A37" s="197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</row>
    <row r="38" spans="1:12" ht="59.25">
      <c r="A38" s="197"/>
      <c r="B38" s="197"/>
      <c r="C38" s="7" t="s">
        <v>3</v>
      </c>
      <c r="D38" s="197"/>
      <c r="E38" s="197"/>
      <c r="F38" s="197"/>
      <c r="G38" s="200" t="s">
        <v>4</v>
      </c>
      <c r="H38" s="346">
        <f>IF($H$6 = "", "", $H$6)</f>
        <v>90210</v>
      </c>
      <c r="I38" s="346"/>
      <c r="J38" s="346"/>
      <c r="K38" s="346"/>
      <c r="L38" s="197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1" spans="1:12">
      <c r="A41" s="197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</row>
    <row r="42" spans="1:12" ht="33" thickBot="1">
      <c r="A42" s="14" t="s">
        <v>5</v>
      </c>
      <c r="B42" s="197"/>
      <c r="C42" s="347" t="str">
        <f>IF('09-54-01 BIC'!$C$11="","N/A",'09-54-01 BIC'!$C$11)</f>
        <v>N/A</v>
      </c>
      <c r="D42" s="347"/>
      <c r="E42" s="15" t="s">
        <v>6</v>
      </c>
      <c r="F42" s="347" t="str">
        <f>IF('09-54-01 BIC'!$C$12="","N/A",'09-54-01 BIC'!$C$12)</f>
        <v>N/A</v>
      </c>
      <c r="G42" s="347"/>
      <c r="H42" s="347"/>
      <c r="I42" s="15" t="s">
        <v>7</v>
      </c>
      <c r="J42" s="347" t="str">
        <f>IF('09-54-01 BIC'!$C$13="","N/A",'09-54-01 BIC'!$C$13)</f>
        <v>N/A</v>
      </c>
      <c r="K42" s="347"/>
      <c r="L42" s="16" t="s">
        <v>8</v>
      </c>
    </row>
    <row r="43" spans="1:12" ht="32.25">
      <c r="A43" s="14"/>
      <c r="B43" s="197"/>
      <c r="C43" s="17"/>
      <c r="D43" s="17"/>
      <c r="E43" s="15"/>
      <c r="F43" s="17"/>
      <c r="G43" s="17"/>
      <c r="H43" s="17"/>
      <c r="I43" s="15"/>
      <c r="J43" s="17"/>
      <c r="K43" s="17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33" thickBot="1">
      <c r="A45" s="14" t="s">
        <v>5</v>
      </c>
      <c r="B45" s="197"/>
      <c r="C45" s="347" t="str">
        <f>IF('09-54-01 BIC'!$C$15="","N/A",'09-54-01 BIC'!$C$15)</f>
        <v>N/A</v>
      </c>
      <c r="D45" s="347"/>
      <c r="E45" s="15" t="s">
        <v>6</v>
      </c>
      <c r="F45" s="347" t="str">
        <f>IF('09-54-01 BIC'!$C$16="","N/A",'09-54-01 BIC'!$C$16)</f>
        <v>N/A</v>
      </c>
      <c r="G45" s="347"/>
      <c r="H45" s="347"/>
      <c r="I45" s="15" t="s">
        <v>7</v>
      </c>
      <c r="J45" s="347" t="str">
        <f>IF('09-54-01 BIC'!$C$17="","N/A",'09-54-01 BIC'!$C$17)</f>
        <v>N/A</v>
      </c>
      <c r="K45" s="347"/>
      <c r="L45" s="16" t="s">
        <v>8</v>
      </c>
    </row>
    <row r="46" spans="1:12" ht="32.25">
      <c r="A46" s="14"/>
      <c r="B46" s="197"/>
      <c r="C46" s="17"/>
      <c r="D46" s="17"/>
      <c r="E46" s="15"/>
      <c r="F46" s="17"/>
      <c r="G46" s="17"/>
      <c r="H46" s="17"/>
      <c r="I46" s="15"/>
      <c r="J46" s="17"/>
      <c r="K46" s="17"/>
      <c r="L46" s="18"/>
    </row>
    <row r="47" spans="1:12" ht="18">
      <c r="A47" s="197"/>
      <c r="B47" s="197"/>
      <c r="C47" s="228"/>
      <c r="D47" s="228"/>
      <c r="E47" s="228"/>
      <c r="F47" s="228"/>
      <c r="G47" s="228"/>
      <c r="H47" s="228"/>
      <c r="I47" s="21"/>
      <c r="J47" s="228"/>
      <c r="K47" s="228"/>
      <c r="L47" s="20"/>
    </row>
    <row r="48" spans="1:12" ht="33" thickBot="1">
      <c r="A48" s="14" t="s">
        <v>5</v>
      </c>
      <c r="B48" s="197"/>
      <c r="C48" s="347" t="str">
        <f>IF('09-54-01 BIC'!$C$19="","N/A",'09-54-01 BIC'!$C$19)</f>
        <v>N/A</v>
      </c>
      <c r="D48" s="347"/>
      <c r="E48" s="15" t="s">
        <v>6</v>
      </c>
      <c r="F48" s="347" t="str">
        <f>IF('09-54-01 BIC'!$C$20="","N/A",'09-54-01 BIC'!$C$20)</f>
        <v>N/A</v>
      </c>
      <c r="G48" s="347"/>
      <c r="H48" s="347"/>
      <c r="I48" s="15" t="s">
        <v>7</v>
      </c>
      <c r="J48" s="347" t="str">
        <f>IF('09-54-01 BIC'!$C$21="","N/A",'09-54-01 BIC'!$C$21)</f>
        <v>N/A</v>
      </c>
      <c r="K48" s="347"/>
      <c r="L48" s="16" t="s">
        <v>8</v>
      </c>
    </row>
    <row r="49" spans="1:12" ht="32.25">
      <c r="A49" s="14"/>
      <c r="B49" s="197"/>
      <c r="C49" s="17"/>
      <c r="D49" s="17"/>
      <c r="E49" s="15"/>
      <c r="F49" s="17"/>
      <c r="G49" s="17"/>
      <c r="H49" s="17"/>
      <c r="I49" s="15"/>
      <c r="J49" s="17"/>
      <c r="K49" s="17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33" thickBot="1">
      <c r="A51" s="14" t="s">
        <v>5</v>
      </c>
      <c r="B51" s="197"/>
      <c r="C51" s="347" t="str">
        <f>IF('09-54-01 BIC'!$C$23="","N/A",'09-54-01 BIC'!$C$23)</f>
        <v>N/A</v>
      </c>
      <c r="D51" s="347"/>
      <c r="E51" s="15" t="s">
        <v>6</v>
      </c>
      <c r="F51" s="347" t="str">
        <f>IF('09-54-01 BIC'!$C$24="","N/A",'09-54-01 BIC'!$C$24)</f>
        <v>N/A</v>
      </c>
      <c r="G51" s="347"/>
      <c r="H51" s="347"/>
      <c r="I51" s="15" t="s">
        <v>7</v>
      </c>
      <c r="J51" s="347" t="str">
        <f>IF('09-54-01 BIC'!$C$25="","N/A",'09-54-01 BIC'!$C$25)</f>
        <v>N/A</v>
      </c>
      <c r="K51" s="347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33" thickBot="1">
      <c r="A54" s="14" t="s">
        <v>5</v>
      </c>
      <c r="B54" s="197"/>
      <c r="C54" s="347" t="s">
        <v>231</v>
      </c>
      <c r="D54" s="347"/>
      <c r="E54" s="15" t="s">
        <v>6</v>
      </c>
      <c r="F54" s="347" t="s">
        <v>231</v>
      </c>
      <c r="G54" s="347"/>
      <c r="H54" s="347"/>
      <c r="I54" s="15" t="s">
        <v>7</v>
      </c>
      <c r="J54" s="347" t="s">
        <v>231</v>
      </c>
      <c r="K54" s="347"/>
      <c r="L54" s="16" t="s">
        <v>8</v>
      </c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6" spans="1:12">
      <c r="A56" s="197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</row>
    <row r="57" spans="1:12">
      <c r="A57" s="197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</row>
    <row r="58" spans="1:12" ht="22.5">
      <c r="A58" s="24" t="s">
        <v>9</v>
      </c>
      <c r="B58" s="24"/>
      <c r="C58" s="25"/>
      <c r="D58" s="351"/>
      <c r="E58" s="351"/>
      <c r="F58" s="351"/>
      <c r="G58" s="25"/>
      <c r="H58" s="26" t="s">
        <v>10</v>
      </c>
      <c r="I58" s="25"/>
      <c r="J58" s="352">
        <f ca="1">$J$26</f>
        <v>43790</v>
      </c>
      <c r="K58" s="352"/>
      <c r="L58" s="352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A61" s="197"/>
      <c r="B61" s="197"/>
      <c r="C61" s="7" t="s">
        <v>11</v>
      </c>
      <c r="D61" s="197"/>
      <c r="E61" s="197"/>
      <c r="F61" s="197"/>
      <c r="G61" s="348">
        <f>G29+1</f>
        <v>2</v>
      </c>
      <c r="H61" s="349"/>
      <c r="I61" s="350"/>
      <c r="J61" s="197"/>
      <c r="K61" s="197"/>
      <c r="L61" s="197"/>
    </row>
    <row r="62" spans="1:12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</row>
    <row r="63" spans="1:12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</row>
    <row r="64" spans="1:12">
      <c r="A64" s="28" t="s">
        <v>12</v>
      </c>
      <c r="B64" s="29" t="s">
        <v>13</v>
      </c>
      <c r="C64" s="30"/>
      <c r="D64" s="30"/>
      <c r="E64" s="30"/>
      <c r="F64" s="30"/>
      <c r="G64" s="30"/>
      <c r="H64" s="30"/>
      <c r="I64" s="30"/>
      <c r="J64" s="30"/>
      <c r="K64" s="197"/>
      <c r="L64" s="28" t="s">
        <v>14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A66" s="197"/>
      <c r="B66" s="3"/>
      <c r="C66" s="197"/>
      <c r="D66" s="197"/>
      <c r="E66" s="3"/>
      <c r="F66" s="3"/>
      <c r="G66" s="3"/>
      <c r="H66" s="3"/>
      <c r="I66" s="197"/>
      <c r="J66" s="197"/>
      <c r="K66" s="197"/>
      <c r="L66" s="197"/>
    </row>
    <row r="67" spans="1:12" ht="32.25">
      <c r="A67" s="197"/>
      <c r="B67" s="5"/>
      <c r="C67" s="6" t="s">
        <v>2</v>
      </c>
      <c r="D67" s="197"/>
      <c r="E67" s="5"/>
      <c r="F67" s="5"/>
      <c r="G67" s="5"/>
      <c r="H67" s="5"/>
      <c r="I67" s="197"/>
      <c r="J67" s="197"/>
      <c r="K67" s="197"/>
      <c r="L67" s="197"/>
    </row>
    <row r="68" spans="1:12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</row>
    <row r="69" spans="1:12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</row>
    <row r="70" spans="1:12" ht="59.25">
      <c r="A70" s="197"/>
      <c r="B70" s="197"/>
      <c r="C70" s="7" t="s">
        <v>3</v>
      </c>
      <c r="D70" s="197"/>
      <c r="E70" s="197"/>
      <c r="F70" s="197"/>
      <c r="G70" s="200" t="s">
        <v>4</v>
      </c>
      <c r="H70" s="346">
        <f>IF($H$6 = "", "", $H$6)</f>
        <v>90210</v>
      </c>
      <c r="I70" s="346"/>
      <c r="J70" s="346"/>
      <c r="K70" s="346"/>
      <c r="L70" s="197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3" spans="1:12">
      <c r="A73" s="197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</row>
    <row r="74" spans="1:12" ht="33" thickBot="1">
      <c r="A74" s="14" t="s">
        <v>5</v>
      </c>
      <c r="B74" s="197"/>
      <c r="C74" s="347" t="str">
        <f>IF('09-54-01 BIC'!$D$11="","N/A",'09-54-01 BIC'!$D$11)</f>
        <v>N/A</v>
      </c>
      <c r="D74" s="347"/>
      <c r="E74" s="15" t="s">
        <v>6</v>
      </c>
      <c r="F74" s="347" t="str">
        <f>IF('09-54-01 BIC'!$D$12="","N/A",'09-54-01 BIC'!$D$12)</f>
        <v>N/A</v>
      </c>
      <c r="G74" s="347"/>
      <c r="H74" s="347"/>
      <c r="I74" s="15" t="s">
        <v>7</v>
      </c>
      <c r="J74" s="347" t="str">
        <f>IF('09-54-01 BIC'!$D$13="","N/A",'09-54-01 BIC'!$D$13)</f>
        <v>N/A</v>
      </c>
      <c r="K74" s="347"/>
      <c r="L74" s="16" t="s">
        <v>8</v>
      </c>
    </row>
    <row r="75" spans="1:12" ht="32.25">
      <c r="A75" s="14"/>
      <c r="B75" s="197"/>
      <c r="C75" s="17"/>
      <c r="D75" s="17"/>
      <c r="E75" s="15"/>
      <c r="F75" s="17"/>
      <c r="G75" s="17"/>
      <c r="H75" s="17"/>
      <c r="I75" s="15"/>
      <c r="J75" s="17"/>
      <c r="K75" s="17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33" thickBot="1">
      <c r="A77" s="14" t="s">
        <v>5</v>
      </c>
      <c r="B77" s="197"/>
      <c r="C77" s="347" t="str">
        <f>IF('09-54-01 BIC'!$D$15="","N/A",'09-54-01 BIC'!$D$15)</f>
        <v>N/A</v>
      </c>
      <c r="D77" s="347"/>
      <c r="E77" s="15" t="s">
        <v>6</v>
      </c>
      <c r="F77" s="347" t="str">
        <f>IF('09-54-01 BIC'!$D$16="","N/A",'09-54-01 BIC'!$D$16)</f>
        <v>N/A</v>
      </c>
      <c r="G77" s="347"/>
      <c r="H77" s="347"/>
      <c r="I77" s="15" t="s">
        <v>7</v>
      </c>
      <c r="J77" s="347" t="str">
        <f>IF('09-54-01 BIC'!$D$17="","N/A",'09-54-01 BIC'!$D$17)</f>
        <v>N/A</v>
      </c>
      <c r="K77" s="347"/>
      <c r="L77" s="16" t="s">
        <v>8</v>
      </c>
    </row>
    <row r="78" spans="1:12" ht="32.25">
      <c r="A78" s="14"/>
      <c r="B78" s="197"/>
      <c r="C78" s="17"/>
      <c r="D78" s="17"/>
      <c r="E78" s="15"/>
      <c r="F78" s="17"/>
      <c r="G78" s="17"/>
      <c r="H78" s="17"/>
      <c r="I78" s="15"/>
      <c r="J78" s="17"/>
      <c r="K78" s="17"/>
      <c r="L78" s="18"/>
    </row>
    <row r="79" spans="1:12" ht="18">
      <c r="A79" s="197"/>
      <c r="B79" s="197"/>
      <c r="C79" s="228"/>
      <c r="D79" s="228"/>
      <c r="E79" s="228"/>
      <c r="F79" s="228"/>
      <c r="G79" s="228"/>
      <c r="H79" s="228"/>
      <c r="I79" s="21"/>
      <c r="J79" s="228"/>
      <c r="K79" s="228"/>
      <c r="L79" s="20"/>
    </row>
    <row r="80" spans="1:12" ht="33" thickBot="1">
      <c r="A80" s="14" t="s">
        <v>5</v>
      </c>
      <c r="B80" s="197"/>
      <c r="C80" s="347" t="str">
        <f>IF('09-54-01 BIC'!$D$19="","N/A",'09-54-01 BIC'!$D$19)</f>
        <v>N/A</v>
      </c>
      <c r="D80" s="347"/>
      <c r="E80" s="15" t="s">
        <v>6</v>
      </c>
      <c r="F80" s="347" t="str">
        <f>IF('09-54-01 BIC'!$D$20="","N/A",'09-54-01 BIC'!$D$20)</f>
        <v>N/A</v>
      </c>
      <c r="G80" s="347"/>
      <c r="H80" s="347"/>
      <c r="I80" s="15" t="s">
        <v>7</v>
      </c>
      <c r="J80" s="347" t="str">
        <f>IF('09-54-01 BIC'!$D$21="","N/A",'09-54-01 BIC'!$D$21)</f>
        <v>N/A</v>
      </c>
      <c r="K80" s="347"/>
      <c r="L80" s="16" t="s">
        <v>8</v>
      </c>
    </row>
    <row r="81" spans="1:12" ht="32.25">
      <c r="A81" s="14"/>
      <c r="B81" s="197"/>
      <c r="C81" s="17"/>
      <c r="D81" s="17"/>
      <c r="E81" s="15"/>
      <c r="F81" s="17"/>
      <c r="G81" s="17"/>
      <c r="H81" s="17"/>
      <c r="I81" s="15"/>
      <c r="J81" s="17"/>
      <c r="K81" s="17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33" thickBot="1">
      <c r="A83" s="14" t="s">
        <v>5</v>
      </c>
      <c r="B83" s="197"/>
      <c r="C83" s="347" t="str">
        <f>IF('09-54-01 BIC'!$D$23="","N/A",'09-54-01 BIC'!$D$23)</f>
        <v>N/A</v>
      </c>
      <c r="D83" s="347"/>
      <c r="E83" s="15" t="s">
        <v>6</v>
      </c>
      <c r="F83" s="347" t="str">
        <f>IF('09-54-01 BIC'!$D$24="","N/A",'09-54-01 BIC'!$D$24)</f>
        <v>N/A</v>
      </c>
      <c r="G83" s="347"/>
      <c r="H83" s="347"/>
      <c r="I83" s="15" t="s">
        <v>7</v>
      </c>
      <c r="J83" s="347" t="str">
        <f>IF('09-54-01 BIC'!$D$25="","N/A",'09-54-01 BIC'!$D$25)</f>
        <v>N/A</v>
      </c>
      <c r="K83" s="347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33" thickBot="1">
      <c r="A86" s="14" t="s">
        <v>5</v>
      </c>
      <c r="B86" s="197"/>
      <c r="C86" s="347" t="s">
        <v>231</v>
      </c>
      <c r="D86" s="347"/>
      <c r="E86" s="15" t="s">
        <v>6</v>
      </c>
      <c r="F86" s="347" t="s">
        <v>231</v>
      </c>
      <c r="G86" s="347"/>
      <c r="H86" s="347"/>
      <c r="I86" s="15" t="s">
        <v>7</v>
      </c>
      <c r="J86" s="347" t="s">
        <v>231</v>
      </c>
      <c r="K86" s="347"/>
      <c r="L86" s="16" t="s">
        <v>8</v>
      </c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88" spans="1:12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</row>
    <row r="89" spans="1:12">
      <c r="A89" s="197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</row>
    <row r="90" spans="1:12" ht="22.5">
      <c r="A90" s="24" t="s">
        <v>9</v>
      </c>
      <c r="B90" s="24"/>
      <c r="C90" s="25"/>
      <c r="D90" s="351"/>
      <c r="E90" s="351"/>
      <c r="F90" s="351"/>
      <c r="G90" s="25"/>
      <c r="H90" s="26" t="s">
        <v>10</v>
      </c>
      <c r="I90" s="25"/>
      <c r="J90" s="352">
        <f ca="1">$J$26</f>
        <v>43790</v>
      </c>
      <c r="K90" s="352"/>
      <c r="L90" s="352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A93" s="197"/>
      <c r="B93" s="197"/>
      <c r="C93" s="7" t="s">
        <v>11</v>
      </c>
      <c r="D93" s="197"/>
      <c r="E93" s="197"/>
      <c r="F93" s="197"/>
      <c r="G93" s="348">
        <f>G61+1</f>
        <v>3</v>
      </c>
      <c r="H93" s="349"/>
      <c r="I93" s="350"/>
      <c r="J93" s="197"/>
      <c r="K93" s="197"/>
      <c r="L93" s="197"/>
    </row>
    <row r="94" spans="1:12">
      <c r="A94" s="197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</row>
    <row r="95" spans="1:12">
      <c r="A95" s="197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</row>
    <row r="96" spans="1:12">
      <c r="A96" s="28" t="s">
        <v>12</v>
      </c>
      <c r="B96" s="29" t="s">
        <v>13</v>
      </c>
      <c r="C96" s="30"/>
      <c r="D96" s="30"/>
      <c r="E96" s="30"/>
      <c r="F96" s="30"/>
      <c r="G96" s="30"/>
      <c r="H96" s="30"/>
      <c r="I96" s="30"/>
      <c r="J96" s="30"/>
      <c r="K96" s="197"/>
      <c r="L96" s="28" t="s">
        <v>14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A98" s="197"/>
      <c r="B98" s="3"/>
      <c r="C98" s="197"/>
      <c r="D98" s="197"/>
      <c r="E98" s="3"/>
      <c r="F98" s="3"/>
      <c r="G98" s="3"/>
      <c r="H98" s="3"/>
      <c r="I98" s="197"/>
      <c r="J98" s="197"/>
      <c r="K98" s="197"/>
      <c r="L98" s="197"/>
    </row>
    <row r="99" spans="1:12" ht="32.25">
      <c r="A99" s="197"/>
      <c r="B99" s="5"/>
      <c r="C99" s="6" t="s">
        <v>2</v>
      </c>
      <c r="D99" s="197"/>
      <c r="E99" s="5"/>
      <c r="F99" s="5"/>
      <c r="G99" s="5"/>
      <c r="H99" s="5"/>
      <c r="I99" s="197"/>
      <c r="J99" s="197"/>
      <c r="K99" s="197"/>
      <c r="L99" s="197"/>
    </row>
    <row r="100" spans="1:12">
      <c r="A100" s="197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</row>
    <row r="101" spans="1:12">
      <c r="A101" s="197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</row>
    <row r="102" spans="1:12" ht="59.25">
      <c r="A102" s="197"/>
      <c r="B102" s="197"/>
      <c r="C102" s="7" t="s">
        <v>3</v>
      </c>
      <c r="D102" s="197"/>
      <c r="E102" s="197"/>
      <c r="F102" s="197"/>
      <c r="G102" s="200" t="s">
        <v>4</v>
      </c>
      <c r="H102" s="346">
        <f>IF($H$6 = "", "", $H$6)</f>
        <v>90210</v>
      </c>
      <c r="I102" s="346"/>
      <c r="J102" s="346"/>
      <c r="K102" s="346"/>
      <c r="L102" s="197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5" spans="1:12">
      <c r="A105" s="197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</row>
    <row r="106" spans="1:12" ht="33" thickBot="1">
      <c r="A106" s="14" t="s">
        <v>5</v>
      </c>
      <c r="B106" s="197"/>
      <c r="C106" s="347" t="str">
        <f>IF('09-54-01 BIC'!$E$11="","N/A",'09-54-01 BIC'!$E$11)</f>
        <v>N/A</v>
      </c>
      <c r="D106" s="347"/>
      <c r="E106" s="15" t="s">
        <v>6</v>
      </c>
      <c r="F106" s="347" t="str">
        <f>IF('09-54-01 BIC'!$E$12="","N/A",'09-54-01 BIC'!$E$12)</f>
        <v>N/A</v>
      </c>
      <c r="G106" s="347"/>
      <c r="H106" s="347"/>
      <c r="I106" s="15" t="s">
        <v>7</v>
      </c>
      <c r="J106" s="347" t="str">
        <f>IF('09-54-01 BIC'!$E$13="","N/A",'09-54-01 BIC'!$E$13)</f>
        <v>N/A</v>
      </c>
      <c r="K106" s="347"/>
      <c r="L106" s="16" t="s">
        <v>8</v>
      </c>
    </row>
    <row r="107" spans="1:12" ht="32.25">
      <c r="A107" s="14"/>
      <c r="B107" s="197"/>
      <c r="C107" s="17"/>
      <c r="D107" s="17"/>
      <c r="E107" s="15"/>
      <c r="F107" s="17"/>
      <c r="G107" s="17"/>
      <c r="H107" s="17"/>
      <c r="I107" s="15"/>
      <c r="J107" s="17"/>
      <c r="K107" s="17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33" thickBot="1">
      <c r="A109" s="14" t="s">
        <v>5</v>
      </c>
      <c r="B109" s="197"/>
      <c r="C109" s="347" t="str">
        <f>IF('09-54-01 BIC'!$E$15="","N/A",'09-54-01 BIC'!$E$15)</f>
        <v>N/A</v>
      </c>
      <c r="D109" s="347"/>
      <c r="E109" s="15" t="s">
        <v>6</v>
      </c>
      <c r="F109" s="347" t="str">
        <f>IF('09-54-01 BIC'!$E$16="","N/A",'09-54-01 BIC'!$E$16)</f>
        <v>N/A</v>
      </c>
      <c r="G109" s="347"/>
      <c r="H109" s="347"/>
      <c r="I109" s="15" t="s">
        <v>7</v>
      </c>
      <c r="J109" s="347" t="str">
        <f>IF('09-54-01 BIC'!$E$17="","N/A",'09-54-01 BIC'!$E$17)</f>
        <v>N/A</v>
      </c>
      <c r="K109" s="347"/>
      <c r="L109" s="16" t="s">
        <v>8</v>
      </c>
    </row>
    <row r="110" spans="1:12" ht="32.25">
      <c r="A110" s="14"/>
      <c r="B110" s="197"/>
      <c r="C110" s="17"/>
      <c r="D110" s="17"/>
      <c r="E110" s="15"/>
      <c r="F110" s="17"/>
      <c r="G110" s="17"/>
      <c r="H110" s="17"/>
      <c r="I110" s="15"/>
      <c r="J110" s="17"/>
      <c r="K110" s="17"/>
      <c r="L110" s="18"/>
    </row>
    <row r="111" spans="1:12" ht="18">
      <c r="A111" s="197"/>
      <c r="B111" s="197"/>
      <c r="C111" s="228"/>
      <c r="D111" s="228"/>
      <c r="E111" s="228"/>
      <c r="F111" s="228"/>
      <c r="G111" s="228"/>
      <c r="H111" s="228"/>
      <c r="I111" s="21"/>
      <c r="J111" s="228"/>
      <c r="K111" s="228"/>
      <c r="L111" s="20"/>
    </row>
    <row r="112" spans="1:12" ht="33" thickBot="1">
      <c r="A112" s="14" t="s">
        <v>5</v>
      </c>
      <c r="B112" s="197"/>
      <c r="C112" s="347" t="str">
        <f>IF('09-54-01 BIC'!$E$19="","N/A",'09-54-01 BIC'!$E$19)</f>
        <v>N/A</v>
      </c>
      <c r="D112" s="347"/>
      <c r="E112" s="15" t="s">
        <v>6</v>
      </c>
      <c r="F112" s="347" t="str">
        <f>IF('09-54-01 BIC'!$E$20="","N/A",'09-54-01 BIC'!$E$20)</f>
        <v>N/A</v>
      </c>
      <c r="G112" s="347"/>
      <c r="H112" s="347"/>
      <c r="I112" s="15" t="s">
        <v>7</v>
      </c>
      <c r="J112" s="347" t="str">
        <f>IF('09-54-01 BIC'!$E$21="","N/A",'09-54-01 BIC'!$E$21)</f>
        <v>N/A</v>
      </c>
      <c r="K112" s="347"/>
      <c r="L112" s="16" t="s">
        <v>8</v>
      </c>
    </row>
    <row r="113" spans="1:12" ht="32.25">
      <c r="A113" s="14"/>
      <c r="B113" s="197"/>
      <c r="C113" s="17"/>
      <c r="D113" s="17"/>
      <c r="E113" s="15"/>
      <c r="F113" s="17"/>
      <c r="G113" s="17"/>
      <c r="H113" s="17"/>
      <c r="I113" s="15"/>
      <c r="J113" s="17"/>
      <c r="K113" s="17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33" thickBot="1">
      <c r="A115" s="14" t="s">
        <v>5</v>
      </c>
      <c r="B115" s="197"/>
      <c r="C115" s="347" t="str">
        <f>IF('09-54-01 BIC'!$E$23="","N/A",'09-54-01 BIC'!$E$23)</f>
        <v>N/A</v>
      </c>
      <c r="D115" s="347"/>
      <c r="E115" s="15" t="s">
        <v>6</v>
      </c>
      <c r="F115" s="347" t="str">
        <f>IF('09-54-01 BIC'!$E$24="","N/A",'09-54-01 BIC'!$E$24)</f>
        <v>N/A</v>
      </c>
      <c r="G115" s="347"/>
      <c r="H115" s="347"/>
      <c r="I115" s="15" t="s">
        <v>7</v>
      </c>
      <c r="J115" s="347" t="str">
        <f>IF('09-54-01 BIC'!$E$25="","N/A",'09-54-01 BIC'!$E$25)</f>
        <v>N/A</v>
      </c>
      <c r="K115" s="347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33" thickBot="1">
      <c r="A118" s="14" t="s">
        <v>5</v>
      </c>
      <c r="B118" s="197"/>
      <c r="C118" s="347" t="s">
        <v>231</v>
      </c>
      <c r="D118" s="347"/>
      <c r="E118" s="15" t="s">
        <v>6</v>
      </c>
      <c r="F118" s="347" t="s">
        <v>231</v>
      </c>
      <c r="G118" s="347"/>
      <c r="H118" s="347"/>
      <c r="I118" s="15" t="s">
        <v>7</v>
      </c>
      <c r="J118" s="347" t="s">
        <v>231</v>
      </c>
      <c r="K118" s="347"/>
      <c r="L118" s="16" t="s">
        <v>8</v>
      </c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0" spans="1:12">
      <c r="A120" s="197"/>
      <c r="B120" s="197"/>
      <c r="C120" s="197"/>
      <c r="D120" s="197"/>
      <c r="E120" s="197"/>
      <c r="F120" s="197"/>
      <c r="G120" s="197"/>
      <c r="H120" s="197"/>
      <c r="I120" s="197"/>
      <c r="J120" s="197"/>
      <c r="K120" s="197"/>
      <c r="L120" s="197"/>
    </row>
    <row r="121" spans="1:12">
      <c r="A121" s="197"/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</row>
    <row r="122" spans="1:12" ht="22.5">
      <c r="A122" s="24" t="s">
        <v>9</v>
      </c>
      <c r="B122" s="24"/>
      <c r="C122" s="25"/>
      <c r="D122" s="351"/>
      <c r="E122" s="351"/>
      <c r="F122" s="351"/>
      <c r="G122" s="25"/>
      <c r="H122" s="26" t="s">
        <v>10</v>
      </c>
      <c r="I122" s="25"/>
      <c r="J122" s="352">
        <f ca="1">$J$26</f>
        <v>43790</v>
      </c>
      <c r="K122" s="352"/>
      <c r="L122" s="352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A125" s="197"/>
      <c r="B125" s="197"/>
      <c r="C125" s="7" t="s">
        <v>11</v>
      </c>
      <c r="D125" s="197"/>
      <c r="E125" s="197"/>
      <c r="F125" s="197"/>
      <c r="G125" s="348">
        <f>G93+1</f>
        <v>4</v>
      </c>
      <c r="H125" s="349"/>
      <c r="I125" s="350"/>
      <c r="J125" s="197"/>
      <c r="K125" s="197"/>
      <c r="L125" s="197"/>
    </row>
    <row r="126" spans="1:12">
      <c r="A126" s="197"/>
      <c r="B126" s="197"/>
      <c r="C126" s="197"/>
      <c r="D126" s="197"/>
      <c r="E126" s="197"/>
      <c r="F126" s="197"/>
      <c r="G126" s="197"/>
      <c r="H126" s="197"/>
      <c r="I126" s="197"/>
      <c r="J126" s="197"/>
      <c r="K126" s="197"/>
      <c r="L126" s="197"/>
    </row>
    <row r="127" spans="1:12">
      <c r="A127" s="197"/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12">
      <c r="A128" s="28" t="s">
        <v>12</v>
      </c>
      <c r="B128" s="29" t="s">
        <v>13</v>
      </c>
      <c r="C128" s="30"/>
      <c r="D128" s="30"/>
      <c r="E128" s="30"/>
      <c r="F128" s="30"/>
      <c r="G128" s="30"/>
      <c r="H128" s="30"/>
      <c r="I128" s="30"/>
      <c r="J128" s="30"/>
      <c r="K128" s="197"/>
      <c r="L128" s="28" t="s">
        <v>14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A130" s="197"/>
      <c r="B130" s="3"/>
      <c r="C130" s="197"/>
      <c r="D130" s="197"/>
      <c r="E130" s="3"/>
      <c r="F130" s="3"/>
      <c r="G130" s="3"/>
      <c r="H130" s="3"/>
      <c r="I130" s="197"/>
      <c r="J130" s="197"/>
      <c r="K130" s="197"/>
      <c r="L130" s="197"/>
    </row>
    <row r="131" spans="1:12" ht="32.25">
      <c r="A131" s="197"/>
      <c r="B131" s="5"/>
      <c r="C131" s="6" t="s">
        <v>2</v>
      </c>
      <c r="D131" s="197"/>
      <c r="E131" s="5"/>
      <c r="F131" s="5"/>
      <c r="G131" s="5"/>
      <c r="H131" s="5"/>
      <c r="I131" s="197"/>
      <c r="J131" s="197"/>
      <c r="K131" s="197"/>
      <c r="L131" s="197"/>
    </row>
    <row r="132" spans="1:12">
      <c r="A132" s="197"/>
      <c r="B132" s="197"/>
      <c r="C132" s="197"/>
      <c r="D132" s="197"/>
      <c r="E132" s="197"/>
      <c r="F132" s="197"/>
      <c r="G132" s="197"/>
      <c r="H132" s="197"/>
      <c r="I132" s="197"/>
      <c r="J132" s="197"/>
      <c r="K132" s="197"/>
      <c r="L132" s="197"/>
    </row>
    <row r="133" spans="1:12">
      <c r="A133" s="197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</row>
    <row r="134" spans="1:12" ht="59.25">
      <c r="A134" s="197"/>
      <c r="B134" s="197"/>
      <c r="C134" s="7" t="s">
        <v>3</v>
      </c>
      <c r="D134" s="197"/>
      <c r="E134" s="197"/>
      <c r="F134" s="197"/>
      <c r="G134" s="8" t="s">
        <v>4</v>
      </c>
      <c r="H134" s="346">
        <f>IF($H$6 = "", "", $H$6)</f>
        <v>90210</v>
      </c>
      <c r="I134" s="346"/>
      <c r="J134" s="346"/>
      <c r="K134" s="346"/>
      <c r="L134" s="197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7" spans="1:12">
      <c r="A137" s="197"/>
      <c r="B137" s="197"/>
      <c r="C137" s="197"/>
      <c r="D137" s="197"/>
      <c r="E137" s="197"/>
      <c r="F137" s="197"/>
      <c r="G137" s="197"/>
      <c r="H137" s="197"/>
      <c r="I137" s="197"/>
      <c r="J137" s="197"/>
      <c r="K137" s="197"/>
      <c r="L137" s="197"/>
    </row>
    <row r="138" spans="1:12" ht="33" thickBot="1">
      <c r="A138" s="14" t="s">
        <v>5</v>
      </c>
      <c r="B138" s="197"/>
      <c r="C138" s="347" t="str">
        <f>IF('09-54-01 BIC'!$F$11="","N/A",'09-54-01 BIC'!$F$11)</f>
        <v>N/A</v>
      </c>
      <c r="D138" s="347"/>
      <c r="E138" s="15" t="s">
        <v>6</v>
      </c>
      <c r="F138" s="347" t="str">
        <f>IF('09-54-01 BIC'!$F$12="","N/A",'09-54-01 BIC'!$F$12)</f>
        <v>N/A</v>
      </c>
      <c r="G138" s="347"/>
      <c r="H138" s="347"/>
      <c r="I138" s="15" t="s">
        <v>7</v>
      </c>
      <c r="J138" s="347" t="str">
        <f>IF('09-54-01 BIC'!$F$13="","N/A",'09-54-01 BIC'!$F$13)</f>
        <v>N/A</v>
      </c>
      <c r="K138" s="347"/>
      <c r="L138" s="16" t="s">
        <v>8</v>
      </c>
    </row>
    <row r="139" spans="1:12" ht="32.25">
      <c r="A139" s="14"/>
      <c r="B139" s="197"/>
      <c r="C139" s="17"/>
      <c r="D139" s="17"/>
      <c r="E139" s="15"/>
      <c r="F139" s="17"/>
      <c r="G139" s="17"/>
      <c r="H139" s="17"/>
      <c r="I139" s="15"/>
      <c r="J139" s="17"/>
      <c r="K139" s="17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33" thickBot="1">
      <c r="A141" s="14" t="s">
        <v>5</v>
      </c>
      <c r="B141" s="197"/>
      <c r="C141" s="347" t="str">
        <f>IF('09-54-01 BIC'!$F$15="","N/A",'09-54-01 BIC'!$F$15)</f>
        <v>N/A</v>
      </c>
      <c r="D141" s="347"/>
      <c r="E141" s="15" t="s">
        <v>6</v>
      </c>
      <c r="F141" s="347" t="str">
        <f>IF('09-54-01 BIC'!$F$16="","N/A",'09-54-01 BIC'!$F$16)</f>
        <v>N/A</v>
      </c>
      <c r="G141" s="347"/>
      <c r="H141" s="347"/>
      <c r="I141" s="15" t="s">
        <v>7</v>
      </c>
      <c r="J141" s="347" t="str">
        <f>IF('09-54-01 BIC'!$F$17="","N/A",'09-54-01 BIC'!$F$17)</f>
        <v>N/A</v>
      </c>
      <c r="K141" s="347"/>
      <c r="L141" s="16" t="s">
        <v>8</v>
      </c>
    </row>
    <row r="142" spans="1:12" ht="32.25">
      <c r="A142" s="14"/>
      <c r="B142" s="197"/>
      <c r="C142" s="17"/>
      <c r="D142" s="17"/>
      <c r="E142" s="15"/>
      <c r="F142" s="17"/>
      <c r="G142" s="17"/>
      <c r="H142" s="17"/>
      <c r="I142" s="15"/>
      <c r="J142" s="17"/>
      <c r="K142" s="17"/>
      <c r="L142" s="18"/>
    </row>
    <row r="143" spans="1:12" ht="18">
      <c r="A143" s="197"/>
      <c r="B143" s="197"/>
      <c r="C143" s="228"/>
      <c r="D143" s="228"/>
      <c r="E143" s="228"/>
      <c r="F143" s="228"/>
      <c r="G143" s="228"/>
      <c r="H143" s="228"/>
      <c r="I143" s="21"/>
      <c r="J143" s="228"/>
      <c r="K143" s="228"/>
      <c r="L143" s="20"/>
    </row>
    <row r="144" spans="1:12" ht="33" thickBot="1">
      <c r="A144" s="14" t="s">
        <v>5</v>
      </c>
      <c r="B144" s="197"/>
      <c r="C144" s="347" t="str">
        <f>IF('09-54-01 BIC'!$F$19="","N/A",'09-54-01 BIC'!$F$19)</f>
        <v>N/A</v>
      </c>
      <c r="D144" s="347"/>
      <c r="E144" s="15" t="s">
        <v>6</v>
      </c>
      <c r="F144" s="347" t="str">
        <f>IF('09-54-01 BIC'!$F$20="","N/A",'09-54-01 BIC'!$F$20)</f>
        <v>N/A</v>
      </c>
      <c r="G144" s="347"/>
      <c r="H144" s="347"/>
      <c r="I144" s="15" t="s">
        <v>7</v>
      </c>
      <c r="J144" s="347" t="str">
        <f>IF('09-54-01 BIC'!$F$21="","N/A",'09-54-01 BIC'!$F$21)</f>
        <v>N/A</v>
      </c>
      <c r="K144" s="347"/>
      <c r="L144" s="16" t="s">
        <v>8</v>
      </c>
    </row>
    <row r="145" spans="1:12" ht="32.25">
      <c r="A145" s="14"/>
      <c r="B145" s="197"/>
      <c r="C145" s="17"/>
      <c r="D145" s="17"/>
      <c r="E145" s="15"/>
      <c r="F145" s="17"/>
      <c r="G145" s="17"/>
      <c r="H145" s="17"/>
      <c r="I145" s="15"/>
      <c r="J145" s="17"/>
      <c r="K145" s="17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33" thickBot="1">
      <c r="A147" s="14" t="s">
        <v>5</v>
      </c>
      <c r="B147" s="197"/>
      <c r="C147" s="347" t="str">
        <f>IF('09-54-01 BIC'!$F$23="","N/A",'09-54-01 BIC'!$F$23)</f>
        <v>N/A</v>
      </c>
      <c r="D147" s="347"/>
      <c r="E147" s="15" t="s">
        <v>6</v>
      </c>
      <c r="F147" s="347" t="str">
        <f>IF('09-54-01 BIC'!$F$24="","N/A",'09-54-01 BIC'!$F$24)</f>
        <v>N/A</v>
      </c>
      <c r="G147" s="347"/>
      <c r="H147" s="347"/>
      <c r="I147" s="15" t="s">
        <v>7</v>
      </c>
      <c r="J147" s="347" t="str">
        <f>IF('09-54-01 BIC'!$F$25="","N/A",'09-54-01 BIC'!$F$25)</f>
        <v>N/A</v>
      </c>
      <c r="K147" s="347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33" thickBot="1">
      <c r="A150" s="14" t="s">
        <v>5</v>
      </c>
      <c r="B150" s="197"/>
      <c r="C150" s="347" t="s">
        <v>231</v>
      </c>
      <c r="D150" s="347"/>
      <c r="E150" s="15" t="s">
        <v>6</v>
      </c>
      <c r="F150" s="347" t="s">
        <v>231</v>
      </c>
      <c r="G150" s="347"/>
      <c r="H150" s="347"/>
      <c r="I150" s="15" t="s">
        <v>7</v>
      </c>
      <c r="J150" s="347" t="s">
        <v>231</v>
      </c>
      <c r="K150" s="347"/>
      <c r="L150" s="16" t="s">
        <v>8</v>
      </c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2" spans="1:12">
      <c r="A152" s="197"/>
      <c r="B152" s="197"/>
      <c r="C152" s="197"/>
      <c r="D152" s="197"/>
      <c r="E152" s="197"/>
      <c r="F152" s="197"/>
      <c r="G152" s="197"/>
      <c r="H152" s="197"/>
      <c r="I152" s="197"/>
      <c r="J152" s="197"/>
      <c r="K152" s="197"/>
      <c r="L152" s="197"/>
    </row>
    <row r="153" spans="1:12">
      <c r="A153" s="197"/>
      <c r="B153" s="197"/>
      <c r="C153" s="197"/>
      <c r="D153" s="197"/>
      <c r="E153" s="197"/>
      <c r="F153" s="197"/>
      <c r="G153" s="197"/>
      <c r="H153" s="197"/>
      <c r="I153" s="197"/>
      <c r="J153" s="197"/>
      <c r="K153" s="197"/>
      <c r="L153" s="197"/>
    </row>
    <row r="154" spans="1:12" ht="22.5">
      <c r="A154" s="24" t="s">
        <v>9</v>
      </c>
      <c r="B154" s="24"/>
      <c r="C154" s="25"/>
      <c r="D154" s="351"/>
      <c r="E154" s="351"/>
      <c r="F154" s="351"/>
      <c r="G154" s="25"/>
      <c r="H154" s="26" t="s">
        <v>10</v>
      </c>
      <c r="I154" s="25"/>
      <c r="J154" s="352">
        <f ca="1">$J$26</f>
        <v>43790</v>
      </c>
      <c r="K154" s="352"/>
      <c r="L154" s="352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A157" s="197"/>
      <c r="B157" s="197"/>
      <c r="C157" s="7" t="s">
        <v>11</v>
      </c>
      <c r="D157" s="197"/>
      <c r="E157" s="197"/>
      <c r="F157" s="197"/>
      <c r="G157" s="348">
        <f>G125+1</f>
        <v>5</v>
      </c>
      <c r="H157" s="349"/>
      <c r="I157" s="350"/>
      <c r="J157" s="197"/>
      <c r="K157" s="197"/>
      <c r="L157" s="197"/>
    </row>
    <row r="158" spans="1:12">
      <c r="A158" s="197"/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</row>
    <row r="159" spans="1:12">
      <c r="A159" s="197"/>
      <c r="B159" s="197"/>
      <c r="C159" s="197"/>
      <c r="D159" s="197"/>
      <c r="E159" s="197"/>
      <c r="F159" s="197"/>
      <c r="G159" s="197"/>
      <c r="H159" s="197"/>
      <c r="I159" s="197"/>
      <c r="J159" s="197"/>
      <c r="K159" s="197"/>
      <c r="L159" s="197"/>
    </row>
    <row r="160" spans="1:12">
      <c r="A160" s="28" t="s">
        <v>12</v>
      </c>
      <c r="B160" s="29" t="s">
        <v>13</v>
      </c>
      <c r="C160" s="30"/>
      <c r="D160" s="30"/>
      <c r="E160" s="30"/>
      <c r="F160" s="30"/>
      <c r="G160" s="30"/>
      <c r="H160" s="30"/>
      <c r="I160" s="30"/>
      <c r="J160" s="30"/>
      <c r="K160" s="197"/>
      <c r="L160" s="28" t="s">
        <v>14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A162" s="197"/>
      <c r="B162" s="3"/>
      <c r="C162" s="197"/>
      <c r="D162" s="197"/>
      <c r="E162" s="3"/>
      <c r="F162" s="3"/>
      <c r="G162" s="3"/>
      <c r="H162" s="3"/>
      <c r="I162" s="197"/>
      <c r="J162" s="197"/>
      <c r="K162" s="197"/>
      <c r="L162" s="197"/>
    </row>
    <row r="163" spans="1:12" ht="32.25">
      <c r="A163" s="197"/>
      <c r="B163" s="5"/>
      <c r="C163" s="6" t="s">
        <v>2</v>
      </c>
      <c r="D163" s="197"/>
      <c r="E163" s="5"/>
      <c r="F163" s="5"/>
      <c r="G163" s="5"/>
      <c r="H163" s="5"/>
      <c r="I163" s="197"/>
      <c r="J163" s="197"/>
      <c r="K163" s="197"/>
      <c r="L163" s="197"/>
    </row>
    <row r="164" spans="1:12">
      <c r="A164" s="197"/>
      <c r="B164" s="197"/>
      <c r="C164" s="197"/>
      <c r="D164" s="197"/>
      <c r="E164" s="197"/>
      <c r="F164" s="197"/>
      <c r="G164" s="197"/>
      <c r="H164" s="197"/>
      <c r="I164" s="197"/>
      <c r="J164" s="197"/>
      <c r="K164" s="197"/>
      <c r="L164" s="197"/>
    </row>
    <row r="165" spans="1:12">
      <c r="A165" s="197"/>
      <c r="B165" s="197"/>
      <c r="C165" s="197"/>
      <c r="D165" s="197"/>
      <c r="E165" s="197"/>
      <c r="F165" s="197"/>
      <c r="G165" s="197"/>
      <c r="H165" s="197"/>
      <c r="I165" s="197"/>
      <c r="J165" s="197"/>
      <c r="K165" s="197"/>
      <c r="L165" s="197"/>
    </row>
    <row r="166" spans="1:12" ht="59.25">
      <c r="A166" s="197"/>
      <c r="B166" s="197"/>
      <c r="C166" s="7" t="s">
        <v>3</v>
      </c>
      <c r="D166" s="197"/>
      <c r="E166" s="197"/>
      <c r="F166" s="197"/>
      <c r="G166" s="200" t="s">
        <v>4</v>
      </c>
      <c r="H166" s="346">
        <f>IF($H$6 = "", "", $H$6)</f>
        <v>90210</v>
      </c>
      <c r="I166" s="346"/>
      <c r="J166" s="346"/>
      <c r="K166" s="346"/>
      <c r="L166" s="197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69" spans="1:12">
      <c r="A169" s="197"/>
      <c r="B169" s="197"/>
      <c r="C169" s="197"/>
      <c r="D169" s="197"/>
      <c r="E169" s="197"/>
      <c r="F169" s="197"/>
      <c r="G169" s="197"/>
      <c r="H169" s="197"/>
      <c r="I169" s="197"/>
      <c r="J169" s="197"/>
      <c r="K169" s="197"/>
      <c r="L169" s="197"/>
    </row>
    <row r="170" spans="1:12" ht="33" thickBot="1">
      <c r="A170" s="14" t="s">
        <v>5</v>
      </c>
      <c r="B170" s="197"/>
      <c r="C170" s="347" t="str">
        <f>IF('09-54-01 BIC'!$G$11="","N/A",'09-54-01 BIC'!$G$11)</f>
        <v>N/A</v>
      </c>
      <c r="D170" s="347"/>
      <c r="E170" s="15" t="s">
        <v>6</v>
      </c>
      <c r="F170" s="347" t="str">
        <f>IF('09-54-01 BIC'!$G$12="","N/A",'09-54-01 BIC'!$G$12)</f>
        <v>N/A</v>
      </c>
      <c r="G170" s="347"/>
      <c r="H170" s="347"/>
      <c r="I170" s="15" t="s">
        <v>7</v>
      </c>
      <c r="J170" s="347" t="str">
        <f>IF('09-54-01 BIC'!$G$13="","N/A",'09-54-01 BIC'!$G$13)</f>
        <v>N/A</v>
      </c>
      <c r="K170" s="347"/>
      <c r="L170" s="16" t="s">
        <v>8</v>
      </c>
    </row>
    <row r="171" spans="1:12" ht="32.25">
      <c r="A171" s="14"/>
      <c r="B171" s="197"/>
      <c r="C171" s="17"/>
      <c r="D171" s="17"/>
      <c r="E171" s="15"/>
      <c r="F171" s="17"/>
      <c r="G171" s="17"/>
      <c r="H171" s="17"/>
      <c r="I171" s="15"/>
      <c r="J171" s="17"/>
      <c r="K171" s="17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33" thickBot="1">
      <c r="A173" s="14" t="s">
        <v>5</v>
      </c>
      <c r="B173" s="197"/>
      <c r="C173" s="347" t="str">
        <f>IF('09-54-01 BIC'!$G$15="","N/A",'09-54-01 BIC'!$G$15)</f>
        <v>N/A</v>
      </c>
      <c r="D173" s="347"/>
      <c r="E173" s="15" t="s">
        <v>6</v>
      </c>
      <c r="F173" s="347" t="str">
        <f>IF('09-54-01 BIC'!$G$16="","N/A",'09-54-01 BIC'!$G$16)</f>
        <v>N/A</v>
      </c>
      <c r="G173" s="347"/>
      <c r="H173" s="347"/>
      <c r="I173" s="15" t="s">
        <v>7</v>
      </c>
      <c r="J173" s="347" t="str">
        <f>IF('09-54-01 BIC'!$G$17="","N/A",'09-54-01 BIC'!$G$17)</f>
        <v>N/A</v>
      </c>
      <c r="K173" s="347"/>
      <c r="L173" s="16" t="s">
        <v>8</v>
      </c>
    </row>
    <row r="174" spans="1:12" ht="32.25">
      <c r="A174" s="14"/>
      <c r="B174" s="197"/>
      <c r="C174" s="17"/>
      <c r="D174" s="17"/>
      <c r="E174" s="15"/>
      <c r="F174" s="17"/>
      <c r="G174" s="17"/>
      <c r="H174" s="17"/>
      <c r="I174" s="15"/>
      <c r="J174" s="17"/>
      <c r="K174" s="17"/>
      <c r="L174" s="18"/>
    </row>
    <row r="175" spans="1:12" ht="18">
      <c r="A175" s="197"/>
      <c r="B175" s="197"/>
      <c r="C175" s="228"/>
      <c r="D175" s="228"/>
      <c r="E175" s="228"/>
      <c r="F175" s="228"/>
      <c r="G175" s="228"/>
      <c r="H175" s="228"/>
      <c r="I175" s="21"/>
      <c r="J175" s="228"/>
      <c r="K175" s="228"/>
      <c r="L175" s="20"/>
    </row>
    <row r="176" spans="1:12" ht="33" thickBot="1">
      <c r="A176" s="14" t="s">
        <v>5</v>
      </c>
      <c r="B176" s="197"/>
      <c r="C176" s="347" t="str">
        <f>IF('09-54-01 BIC'!$G$19="","N/A",'09-54-01 BIC'!$G$19)</f>
        <v>N/A</v>
      </c>
      <c r="D176" s="347"/>
      <c r="E176" s="15" t="s">
        <v>6</v>
      </c>
      <c r="F176" s="347" t="str">
        <f>IF('09-54-01 BIC'!$G$20="","N/A",'09-54-01 BIC'!$G$20)</f>
        <v>N/A</v>
      </c>
      <c r="G176" s="347"/>
      <c r="H176" s="347"/>
      <c r="I176" s="15" t="s">
        <v>7</v>
      </c>
      <c r="J176" s="347" t="str">
        <f>IF('09-54-01 BIC'!$G$21="","N/A",'09-54-01 BIC'!$G$21)</f>
        <v>N/A</v>
      </c>
      <c r="K176" s="347"/>
      <c r="L176" s="16" t="s">
        <v>8</v>
      </c>
    </row>
    <row r="177" spans="1:12" ht="32.25">
      <c r="A177" s="14"/>
      <c r="B177" s="197"/>
      <c r="C177" s="17"/>
      <c r="D177" s="17"/>
      <c r="E177" s="15"/>
      <c r="F177" s="17"/>
      <c r="G177" s="17"/>
      <c r="H177" s="17"/>
      <c r="I177" s="15"/>
      <c r="J177" s="17"/>
      <c r="K177" s="17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33" thickBot="1">
      <c r="A179" s="14" t="s">
        <v>5</v>
      </c>
      <c r="B179" s="197"/>
      <c r="C179" s="347" t="str">
        <f>IF('09-54-01 BIC'!$G$23="","N/A",'09-54-01 BIC'!$G$23)</f>
        <v>N/A</v>
      </c>
      <c r="D179" s="347"/>
      <c r="E179" s="15" t="s">
        <v>6</v>
      </c>
      <c r="F179" s="347" t="str">
        <f>IF('09-54-01 BIC'!$G$24="","N/A",'09-54-01 BIC'!$G$24)</f>
        <v>N/A</v>
      </c>
      <c r="G179" s="347"/>
      <c r="H179" s="347"/>
      <c r="I179" s="15" t="s">
        <v>7</v>
      </c>
      <c r="J179" s="347" t="str">
        <f>IF('09-54-01 BIC'!$G$25="","N/A",'09-54-01 BIC'!$G$25)</f>
        <v>N/A</v>
      </c>
      <c r="K179" s="347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33" thickBot="1">
      <c r="A182" s="14" t="s">
        <v>5</v>
      </c>
      <c r="B182" s="197"/>
      <c r="C182" s="347" t="s">
        <v>231</v>
      </c>
      <c r="D182" s="347"/>
      <c r="E182" s="15" t="s">
        <v>6</v>
      </c>
      <c r="F182" s="347" t="s">
        <v>231</v>
      </c>
      <c r="G182" s="347"/>
      <c r="H182" s="347"/>
      <c r="I182" s="15" t="s">
        <v>7</v>
      </c>
      <c r="J182" s="347" t="s">
        <v>231</v>
      </c>
      <c r="K182" s="347"/>
      <c r="L182" s="16" t="s">
        <v>8</v>
      </c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4" spans="1:12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</row>
    <row r="185" spans="1:12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</row>
    <row r="186" spans="1:12" ht="22.5">
      <c r="A186" s="24" t="s">
        <v>9</v>
      </c>
      <c r="B186" s="24"/>
      <c r="C186" s="25"/>
      <c r="D186" s="351"/>
      <c r="E186" s="351"/>
      <c r="F186" s="351"/>
      <c r="G186" s="25"/>
      <c r="H186" s="26" t="s">
        <v>10</v>
      </c>
      <c r="I186" s="25"/>
      <c r="J186" s="352">
        <f ca="1">$J$26</f>
        <v>43790</v>
      </c>
      <c r="K186" s="352"/>
      <c r="L186" s="352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A189" s="197"/>
      <c r="B189" s="197"/>
      <c r="C189" s="7" t="s">
        <v>11</v>
      </c>
      <c r="D189" s="197"/>
      <c r="E189" s="197"/>
      <c r="F189" s="197"/>
      <c r="G189" s="348">
        <f>G157+1</f>
        <v>6</v>
      </c>
      <c r="H189" s="349"/>
      <c r="I189" s="350"/>
      <c r="J189" s="197"/>
      <c r="K189" s="197"/>
      <c r="L189" s="197"/>
    </row>
    <row r="190" spans="1:12">
      <c r="A190" s="197"/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</row>
    <row r="191" spans="1:12">
      <c r="A191" s="197"/>
      <c r="B191" s="197"/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</row>
    <row r="192" spans="1:12">
      <c r="A192" s="28" t="s">
        <v>12</v>
      </c>
      <c r="B192" s="29" t="s">
        <v>13</v>
      </c>
      <c r="C192" s="30"/>
      <c r="D192" s="30"/>
      <c r="E192" s="30"/>
      <c r="F192" s="30"/>
      <c r="G192" s="30"/>
      <c r="H192" s="30"/>
      <c r="I192" s="30"/>
      <c r="J192" s="30"/>
      <c r="K192" s="197"/>
      <c r="L192" s="28" t="s">
        <v>14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A194" s="197"/>
      <c r="B194" s="3"/>
      <c r="C194" s="197"/>
      <c r="D194" s="197"/>
      <c r="E194" s="3"/>
      <c r="F194" s="3"/>
      <c r="G194" s="3"/>
      <c r="H194" s="3"/>
      <c r="I194" s="197"/>
      <c r="J194" s="197"/>
      <c r="K194" s="197"/>
      <c r="L194" s="197"/>
    </row>
    <row r="195" spans="1:12" ht="32.25">
      <c r="A195" s="197"/>
      <c r="B195" s="5"/>
      <c r="C195" s="6" t="s">
        <v>2</v>
      </c>
      <c r="D195" s="197"/>
      <c r="E195" s="5"/>
      <c r="F195" s="5"/>
      <c r="G195" s="5"/>
      <c r="H195" s="5"/>
      <c r="I195" s="197"/>
      <c r="J195" s="197"/>
      <c r="K195" s="197"/>
      <c r="L195" s="197"/>
    </row>
    <row r="196" spans="1:12">
      <c r="A196" s="197"/>
      <c r="B196" s="197"/>
      <c r="C196" s="197"/>
      <c r="D196" s="197"/>
      <c r="E196" s="197"/>
      <c r="F196" s="197"/>
      <c r="G196" s="197"/>
      <c r="H196" s="197"/>
      <c r="I196" s="197"/>
      <c r="J196" s="197"/>
      <c r="K196" s="197"/>
      <c r="L196" s="197"/>
    </row>
    <row r="197" spans="1:12">
      <c r="A197" s="197"/>
      <c r="B197" s="197"/>
      <c r="C197" s="197"/>
      <c r="D197" s="197"/>
      <c r="E197" s="197"/>
      <c r="F197" s="197"/>
      <c r="G197" s="197"/>
      <c r="H197" s="197"/>
      <c r="I197" s="197"/>
      <c r="J197" s="197"/>
      <c r="K197" s="197"/>
      <c r="L197" s="197"/>
    </row>
    <row r="198" spans="1:12" ht="59.25">
      <c r="A198" s="197"/>
      <c r="B198" s="197"/>
      <c r="C198" s="7" t="s">
        <v>3</v>
      </c>
      <c r="D198" s="197"/>
      <c r="E198" s="197"/>
      <c r="F198" s="197"/>
      <c r="G198" s="200" t="s">
        <v>4</v>
      </c>
      <c r="H198" s="346">
        <f>IF($H$6 = "", "", $H$6)</f>
        <v>90210</v>
      </c>
      <c r="I198" s="346"/>
      <c r="J198" s="346"/>
      <c r="K198" s="346"/>
      <c r="L198" s="197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1" spans="1:12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</row>
    <row r="202" spans="1:12" ht="33" thickBot="1">
      <c r="A202" s="14" t="s">
        <v>5</v>
      </c>
      <c r="B202" s="197"/>
      <c r="C202" s="347" t="str">
        <f>IF('09-54-01 BIC'!$H$11="","N/A",'09-54-01 BIC'!$H$11)</f>
        <v>N/A</v>
      </c>
      <c r="D202" s="347"/>
      <c r="E202" s="15" t="s">
        <v>6</v>
      </c>
      <c r="F202" s="347" t="str">
        <f>IF('09-54-01 BIC'!$H$12="","N/A",'09-54-01 BIC'!$H$12)</f>
        <v>N/A</v>
      </c>
      <c r="G202" s="347"/>
      <c r="H202" s="347"/>
      <c r="I202" s="15" t="s">
        <v>7</v>
      </c>
      <c r="J202" s="347" t="str">
        <f>IF('09-54-01 BIC'!$H$13="","N/A",'09-54-01 BIC'!$H$13)</f>
        <v>N/A</v>
      </c>
      <c r="K202" s="347"/>
      <c r="L202" s="16" t="s">
        <v>8</v>
      </c>
    </row>
    <row r="203" spans="1:12" ht="32.25">
      <c r="A203" s="14"/>
      <c r="B203" s="197"/>
      <c r="C203" s="17"/>
      <c r="D203" s="17"/>
      <c r="E203" s="15"/>
      <c r="F203" s="17"/>
      <c r="G203" s="17"/>
      <c r="H203" s="17"/>
      <c r="I203" s="15"/>
      <c r="J203" s="17"/>
      <c r="K203" s="17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33" thickBot="1">
      <c r="A205" s="14" t="s">
        <v>5</v>
      </c>
      <c r="B205" s="197"/>
      <c r="C205" s="347" t="str">
        <f>IF('09-54-01 BIC'!$H$15="","N/A",'09-54-01 BIC'!$H$15)</f>
        <v>N/A</v>
      </c>
      <c r="D205" s="347"/>
      <c r="E205" s="15" t="s">
        <v>6</v>
      </c>
      <c r="F205" s="347" t="str">
        <f>IF('09-54-01 BIC'!$H$16="","N/A",'09-54-01 BIC'!$H$16)</f>
        <v>N/A</v>
      </c>
      <c r="G205" s="347"/>
      <c r="H205" s="347"/>
      <c r="I205" s="15" t="s">
        <v>7</v>
      </c>
      <c r="J205" s="347" t="str">
        <f>IF('09-54-01 BIC'!$H$17="","N/A",'09-54-01 BIC'!$H$17)</f>
        <v>N/A</v>
      </c>
      <c r="K205" s="347"/>
      <c r="L205" s="16" t="s">
        <v>8</v>
      </c>
    </row>
    <row r="206" spans="1:12" ht="32.25">
      <c r="A206" s="14"/>
      <c r="B206" s="197"/>
      <c r="C206" s="17"/>
      <c r="D206" s="17"/>
      <c r="E206" s="15"/>
      <c r="F206" s="17"/>
      <c r="G206" s="17"/>
      <c r="H206" s="17"/>
      <c r="I206" s="15"/>
      <c r="J206" s="17"/>
      <c r="K206" s="17"/>
      <c r="L206" s="18"/>
    </row>
    <row r="207" spans="1:12" ht="18">
      <c r="A207" s="197"/>
      <c r="B207" s="197"/>
      <c r="C207" s="228"/>
      <c r="D207" s="228"/>
      <c r="E207" s="228"/>
      <c r="F207" s="228"/>
      <c r="G207" s="228"/>
      <c r="H207" s="228"/>
      <c r="I207" s="21"/>
      <c r="J207" s="228"/>
      <c r="K207" s="228"/>
      <c r="L207" s="20"/>
    </row>
    <row r="208" spans="1:12" ht="33" thickBot="1">
      <c r="A208" s="14" t="s">
        <v>5</v>
      </c>
      <c r="B208" s="197"/>
      <c r="C208" s="347" t="str">
        <f>IF('09-54-01 BIC'!$H$19="","N/A",'09-54-01 BIC'!$H$19)</f>
        <v>N/A</v>
      </c>
      <c r="D208" s="347"/>
      <c r="E208" s="15" t="s">
        <v>6</v>
      </c>
      <c r="F208" s="347" t="str">
        <f>IF('09-54-01 BIC'!$H$20="","N/A",'09-54-01 BIC'!$H$20)</f>
        <v>N/A</v>
      </c>
      <c r="G208" s="347"/>
      <c r="H208" s="347"/>
      <c r="I208" s="15" t="s">
        <v>7</v>
      </c>
      <c r="J208" s="347" t="str">
        <f>IF('09-54-01 BIC'!$H$21="","N/A",'09-54-01 BIC'!$H$21)</f>
        <v>N/A</v>
      </c>
      <c r="K208" s="347"/>
      <c r="L208" s="16" t="s">
        <v>8</v>
      </c>
    </row>
    <row r="209" spans="1:12" ht="32.25">
      <c r="A209" s="14"/>
      <c r="B209" s="197"/>
      <c r="C209" s="17"/>
      <c r="D209" s="17"/>
      <c r="E209" s="15"/>
      <c r="F209" s="17"/>
      <c r="G209" s="17"/>
      <c r="H209" s="17"/>
      <c r="I209" s="15"/>
      <c r="J209" s="17"/>
      <c r="K209" s="17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33" thickBot="1">
      <c r="A211" s="14" t="s">
        <v>5</v>
      </c>
      <c r="B211" s="197"/>
      <c r="C211" s="347" t="str">
        <f>IF('09-54-01 BIC'!$H$23="","N/A",'09-54-01 BIC'!$H$23)</f>
        <v>N/A</v>
      </c>
      <c r="D211" s="347"/>
      <c r="E211" s="15" t="s">
        <v>6</v>
      </c>
      <c r="F211" s="347" t="str">
        <f>IF('09-54-01 BIC'!$H$24="","N/A",'09-54-01 BIC'!$H$24)</f>
        <v>N/A</v>
      </c>
      <c r="G211" s="347"/>
      <c r="H211" s="347"/>
      <c r="I211" s="15" t="s">
        <v>7</v>
      </c>
      <c r="J211" s="347" t="str">
        <f>IF('09-54-01 BIC'!$H$25="","N/A",'09-54-01 BIC'!$H$25)</f>
        <v>N/A</v>
      </c>
      <c r="K211" s="347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33" thickBot="1">
      <c r="A214" s="14" t="s">
        <v>5</v>
      </c>
      <c r="B214" s="197"/>
      <c r="C214" s="347" t="s">
        <v>231</v>
      </c>
      <c r="D214" s="347"/>
      <c r="E214" s="15" t="s">
        <v>6</v>
      </c>
      <c r="F214" s="347" t="s">
        <v>231</v>
      </c>
      <c r="G214" s="347"/>
      <c r="H214" s="347"/>
      <c r="I214" s="15" t="s">
        <v>7</v>
      </c>
      <c r="J214" s="347" t="s">
        <v>231</v>
      </c>
      <c r="K214" s="347"/>
      <c r="L214" s="16" t="s">
        <v>8</v>
      </c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6" spans="1:12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</row>
    <row r="217" spans="1:12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</row>
    <row r="218" spans="1:12" ht="22.5">
      <c r="A218" s="24" t="s">
        <v>9</v>
      </c>
      <c r="B218" s="24"/>
      <c r="C218" s="25"/>
      <c r="D218" s="351"/>
      <c r="E218" s="351"/>
      <c r="F218" s="351"/>
      <c r="G218" s="25"/>
      <c r="H218" s="26" t="s">
        <v>10</v>
      </c>
      <c r="I218" s="25"/>
      <c r="J218" s="352">
        <f ca="1">$J$26</f>
        <v>43790</v>
      </c>
      <c r="K218" s="352"/>
      <c r="L218" s="352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A221" s="197"/>
      <c r="B221" s="197"/>
      <c r="C221" s="7" t="s">
        <v>11</v>
      </c>
      <c r="D221" s="197"/>
      <c r="E221" s="197"/>
      <c r="F221" s="197"/>
      <c r="G221" s="348">
        <f>G189+1</f>
        <v>7</v>
      </c>
      <c r="H221" s="349"/>
      <c r="I221" s="350"/>
      <c r="J221" s="197"/>
      <c r="K221" s="197"/>
      <c r="L221" s="197"/>
    </row>
    <row r="222" spans="1:12">
      <c r="A222" s="197"/>
      <c r="B222" s="197"/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</row>
    <row r="223" spans="1:12">
      <c r="A223" s="197"/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</row>
    <row r="224" spans="1:12">
      <c r="A224" s="28" t="s">
        <v>12</v>
      </c>
      <c r="B224" s="29" t="s">
        <v>13</v>
      </c>
      <c r="C224" s="30"/>
      <c r="D224" s="30"/>
      <c r="E224" s="30"/>
      <c r="F224" s="30"/>
      <c r="G224" s="30"/>
      <c r="H224" s="30"/>
      <c r="I224" s="30"/>
      <c r="J224" s="30"/>
      <c r="K224" s="197"/>
      <c r="L224" s="28" t="s">
        <v>14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A226" s="197"/>
      <c r="B226" s="3"/>
      <c r="C226" s="197"/>
      <c r="D226" s="197"/>
      <c r="E226" s="3"/>
      <c r="F226" s="3"/>
      <c r="G226" s="3"/>
      <c r="H226" s="3"/>
      <c r="I226" s="197"/>
      <c r="J226" s="197"/>
      <c r="K226" s="197"/>
      <c r="L226" s="197"/>
    </row>
    <row r="227" spans="1:12" ht="32.25">
      <c r="A227" s="197"/>
      <c r="B227" s="5"/>
      <c r="C227" s="6" t="s">
        <v>2</v>
      </c>
      <c r="D227" s="197"/>
      <c r="E227" s="5"/>
      <c r="F227" s="5"/>
      <c r="G227" s="5"/>
      <c r="H227" s="5"/>
      <c r="I227" s="197"/>
      <c r="J227" s="197"/>
      <c r="K227" s="197"/>
      <c r="L227" s="197"/>
    </row>
    <row r="228" spans="1:12">
      <c r="A228" s="197"/>
      <c r="B228" s="197"/>
      <c r="C228" s="197"/>
      <c r="D228" s="197"/>
      <c r="E228" s="197"/>
      <c r="F228" s="197"/>
      <c r="G228" s="197"/>
      <c r="H228" s="197"/>
      <c r="I228" s="197"/>
      <c r="J228" s="197"/>
      <c r="K228" s="197"/>
      <c r="L228" s="197"/>
    </row>
    <row r="229" spans="1:12">
      <c r="A229" s="197"/>
      <c r="B229" s="197"/>
      <c r="C229" s="197"/>
      <c r="D229" s="197"/>
      <c r="E229" s="197"/>
      <c r="F229" s="197"/>
      <c r="G229" s="197"/>
      <c r="H229" s="197"/>
      <c r="I229" s="197"/>
      <c r="J229" s="197"/>
      <c r="K229" s="197"/>
      <c r="L229" s="197"/>
    </row>
    <row r="230" spans="1:12" ht="59.25">
      <c r="A230" s="197"/>
      <c r="B230" s="197"/>
      <c r="C230" s="7" t="s">
        <v>3</v>
      </c>
      <c r="D230" s="197"/>
      <c r="E230" s="197"/>
      <c r="F230" s="197"/>
      <c r="G230" s="200" t="s">
        <v>4</v>
      </c>
      <c r="H230" s="346">
        <f>IF($H$6 = "", "", $H$6)</f>
        <v>90210</v>
      </c>
      <c r="I230" s="346"/>
      <c r="J230" s="346"/>
      <c r="K230" s="346"/>
      <c r="L230" s="197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3" spans="1:12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</row>
    <row r="234" spans="1:12" ht="33" thickBot="1">
      <c r="A234" s="14" t="s">
        <v>5</v>
      </c>
      <c r="B234" s="197"/>
      <c r="C234" s="347" t="str">
        <f>IF('09-54-01 BIC'!$I$11="","N/A",'09-54-01 BIC'!$I$11)</f>
        <v>N/A</v>
      </c>
      <c r="D234" s="347"/>
      <c r="E234" s="15" t="s">
        <v>6</v>
      </c>
      <c r="F234" s="347" t="str">
        <f>IF('09-54-01 BIC'!$I$12="","N/A",'09-54-01 BIC'!$I$12)</f>
        <v>N/A</v>
      </c>
      <c r="G234" s="347"/>
      <c r="H234" s="347"/>
      <c r="I234" s="15" t="s">
        <v>7</v>
      </c>
      <c r="J234" s="347" t="str">
        <f>IF('09-54-01 BIC'!$I$13="","N/A",'09-54-01 BIC'!$I$13)</f>
        <v>N/A</v>
      </c>
      <c r="K234" s="347"/>
      <c r="L234" s="16" t="s">
        <v>8</v>
      </c>
    </row>
    <row r="235" spans="1:12" ht="32.25">
      <c r="A235" s="14"/>
      <c r="B235" s="197"/>
      <c r="C235" s="17"/>
      <c r="D235" s="17"/>
      <c r="E235" s="15"/>
      <c r="F235" s="17"/>
      <c r="G235" s="17"/>
      <c r="H235" s="17"/>
      <c r="I235" s="15"/>
      <c r="J235" s="17"/>
      <c r="K235" s="17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33" thickBot="1">
      <c r="A237" s="14" t="s">
        <v>5</v>
      </c>
      <c r="B237" s="197"/>
      <c r="C237" s="347" t="str">
        <f>IF('09-54-01 BIC'!$I$15="","N/A",'09-54-01 BIC'!$I$15)</f>
        <v>N/A</v>
      </c>
      <c r="D237" s="347"/>
      <c r="E237" s="15" t="s">
        <v>6</v>
      </c>
      <c r="F237" s="347" t="str">
        <f>IF('09-54-01 BIC'!$I$16="","N/A",'09-54-01 BIC'!$I$16)</f>
        <v>N/A</v>
      </c>
      <c r="G237" s="347"/>
      <c r="H237" s="347"/>
      <c r="I237" s="15" t="s">
        <v>7</v>
      </c>
      <c r="J237" s="347" t="str">
        <f>IF('09-54-01 BIC'!$I$17="","N/A",'09-54-01 BIC'!$I$17)</f>
        <v>N/A</v>
      </c>
      <c r="K237" s="347"/>
      <c r="L237" s="16" t="s">
        <v>8</v>
      </c>
    </row>
    <row r="238" spans="1:12" ht="32.25">
      <c r="A238" s="14"/>
      <c r="B238" s="197"/>
      <c r="C238" s="17"/>
      <c r="D238" s="17"/>
      <c r="E238" s="15"/>
      <c r="F238" s="17"/>
      <c r="G238" s="17"/>
      <c r="H238" s="17"/>
      <c r="I238" s="15"/>
      <c r="J238" s="17"/>
      <c r="K238" s="17"/>
      <c r="L238" s="18"/>
    </row>
    <row r="239" spans="1:12" ht="18">
      <c r="A239" s="197"/>
      <c r="B239" s="197"/>
      <c r="C239" s="228"/>
      <c r="D239" s="228"/>
      <c r="E239" s="228"/>
      <c r="F239" s="228"/>
      <c r="G239" s="228"/>
      <c r="H239" s="228"/>
      <c r="I239" s="21"/>
      <c r="J239" s="228"/>
      <c r="K239" s="228"/>
      <c r="L239" s="20"/>
    </row>
    <row r="240" spans="1:12" ht="33" thickBot="1">
      <c r="A240" s="14" t="s">
        <v>5</v>
      </c>
      <c r="B240" s="197"/>
      <c r="C240" s="347" t="str">
        <f>IF('09-54-01 BIC'!$I$19="","N/A",'09-54-01 BIC'!$I$19)</f>
        <v>N/A</v>
      </c>
      <c r="D240" s="347"/>
      <c r="E240" s="15" t="s">
        <v>6</v>
      </c>
      <c r="F240" s="347" t="str">
        <f>IF('09-54-01 BIC'!$I$20="","N/A",'09-54-01 BIC'!$I$20)</f>
        <v>N/A</v>
      </c>
      <c r="G240" s="347"/>
      <c r="H240" s="347"/>
      <c r="I240" s="15" t="s">
        <v>7</v>
      </c>
      <c r="J240" s="347" t="str">
        <f>IF('09-54-01 BIC'!$I$21="","N/A",'09-54-01 BIC'!$I$21)</f>
        <v>N/A</v>
      </c>
      <c r="K240" s="347"/>
      <c r="L240" s="16" t="s">
        <v>8</v>
      </c>
    </row>
    <row r="241" spans="1:12" ht="32.25">
      <c r="A241" s="14"/>
      <c r="B241" s="197"/>
      <c r="C241" s="17"/>
      <c r="D241" s="17"/>
      <c r="E241" s="15"/>
      <c r="F241" s="17"/>
      <c r="G241" s="17"/>
      <c r="H241" s="17"/>
      <c r="I241" s="15"/>
      <c r="J241" s="17"/>
      <c r="K241" s="17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33" thickBot="1">
      <c r="A243" s="14" t="s">
        <v>5</v>
      </c>
      <c r="B243" s="197"/>
      <c r="C243" s="347" t="str">
        <f>IF('09-54-01 BIC'!$I$23="","N/A",'09-54-01 BIC'!$I$23)</f>
        <v>N/A</v>
      </c>
      <c r="D243" s="347"/>
      <c r="E243" s="15" t="s">
        <v>6</v>
      </c>
      <c r="F243" s="347" t="str">
        <f>IF('09-54-01 BIC'!$I$24="","N/A",'09-54-01 BIC'!$I$24)</f>
        <v>N/A</v>
      </c>
      <c r="G243" s="347"/>
      <c r="H243" s="347"/>
      <c r="I243" s="15" t="s">
        <v>7</v>
      </c>
      <c r="J243" s="347" t="str">
        <f>IF('09-54-01 BIC'!$I$25="","N/A",'09-54-01 BIC'!$I$25)</f>
        <v>N/A</v>
      </c>
      <c r="K243" s="347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33" thickBot="1">
      <c r="A246" s="14" t="s">
        <v>5</v>
      </c>
      <c r="B246" s="197"/>
      <c r="C246" s="347" t="s">
        <v>231</v>
      </c>
      <c r="D246" s="347"/>
      <c r="E246" s="15" t="s">
        <v>6</v>
      </c>
      <c r="F246" s="347" t="s">
        <v>231</v>
      </c>
      <c r="G246" s="347"/>
      <c r="H246" s="347"/>
      <c r="I246" s="15" t="s">
        <v>7</v>
      </c>
      <c r="J246" s="347" t="s">
        <v>231</v>
      </c>
      <c r="K246" s="347"/>
      <c r="L246" s="16" t="s">
        <v>8</v>
      </c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48" spans="1:12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</row>
    <row r="249" spans="1:12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</row>
    <row r="250" spans="1:12" ht="22.5">
      <c r="A250" s="24" t="s">
        <v>9</v>
      </c>
      <c r="B250" s="24"/>
      <c r="C250" s="25"/>
      <c r="D250" s="351"/>
      <c r="E250" s="351"/>
      <c r="F250" s="351"/>
      <c r="G250" s="25"/>
      <c r="H250" s="26" t="s">
        <v>10</v>
      </c>
      <c r="I250" s="25"/>
      <c r="J250" s="352">
        <f ca="1">$J$26</f>
        <v>43790</v>
      </c>
      <c r="K250" s="352"/>
      <c r="L250" s="352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A253" s="197"/>
      <c r="B253" s="197"/>
      <c r="C253" s="7" t="s">
        <v>11</v>
      </c>
      <c r="D253" s="197"/>
      <c r="E253" s="197"/>
      <c r="F253" s="197"/>
      <c r="G253" s="348">
        <f>G221+1</f>
        <v>8</v>
      </c>
      <c r="H253" s="349"/>
      <c r="I253" s="350"/>
      <c r="J253" s="197"/>
      <c r="K253" s="197"/>
      <c r="L253" s="197"/>
    </row>
    <row r="254" spans="1:12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</row>
    <row r="255" spans="1:12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</row>
    <row r="256" spans="1:12">
      <c r="A256" s="28" t="s">
        <v>12</v>
      </c>
      <c r="B256" s="29" t="s">
        <v>13</v>
      </c>
      <c r="C256" s="30"/>
      <c r="D256" s="30"/>
      <c r="E256" s="30"/>
      <c r="F256" s="30"/>
      <c r="G256" s="30"/>
      <c r="H256" s="30"/>
      <c r="I256" s="30"/>
      <c r="J256" s="30"/>
      <c r="K256" s="197"/>
      <c r="L256" s="28" t="s">
        <v>14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A258" s="197"/>
      <c r="B258" s="3"/>
      <c r="C258" s="197"/>
      <c r="D258" s="197"/>
      <c r="E258" s="3"/>
      <c r="F258" s="3"/>
      <c r="G258" s="3"/>
      <c r="H258" s="3"/>
      <c r="I258" s="197"/>
      <c r="J258" s="197"/>
      <c r="K258" s="197"/>
      <c r="L258" s="197"/>
    </row>
    <row r="259" spans="1:12" ht="32.25">
      <c r="A259" s="197"/>
      <c r="B259" s="5"/>
      <c r="C259" s="6" t="s">
        <v>2</v>
      </c>
      <c r="D259" s="197"/>
      <c r="E259" s="5"/>
      <c r="F259" s="5"/>
      <c r="G259" s="5"/>
      <c r="H259" s="5"/>
      <c r="I259" s="197"/>
      <c r="J259" s="197"/>
      <c r="K259" s="197"/>
      <c r="L259" s="197"/>
    </row>
    <row r="260" spans="1:12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</row>
    <row r="261" spans="1:12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</row>
    <row r="262" spans="1:12" ht="59.25">
      <c r="A262" s="197"/>
      <c r="B262" s="197"/>
      <c r="C262" s="7" t="s">
        <v>3</v>
      </c>
      <c r="D262" s="197"/>
      <c r="E262" s="197"/>
      <c r="F262" s="197"/>
      <c r="G262" s="200" t="s">
        <v>4</v>
      </c>
      <c r="H262" s="346">
        <f>IF($H$6 = "", "", $H$6)</f>
        <v>90210</v>
      </c>
      <c r="I262" s="346"/>
      <c r="J262" s="346"/>
      <c r="K262" s="346"/>
      <c r="L262" s="197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5" spans="1:12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</row>
    <row r="266" spans="1:12" ht="33" thickBot="1">
      <c r="A266" s="14" t="s">
        <v>5</v>
      </c>
      <c r="B266" s="197"/>
      <c r="C266" s="347" t="str">
        <f>IF('09-54-01 BIC'!$J$11="","N/A",'09-54-01 BIC'!$J$11)</f>
        <v>N/A</v>
      </c>
      <c r="D266" s="347"/>
      <c r="E266" s="15" t="s">
        <v>6</v>
      </c>
      <c r="F266" s="347" t="str">
        <f>IF('09-54-01 BIC'!$J$12="","N/A",'09-54-01 BIC'!$J$12)</f>
        <v>N/A</v>
      </c>
      <c r="G266" s="347"/>
      <c r="H266" s="347"/>
      <c r="I266" s="15" t="s">
        <v>7</v>
      </c>
      <c r="J266" s="347" t="str">
        <f>IF('09-54-01 BIC'!$J$13="","N/A",'09-54-01 BIC'!$J$13)</f>
        <v>N/A</v>
      </c>
      <c r="K266" s="347"/>
      <c r="L266" s="16" t="s">
        <v>8</v>
      </c>
    </row>
    <row r="267" spans="1:12" ht="32.25">
      <c r="A267" s="14"/>
      <c r="B267" s="197"/>
      <c r="C267" s="17"/>
      <c r="D267" s="17"/>
      <c r="E267" s="15"/>
      <c r="F267" s="17"/>
      <c r="G267" s="17"/>
      <c r="H267" s="17"/>
      <c r="I267" s="15"/>
      <c r="J267" s="17"/>
      <c r="K267" s="17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33" thickBot="1">
      <c r="A269" s="14" t="s">
        <v>5</v>
      </c>
      <c r="B269" s="197"/>
      <c r="C269" s="347" t="str">
        <f>IF('09-54-01 BIC'!$J$15="","N/A",'09-54-01 BIC'!$J$15)</f>
        <v>N/A</v>
      </c>
      <c r="D269" s="347"/>
      <c r="E269" s="15" t="s">
        <v>6</v>
      </c>
      <c r="F269" s="347" t="str">
        <f>IF('09-54-01 BIC'!$J$16="","N/A",'09-54-01 BIC'!$J$16)</f>
        <v>N/A</v>
      </c>
      <c r="G269" s="347"/>
      <c r="H269" s="347"/>
      <c r="I269" s="15" t="s">
        <v>7</v>
      </c>
      <c r="J269" s="347" t="str">
        <f>IF('09-54-01 BIC'!$J$17="","N/A",'09-54-01 BIC'!$J$17)</f>
        <v>N/A</v>
      </c>
      <c r="K269" s="347"/>
      <c r="L269" s="16" t="s">
        <v>8</v>
      </c>
    </row>
    <row r="270" spans="1:12" ht="32.25">
      <c r="A270" s="14"/>
      <c r="B270" s="197"/>
      <c r="C270" s="17"/>
      <c r="D270" s="17"/>
      <c r="E270" s="15"/>
      <c r="F270" s="17"/>
      <c r="G270" s="17"/>
      <c r="H270" s="17"/>
      <c r="I270" s="15"/>
      <c r="J270" s="17"/>
      <c r="K270" s="17"/>
      <c r="L270" s="18"/>
    </row>
    <row r="271" spans="1:12" ht="18">
      <c r="A271" s="197"/>
      <c r="B271" s="197"/>
      <c r="C271" s="228"/>
      <c r="D271" s="228"/>
      <c r="E271" s="228"/>
      <c r="F271" s="228"/>
      <c r="G271" s="228"/>
      <c r="H271" s="228"/>
      <c r="I271" s="21"/>
      <c r="J271" s="228"/>
      <c r="K271" s="228"/>
      <c r="L271" s="20"/>
    </row>
    <row r="272" spans="1:12" ht="33" thickBot="1">
      <c r="A272" s="14" t="s">
        <v>5</v>
      </c>
      <c r="B272" s="197"/>
      <c r="C272" s="347" t="str">
        <f>IF('09-54-01 BIC'!$J$19="","N/A",'09-54-01 BIC'!$J$19)</f>
        <v>N/A</v>
      </c>
      <c r="D272" s="347"/>
      <c r="E272" s="15" t="s">
        <v>6</v>
      </c>
      <c r="F272" s="347" t="str">
        <f>IF('09-54-01 BIC'!$J$20="","N/A",'09-54-01 BIC'!$J$20)</f>
        <v>N/A</v>
      </c>
      <c r="G272" s="347"/>
      <c r="H272" s="347"/>
      <c r="I272" s="15" t="s">
        <v>7</v>
      </c>
      <c r="J272" s="347" t="str">
        <f>IF('09-54-01 BIC'!$J$21="","N/A",'09-54-01 BIC'!$J$21)</f>
        <v>N/A</v>
      </c>
      <c r="K272" s="347"/>
      <c r="L272" s="16" t="s">
        <v>8</v>
      </c>
    </row>
    <row r="273" spans="1:12" ht="32.25">
      <c r="A273" s="14"/>
      <c r="B273" s="197"/>
      <c r="C273" s="17"/>
      <c r="D273" s="17"/>
      <c r="E273" s="15"/>
      <c r="F273" s="17"/>
      <c r="G273" s="17"/>
      <c r="H273" s="17"/>
      <c r="I273" s="15"/>
      <c r="J273" s="17"/>
      <c r="K273" s="17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33" thickBot="1">
      <c r="A275" s="14" t="s">
        <v>5</v>
      </c>
      <c r="B275" s="197"/>
      <c r="C275" s="347" t="str">
        <f>IF('09-54-01 BIC'!$J$23="","N/A",'09-54-01 BIC'!$J$23)</f>
        <v>N/A</v>
      </c>
      <c r="D275" s="347"/>
      <c r="E275" s="15" t="s">
        <v>6</v>
      </c>
      <c r="F275" s="347" t="str">
        <f>IF('09-54-01 BIC'!$J$24="","N/A",'09-54-01 BIC'!$J$24)</f>
        <v>N/A</v>
      </c>
      <c r="G275" s="347"/>
      <c r="H275" s="347"/>
      <c r="I275" s="15" t="s">
        <v>7</v>
      </c>
      <c r="J275" s="347" t="str">
        <f>IF('09-54-01 BIC'!$J$25="","N/A",'09-54-01 BIC'!$J$25)</f>
        <v>N/A</v>
      </c>
      <c r="K275" s="347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33" thickBot="1">
      <c r="A278" s="14" t="s">
        <v>5</v>
      </c>
      <c r="B278" s="197"/>
      <c r="C278" s="347" t="s">
        <v>231</v>
      </c>
      <c r="D278" s="347"/>
      <c r="E278" s="15" t="s">
        <v>6</v>
      </c>
      <c r="F278" s="347" t="s">
        <v>231</v>
      </c>
      <c r="G278" s="347"/>
      <c r="H278" s="347"/>
      <c r="I278" s="15" t="s">
        <v>7</v>
      </c>
      <c r="J278" s="347" t="s">
        <v>231</v>
      </c>
      <c r="K278" s="347"/>
      <c r="L278" s="16" t="s">
        <v>8</v>
      </c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0" spans="1:12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</row>
    <row r="281" spans="1:12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</row>
    <row r="282" spans="1:12" ht="22.5">
      <c r="A282" s="24" t="s">
        <v>9</v>
      </c>
      <c r="B282" s="24"/>
      <c r="C282" s="25"/>
      <c r="D282" s="351"/>
      <c r="E282" s="351"/>
      <c r="F282" s="351"/>
      <c r="G282" s="25"/>
      <c r="H282" s="26" t="s">
        <v>10</v>
      </c>
      <c r="I282" s="25"/>
      <c r="J282" s="352">
        <f ca="1">$J$26</f>
        <v>43790</v>
      </c>
      <c r="K282" s="352"/>
      <c r="L282" s="352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A285" s="197"/>
      <c r="B285" s="197"/>
      <c r="C285" s="7" t="s">
        <v>11</v>
      </c>
      <c r="D285" s="197"/>
      <c r="E285" s="197"/>
      <c r="F285" s="197"/>
      <c r="G285" s="348">
        <f>G253+1</f>
        <v>9</v>
      </c>
      <c r="H285" s="349"/>
      <c r="I285" s="350"/>
      <c r="J285" s="197"/>
      <c r="K285" s="197"/>
      <c r="L285" s="197"/>
    </row>
    <row r="286" spans="1:12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</row>
    <row r="287" spans="1:12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</row>
    <row r="288" spans="1:12">
      <c r="A288" s="28" t="s">
        <v>12</v>
      </c>
      <c r="B288" s="29" t="s">
        <v>13</v>
      </c>
      <c r="C288" s="30"/>
      <c r="D288" s="30"/>
      <c r="E288" s="30"/>
      <c r="F288" s="30"/>
      <c r="G288" s="30"/>
      <c r="H288" s="30"/>
      <c r="I288" s="30"/>
      <c r="J288" s="30"/>
      <c r="K288" s="197"/>
      <c r="L288" s="28" t="s">
        <v>14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A290" s="197"/>
      <c r="B290" s="3"/>
      <c r="C290" s="197"/>
      <c r="D290" s="197"/>
      <c r="E290" s="3"/>
      <c r="F290" s="3"/>
      <c r="G290" s="3"/>
      <c r="H290" s="3"/>
      <c r="I290" s="197"/>
      <c r="J290" s="197"/>
      <c r="K290" s="197"/>
      <c r="L290" s="197"/>
    </row>
    <row r="291" spans="1:12" ht="32.25">
      <c r="A291" s="197"/>
      <c r="B291" s="5"/>
      <c r="C291" s="6" t="s">
        <v>2</v>
      </c>
      <c r="D291" s="197"/>
      <c r="E291" s="5"/>
      <c r="F291" s="5"/>
      <c r="G291" s="5"/>
      <c r="H291" s="5"/>
      <c r="I291" s="197"/>
      <c r="J291" s="197"/>
      <c r="K291" s="197"/>
      <c r="L291" s="197"/>
    </row>
    <row r="292" spans="1:12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</row>
    <row r="293" spans="1:12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</row>
    <row r="294" spans="1:12" ht="59.25">
      <c r="A294" s="197"/>
      <c r="B294" s="197"/>
      <c r="C294" s="7" t="s">
        <v>3</v>
      </c>
      <c r="D294" s="197"/>
      <c r="E294" s="197"/>
      <c r="F294" s="197"/>
      <c r="G294" s="200" t="s">
        <v>4</v>
      </c>
      <c r="H294" s="346">
        <f>IF($H$6 = "", "", $H$6)</f>
        <v>90210</v>
      </c>
      <c r="I294" s="346"/>
      <c r="J294" s="346"/>
      <c r="K294" s="346"/>
      <c r="L294" s="197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7" spans="1:12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</row>
    <row r="298" spans="1:12" ht="33" thickBot="1">
      <c r="A298" s="14" t="s">
        <v>5</v>
      </c>
      <c r="B298" s="197"/>
      <c r="C298" s="347" t="str">
        <f>IF('09-54-01 BIC'!$K$11="","N/A",'09-54-01 BIC'!$K$11)</f>
        <v>N/A</v>
      </c>
      <c r="D298" s="347"/>
      <c r="E298" s="15" t="s">
        <v>6</v>
      </c>
      <c r="F298" s="347" t="str">
        <f>IF('09-54-01 BIC'!$K$12="","N/A",'09-54-01 BIC'!$K$12)</f>
        <v>N/A</v>
      </c>
      <c r="G298" s="347"/>
      <c r="H298" s="347"/>
      <c r="I298" s="15" t="s">
        <v>7</v>
      </c>
      <c r="J298" s="347" t="str">
        <f>IF('09-54-01 BIC'!$K$13="","N/A",'09-54-01 BIC'!$K$13)</f>
        <v>N/A</v>
      </c>
      <c r="K298" s="347"/>
      <c r="L298" s="16" t="s">
        <v>8</v>
      </c>
    </row>
    <row r="299" spans="1:12" ht="32.25">
      <c r="A299" s="14"/>
      <c r="B299" s="197"/>
      <c r="C299" s="17"/>
      <c r="D299" s="17"/>
      <c r="E299" s="15"/>
      <c r="F299" s="17"/>
      <c r="G299" s="17"/>
      <c r="H299" s="17"/>
      <c r="I299" s="15"/>
      <c r="J299" s="17"/>
      <c r="K299" s="17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33" thickBot="1">
      <c r="A301" s="14" t="s">
        <v>5</v>
      </c>
      <c r="B301" s="197"/>
      <c r="C301" s="347" t="str">
        <f>IF('09-54-01 BIC'!$K$15="","N/A",'09-54-01 BIC'!$K$15)</f>
        <v>N/A</v>
      </c>
      <c r="D301" s="347"/>
      <c r="E301" s="15" t="s">
        <v>6</v>
      </c>
      <c r="F301" s="347" t="str">
        <f>IF('09-54-01 BIC'!$K$16="","N/A",'09-54-01 BIC'!$K$16)</f>
        <v>N/A</v>
      </c>
      <c r="G301" s="347"/>
      <c r="H301" s="347"/>
      <c r="I301" s="15" t="s">
        <v>7</v>
      </c>
      <c r="J301" s="347" t="str">
        <f>IF('09-54-01 BIC'!$K$17="","N/A",'09-54-01 BIC'!$K$17)</f>
        <v>N/A</v>
      </c>
      <c r="K301" s="347"/>
      <c r="L301" s="16" t="s">
        <v>8</v>
      </c>
    </row>
    <row r="302" spans="1:12" ht="32.25">
      <c r="A302" s="14"/>
      <c r="B302" s="197"/>
      <c r="C302" s="17"/>
      <c r="D302" s="17"/>
      <c r="E302" s="15"/>
      <c r="F302" s="17"/>
      <c r="G302" s="17"/>
      <c r="H302" s="17"/>
      <c r="I302" s="15"/>
      <c r="J302" s="17"/>
      <c r="K302" s="17"/>
      <c r="L302" s="18"/>
    </row>
    <row r="303" spans="1:12" ht="18">
      <c r="A303" s="197"/>
      <c r="B303" s="197"/>
      <c r="C303" s="228"/>
      <c r="D303" s="228"/>
      <c r="E303" s="228"/>
      <c r="F303" s="228"/>
      <c r="G303" s="228"/>
      <c r="H303" s="228"/>
      <c r="I303" s="21"/>
      <c r="J303" s="228"/>
      <c r="K303" s="228"/>
      <c r="L303" s="20"/>
    </row>
    <row r="304" spans="1:12" ht="33" thickBot="1">
      <c r="A304" s="14" t="s">
        <v>5</v>
      </c>
      <c r="B304" s="197"/>
      <c r="C304" s="347" t="str">
        <f>IF('09-54-01 BIC'!$K$19="","N/A",'09-54-01 BIC'!$K$19)</f>
        <v>N/A</v>
      </c>
      <c r="D304" s="347"/>
      <c r="E304" s="15" t="s">
        <v>6</v>
      </c>
      <c r="F304" s="347" t="str">
        <f>IF('09-54-01 BIC'!$K$20="","N/A",'09-54-01 BIC'!$K$20)</f>
        <v>N/A</v>
      </c>
      <c r="G304" s="347"/>
      <c r="H304" s="347"/>
      <c r="I304" s="15" t="s">
        <v>7</v>
      </c>
      <c r="J304" s="347" t="str">
        <f>IF('09-54-01 BIC'!$K$21="","N/A",'09-54-01 BIC'!$K$21)</f>
        <v>N/A</v>
      </c>
      <c r="K304" s="347"/>
      <c r="L304" s="16" t="s">
        <v>8</v>
      </c>
    </row>
    <row r="305" spans="1:12" ht="32.25">
      <c r="A305" s="14"/>
      <c r="B305" s="197"/>
      <c r="C305" s="17"/>
      <c r="D305" s="17"/>
      <c r="E305" s="15"/>
      <c r="F305" s="17"/>
      <c r="G305" s="17"/>
      <c r="H305" s="17"/>
      <c r="I305" s="15"/>
      <c r="J305" s="17"/>
      <c r="K305" s="17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33" thickBot="1">
      <c r="A307" s="14" t="s">
        <v>5</v>
      </c>
      <c r="B307" s="197"/>
      <c r="C307" s="347" t="str">
        <f>IF('09-54-01 BIC'!$K$23="","N/A",'09-54-01 BIC'!$K$23)</f>
        <v>N/A</v>
      </c>
      <c r="D307" s="347"/>
      <c r="E307" s="15" t="s">
        <v>6</v>
      </c>
      <c r="F307" s="347" t="str">
        <f>IF('09-54-01 BIC'!$K$24="","N/A",'09-54-01 BIC'!$K$24)</f>
        <v>N/A</v>
      </c>
      <c r="G307" s="347"/>
      <c r="H307" s="347"/>
      <c r="I307" s="15" t="s">
        <v>7</v>
      </c>
      <c r="J307" s="347" t="str">
        <f>IF('09-54-01 BIC'!$K$25="","N/A",'09-54-01 BIC'!$K$25)</f>
        <v>N/A</v>
      </c>
      <c r="K307" s="347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33" thickBot="1">
      <c r="A310" s="14" t="s">
        <v>5</v>
      </c>
      <c r="B310" s="197"/>
      <c r="C310" s="347" t="s">
        <v>231</v>
      </c>
      <c r="D310" s="347"/>
      <c r="E310" s="15" t="s">
        <v>6</v>
      </c>
      <c r="F310" s="347" t="s">
        <v>231</v>
      </c>
      <c r="G310" s="347"/>
      <c r="H310" s="347"/>
      <c r="I310" s="15" t="s">
        <v>7</v>
      </c>
      <c r="J310" s="347" t="s">
        <v>231</v>
      </c>
      <c r="K310" s="347"/>
      <c r="L310" s="16" t="s">
        <v>8</v>
      </c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2" spans="1:12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</row>
    <row r="313" spans="1:12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</row>
    <row r="314" spans="1:12" ht="22.5">
      <c r="A314" s="24" t="s">
        <v>9</v>
      </c>
      <c r="B314" s="24"/>
      <c r="C314" s="25"/>
      <c r="D314" s="351"/>
      <c r="E314" s="351"/>
      <c r="F314" s="351"/>
      <c r="G314" s="25"/>
      <c r="H314" s="26" t="s">
        <v>10</v>
      </c>
      <c r="I314" s="25"/>
      <c r="J314" s="352">
        <f ca="1">$J$26</f>
        <v>43790</v>
      </c>
      <c r="K314" s="352"/>
      <c r="L314" s="352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A317" s="197"/>
      <c r="B317" s="197"/>
      <c r="C317" s="7" t="s">
        <v>11</v>
      </c>
      <c r="D317" s="197"/>
      <c r="E317" s="197"/>
      <c r="F317" s="197"/>
      <c r="G317" s="348">
        <f>G285+1</f>
        <v>10</v>
      </c>
      <c r="H317" s="349"/>
      <c r="I317" s="350"/>
      <c r="J317" s="197"/>
      <c r="K317" s="197"/>
      <c r="L317" s="197"/>
    </row>
    <row r="318" spans="1:12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</row>
    <row r="319" spans="1:12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</row>
    <row r="320" spans="1:12">
      <c r="A320" s="28" t="s">
        <v>12</v>
      </c>
      <c r="B320" s="29" t="s">
        <v>13</v>
      </c>
      <c r="C320" s="30"/>
      <c r="D320" s="30"/>
      <c r="E320" s="30"/>
      <c r="F320" s="30"/>
      <c r="G320" s="30"/>
      <c r="H320" s="30"/>
      <c r="I320" s="30"/>
      <c r="J320" s="30"/>
      <c r="K320" s="197"/>
      <c r="L320" s="28" t="s">
        <v>14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A322" s="197"/>
      <c r="B322" s="3"/>
      <c r="C322" s="197"/>
      <c r="D322" s="197"/>
      <c r="E322" s="3"/>
      <c r="F322" s="3"/>
      <c r="G322" s="3"/>
      <c r="H322" s="3"/>
      <c r="I322" s="197"/>
      <c r="J322" s="197"/>
      <c r="K322" s="197"/>
      <c r="L322" s="197"/>
    </row>
    <row r="323" spans="1:12" ht="32.25">
      <c r="A323" s="197"/>
      <c r="B323" s="5"/>
      <c r="C323" s="6" t="s">
        <v>2</v>
      </c>
      <c r="D323" s="197"/>
      <c r="E323" s="5"/>
      <c r="F323" s="5"/>
      <c r="G323" s="5"/>
      <c r="H323" s="5"/>
      <c r="I323" s="197"/>
      <c r="J323" s="197"/>
      <c r="K323" s="197"/>
      <c r="L323" s="197"/>
    </row>
    <row r="324" spans="1:12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</row>
    <row r="325" spans="1:12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</row>
    <row r="326" spans="1:12" ht="59.25">
      <c r="A326" s="197"/>
      <c r="B326" s="197"/>
      <c r="C326" s="7" t="s">
        <v>3</v>
      </c>
      <c r="D326" s="197"/>
      <c r="E326" s="197"/>
      <c r="F326" s="197"/>
      <c r="G326" s="200" t="s">
        <v>4</v>
      </c>
      <c r="H326" s="346">
        <f>IF($H$6 = "", "", $H$6)</f>
        <v>90210</v>
      </c>
      <c r="I326" s="346"/>
      <c r="J326" s="346"/>
      <c r="K326" s="346"/>
      <c r="L326" s="197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29" spans="1:12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</row>
    <row r="330" spans="1:12" ht="33" thickBot="1">
      <c r="A330" s="14" t="s">
        <v>5</v>
      </c>
      <c r="B330" s="197"/>
      <c r="C330" s="347" t="str">
        <f>IF('09-54-01 BIC'!$L$11="","N/A",'09-54-01 BIC'!$L$11)</f>
        <v>N/A</v>
      </c>
      <c r="D330" s="347"/>
      <c r="E330" s="15" t="s">
        <v>6</v>
      </c>
      <c r="F330" s="347" t="str">
        <f>IF('09-54-01 BIC'!$L$12="","N/A",'09-54-01 BIC'!$L$12)</f>
        <v>N/A</v>
      </c>
      <c r="G330" s="347"/>
      <c r="H330" s="347"/>
      <c r="I330" s="15" t="s">
        <v>7</v>
      </c>
      <c r="J330" s="347" t="str">
        <f>IF('09-54-01 BIC'!$L$13="","N/A",'09-54-01 BIC'!$L$13)</f>
        <v>N/A</v>
      </c>
      <c r="K330" s="347"/>
      <c r="L330" s="16" t="s">
        <v>8</v>
      </c>
    </row>
    <row r="331" spans="1:12" ht="32.25">
      <c r="A331" s="14"/>
      <c r="B331" s="197"/>
      <c r="C331" s="17"/>
      <c r="D331" s="17"/>
      <c r="E331" s="15"/>
      <c r="F331" s="17"/>
      <c r="G331" s="17"/>
      <c r="H331" s="17"/>
      <c r="I331" s="15"/>
      <c r="J331" s="17"/>
      <c r="K331" s="17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33" thickBot="1">
      <c r="A333" s="14" t="s">
        <v>5</v>
      </c>
      <c r="B333" s="197"/>
      <c r="C333" s="347" t="str">
        <f>IF('09-54-01 BIC'!$L$15="","N/A",'09-54-01 BIC'!$L$15)</f>
        <v>N/A</v>
      </c>
      <c r="D333" s="347"/>
      <c r="E333" s="15" t="s">
        <v>6</v>
      </c>
      <c r="F333" s="347" t="str">
        <f>IF('09-54-01 BIC'!$L$16="","N/A",'09-54-01 BIC'!$L$16)</f>
        <v>N/A</v>
      </c>
      <c r="G333" s="347"/>
      <c r="H333" s="347"/>
      <c r="I333" s="15" t="s">
        <v>7</v>
      </c>
      <c r="J333" s="347" t="str">
        <f>IF('09-54-01 BIC'!$L$17="","N/A",'09-54-01 BIC'!$L$17)</f>
        <v>N/A</v>
      </c>
      <c r="K333" s="347"/>
      <c r="L333" s="16" t="s">
        <v>8</v>
      </c>
    </row>
    <row r="334" spans="1:12" ht="32.25">
      <c r="A334" s="14"/>
      <c r="B334" s="197"/>
      <c r="C334" s="17"/>
      <c r="D334" s="17"/>
      <c r="E334" s="15"/>
      <c r="F334" s="17"/>
      <c r="G334" s="17"/>
      <c r="H334" s="17"/>
      <c r="I334" s="15"/>
      <c r="J334" s="17"/>
      <c r="K334" s="17"/>
      <c r="L334" s="18"/>
    </row>
    <row r="335" spans="1:12" ht="18">
      <c r="A335" s="197"/>
      <c r="B335" s="197"/>
      <c r="C335" s="228"/>
      <c r="D335" s="228"/>
      <c r="E335" s="228"/>
      <c r="F335" s="228"/>
      <c r="G335" s="228"/>
      <c r="H335" s="228"/>
      <c r="I335" s="21"/>
      <c r="J335" s="228"/>
      <c r="K335" s="228"/>
      <c r="L335" s="20"/>
    </row>
    <row r="336" spans="1:12" ht="33" thickBot="1">
      <c r="A336" s="14" t="s">
        <v>5</v>
      </c>
      <c r="B336" s="197"/>
      <c r="C336" s="347" t="str">
        <f>IF('09-54-01 BIC'!$L$19="","N/A",'09-54-01 BIC'!$L$19)</f>
        <v>N/A</v>
      </c>
      <c r="D336" s="347"/>
      <c r="E336" s="15" t="s">
        <v>6</v>
      </c>
      <c r="F336" s="347" t="str">
        <f>IF('09-54-01 BIC'!$L$20="","N/A",'09-54-01 BIC'!$L$20)</f>
        <v>N/A</v>
      </c>
      <c r="G336" s="347"/>
      <c r="H336" s="347"/>
      <c r="I336" s="15" t="s">
        <v>7</v>
      </c>
      <c r="J336" s="347" t="str">
        <f>IF('09-54-01 BIC'!$L$21="","N/A",'09-54-01 BIC'!$L$21)</f>
        <v>N/A</v>
      </c>
      <c r="K336" s="347"/>
      <c r="L336" s="16" t="s">
        <v>8</v>
      </c>
    </row>
    <row r="337" spans="1:12" ht="32.25">
      <c r="A337" s="14"/>
      <c r="B337" s="197"/>
      <c r="C337" s="17"/>
      <c r="D337" s="17"/>
      <c r="E337" s="15"/>
      <c r="F337" s="17"/>
      <c r="G337" s="17"/>
      <c r="H337" s="17"/>
      <c r="I337" s="15"/>
      <c r="J337" s="17"/>
      <c r="K337" s="17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33" thickBot="1">
      <c r="A339" s="14" t="s">
        <v>5</v>
      </c>
      <c r="B339" s="197"/>
      <c r="C339" s="347" t="str">
        <f>IF('09-54-01 BIC'!$L$23="","N/A",'09-54-01 BIC'!$L$23)</f>
        <v>N/A</v>
      </c>
      <c r="D339" s="347"/>
      <c r="E339" s="15" t="s">
        <v>6</v>
      </c>
      <c r="F339" s="347" t="str">
        <f>IF('09-54-01 BIC'!$L$24="","N/A",'09-54-01 BIC'!$L$24)</f>
        <v>N/A</v>
      </c>
      <c r="G339" s="347"/>
      <c r="H339" s="347"/>
      <c r="I339" s="15" t="s">
        <v>7</v>
      </c>
      <c r="J339" s="347" t="str">
        <f>IF('09-54-01 BIC'!$L$25="","N/A",'09-54-01 BIC'!$L$25)</f>
        <v>N/A</v>
      </c>
      <c r="K339" s="347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33" thickBot="1">
      <c r="A342" s="14" t="s">
        <v>5</v>
      </c>
      <c r="B342" s="197"/>
      <c r="C342" s="347" t="s">
        <v>231</v>
      </c>
      <c r="D342" s="347"/>
      <c r="E342" s="15" t="s">
        <v>6</v>
      </c>
      <c r="F342" s="347" t="s">
        <v>231</v>
      </c>
      <c r="G342" s="347"/>
      <c r="H342" s="347"/>
      <c r="I342" s="15" t="s">
        <v>7</v>
      </c>
      <c r="J342" s="347" t="s">
        <v>231</v>
      </c>
      <c r="K342" s="347"/>
      <c r="L342" s="16" t="s">
        <v>8</v>
      </c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4" spans="1:12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</row>
    <row r="345" spans="1:12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</row>
    <row r="346" spans="1:12" ht="22.5">
      <c r="A346" s="24" t="s">
        <v>9</v>
      </c>
      <c r="B346" s="24"/>
      <c r="C346" s="25"/>
      <c r="D346" s="351"/>
      <c r="E346" s="351"/>
      <c r="F346" s="351"/>
      <c r="G346" s="25"/>
      <c r="H346" s="26" t="s">
        <v>10</v>
      </c>
      <c r="I346" s="25"/>
      <c r="J346" s="352">
        <f ca="1">$J$26</f>
        <v>43790</v>
      </c>
      <c r="K346" s="352"/>
      <c r="L346" s="352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A349" s="197"/>
      <c r="B349" s="197"/>
      <c r="C349" s="7" t="s">
        <v>11</v>
      </c>
      <c r="D349" s="197"/>
      <c r="E349" s="197"/>
      <c r="F349" s="197"/>
      <c r="G349" s="348">
        <f>G317+1</f>
        <v>11</v>
      </c>
      <c r="H349" s="349"/>
      <c r="I349" s="350"/>
      <c r="J349" s="197"/>
      <c r="K349" s="197"/>
      <c r="L349" s="197"/>
    </row>
    <row r="350" spans="1:12">
      <c r="A350" s="197"/>
      <c r="B350" s="197"/>
      <c r="C350" s="197"/>
      <c r="D350" s="197"/>
      <c r="E350" s="197"/>
      <c r="F350" s="197"/>
      <c r="G350" s="197"/>
      <c r="H350" s="197"/>
      <c r="I350" s="197"/>
      <c r="J350" s="197"/>
      <c r="K350" s="197"/>
      <c r="L350" s="197"/>
    </row>
    <row r="351" spans="1:12">
      <c r="A351" s="197"/>
      <c r="B351" s="197"/>
      <c r="C351" s="197"/>
      <c r="D351" s="197"/>
      <c r="E351" s="197"/>
      <c r="F351" s="197"/>
      <c r="G351" s="197"/>
      <c r="H351" s="197"/>
      <c r="I351" s="197"/>
      <c r="J351" s="197"/>
      <c r="K351" s="197"/>
      <c r="L351" s="197"/>
    </row>
    <row r="352" spans="1:12">
      <c r="A352" s="28" t="s">
        <v>12</v>
      </c>
      <c r="B352" s="29" t="s">
        <v>13</v>
      </c>
      <c r="C352" s="30"/>
      <c r="D352" s="30"/>
      <c r="E352" s="30"/>
      <c r="F352" s="30"/>
      <c r="G352" s="30"/>
      <c r="H352" s="30"/>
      <c r="I352" s="30"/>
      <c r="J352" s="30"/>
      <c r="K352" s="197"/>
      <c r="L352" s="28" t="s">
        <v>14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A354" s="197"/>
      <c r="B354" s="3"/>
      <c r="C354" s="197"/>
      <c r="D354" s="197"/>
      <c r="E354" s="3"/>
      <c r="F354" s="3"/>
      <c r="G354" s="3"/>
      <c r="H354" s="3"/>
      <c r="I354" s="197"/>
      <c r="J354" s="197"/>
      <c r="K354" s="197"/>
      <c r="L354" s="197"/>
    </row>
    <row r="355" spans="1:12" ht="32.25">
      <c r="A355" s="197"/>
      <c r="B355" s="5"/>
      <c r="C355" s="6" t="s">
        <v>2</v>
      </c>
      <c r="D355" s="197"/>
      <c r="E355" s="5"/>
      <c r="F355" s="5"/>
      <c r="G355" s="5"/>
      <c r="H355" s="5"/>
      <c r="I355" s="197"/>
      <c r="J355" s="197"/>
      <c r="K355" s="197"/>
      <c r="L355" s="197"/>
    </row>
    <row r="356" spans="1:12">
      <c r="A356" s="197"/>
      <c r="B356" s="197"/>
      <c r="C356" s="197"/>
      <c r="D356" s="197"/>
      <c r="E356" s="197"/>
      <c r="F356" s="197"/>
      <c r="G356" s="197"/>
      <c r="H356" s="197"/>
      <c r="I356" s="197"/>
      <c r="J356" s="197"/>
      <c r="K356" s="197"/>
      <c r="L356" s="197"/>
    </row>
    <row r="357" spans="1:12">
      <c r="A357" s="197"/>
      <c r="B357" s="197"/>
      <c r="C357" s="197"/>
      <c r="D357" s="197"/>
      <c r="E357" s="197"/>
      <c r="F357" s="197"/>
      <c r="G357" s="197"/>
      <c r="H357" s="197"/>
      <c r="I357" s="197"/>
      <c r="J357" s="197"/>
      <c r="K357" s="197"/>
      <c r="L357" s="197"/>
    </row>
    <row r="358" spans="1:12" ht="59.25">
      <c r="A358" s="197"/>
      <c r="B358" s="197"/>
      <c r="C358" s="7" t="s">
        <v>3</v>
      </c>
      <c r="D358" s="197"/>
      <c r="E358" s="197"/>
      <c r="F358" s="197"/>
      <c r="G358" s="200" t="s">
        <v>4</v>
      </c>
      <c r="H358" s="346">
        <f>IF($H$6 = "", "", $H$6)</f>
        <v>90210</v>
      </c>
      <c r="I358" s="346"/>
      <c r="J358" s="346"/>
      <c r="K358" s="346"/>
      <c r="L358" s="197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1" spans="1:12">
      <c r="A361" s="197"/>
      <c r="B361" s="197"/>
      <c r="C361" s="197"/>
      <c r="D361" s="197"/>
      <c r="E361" s="197"/>
      <c r="F361" s="197"/>
      <c r="G361" s="197"/>
      <c r="H361" s="197"/>
      <c r="I361" s="197"/>
      <c r="J361" s="197"/>
      <c r="K361" s="197"/>
      <c r="L361" s="197"/>
    </row>
    <row r="362" spans="1:12" ht="33" thickBot="1">
      <c r="A362" s="14" t="s">
        <v>5</v>
      </c>
      <c r="B362" s="197"/>
      <c r="C362" s="347" t="str">
        <f>IF('09-54-01 BIC'!$M$11="","N/A",'09-54-01 BIC'!$M$11)</f>
        <v>N/A</v>
      </c>
      <c r="D362" s="347"/>
      <c r="E362" s="15" t="s">
        <v>6</v>
      </c>
      <c r="F362" s="347" t="str">
        <f>IF('09-54-01 BIC'!$M$12="","N/A",'09-54-01 BIC'!$M$12)</f>
        <v>N/A</v>
      </c>
      <c r="G362" s="347"/>
      <c r="H362" s="347"/>
      <c r="I362" s="15" t="s">
        <v>7</v>
      </c>
      <c r="J362" s="347" t="str">
        <f>IF('09-54-01 BIC'!$M$13="","N/A",'09-54-01 BIC'!$M$13)</f>
        <v>N/A</v>
      </c>
      <c r="K362" s="347"/>
      <c r="L362" s="16" t="s">
        <v>8</v>
      </c>
    </row>
    <row r="363" spans="1:12" ht="32.25">
      <c r="A363" s="14"/>
      <c r="B363" s="197"/>
      <c r="C363" s="17"/>
      <c r="D363" s="17"/>
      <c r="E363" s="15"/>
      <c r="F363" s="17"/>
      <c r="G363" s="17"/>
      <c r="H363" s="17"/>
      <c r="I363" s="15"/>
      <c r="J363" s="17"/>
      <c r="K363" s="17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33" thickBot="1">
      <c r="A365" s="14" t="s">
        <v>5</v>
      </c>
      <c r="B365" s="197"/>
      <c r="C365" s="347" t="str">
        <f>IF('09-54-01 BIC'!$M$15="","N/A",'09-54-01 BIC'!$M$15)</f>
        <v>N/A</v>
      </c>
      <c r="D365" s="347"/>
      <c r="E365" s="15" t="s">
        <v>6</v>
      </c>
      <c r="F365" s="347" t="str">
        <f>IF('09-54-01 BIC'!$M$16="","N/A",'09-54-01 BIC'!$M$16)</f>
        <v>N/A</v>
      </c>
      <c r="G365" s="347"/>
      <c r="H365" s="347"/>
      <c r="I365" s="15" t="s">
        <v>7</v>
      </c>
      <c r="J365" s="347" t="str">
        <f>IF('09-54-01 BIC'!$M$17="","N/A",'09-54-01 BIC'!$M$17)</f>
        <v>N/A</v>
      </c>
      <c r="K365" s="347"/>
      <c r="L365" s="16" t="s">
        <v>8</v>
      </c>
    </row>
    <row r="366" spans="1:12" ht="32.25">
      <c r="A366" s="14"/>
      <c r="B366" s="197"/>
      <c r="C366" s="17"/>
      <c r="D366" s="17"/>
      <c r="E366" s="15"/>
      <c r="F366" s="17"/>
      <c r="G366" s="17"/>
      <c r="H366" s="17"/>
      <c r="I366" s="15"/>
      <c r="J366" s="17"/>
      <c r="K366" s="17"/>
      <c r="L366" s="18"/>
    </row>
    <row r="367" spans="1:12" ht="18">
      <c r="A367" s="197"/>
      <c r="B367" s="197"/>
      <c r="C367" s="228"/>
      <c r="D367" s="228"/>
      <c r="E367" s="228"/>
      <c r="F367" s="228"/>
      <c r="G367" s="228"/>
      <c r="H367" s="228"/>
      <c r="I367" s="21"/>
      <c r="J367" s="228"/>
      <c r="K367" s="228"/>
      <c r="L367" s="20"/>
    </row>
    <row r="368" spans="1:12" ht="33" thickBot="1">
      <c r="A368" s="14" t="s">
        <v>5</v>
      </c>
      <c r="B368" s="197"/>
      <c r="C368" s="347" t="str">
        <f>IF('09-54-01 BIC'!$M$19="","N/A",'09-54-01 BIC'!$M$19)</f>
        <v>N/A</v>
      </c>
      <c r="D368" s="347"/>
      <c r="E368" s="15" t="s">
        <v>6</v>
      </c>
      <c r="F368" s="347" t="str">
        <f>IF('09-54-01 BIC'!$M$20="","N/A",'09-54-01 BIC'!$M$20)</f>
        <v>N/A</v>
      </c>
      <c r="G368" s="347"/>
      <c r="H368" s="347"/>
      <c r="I368" s="15" t="s">
        <v>7</v>
      </c>
      <c r="J368" s="347" t="str">
        <f>IF('09-54-01 BIC'!$M$21="","N/A",'09-54-01 BIC'!$M$21)</f>
        <v>N/A</v>
      </c>
      <c r="K368" s="347"/>
      <c r="L368" s="16" t="s">
        <v>8</v>
      </c>
    </row>
    <row r="369" spans="1:12" ht="32.25">
      <c r="A369" s="14"/>
      <c r="B369" s="197"/>
      <c r="C369" s="17"/>
      <c r="D369" s="17"/>
      <c r="E369" s="15"/>
      <c r="F369" s="17"/>
      <c r="G369" s="17"/>
      <c r="H369" s="17"/>
      <c r="I369" s="15"/>
      <c r="J369" s="17"/>
      <c r="K369" s="17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33" thickBot="1">
      <c r="A371" s="14" t="s">
        <v>5</v>
      </c>
      <c r="B371" s="197"/>
      <c r="C371" s="347" t="str">
        <f>IF('09-54-01 BIC'!$M$23="","N/A",'09-54-01 BIC'!$M$23)</f>
        <v>N/A</v>
      </c>
      <c r="D371" s="347"/>
      <c r="E371" s="15" t="s">
        <v>6</v>
      </c>
      <c r="F371" s="347" t="str">
        <f>IF('09-54-01 BIC'!$M$24="","N/A",'09-54-01 BIC'!$M$24)</f>
        <v>N/A</v>
      </c>
      <c r="G371" s="347"/>
      <c r="H371" s="347"/>
      <c r="I371" s="15" t="s">
        <v>7</v>
      </c>
      <c r="J371" s="347" t="str">
        <f>IF('09-54-01 BIC'!$M$25="","N/A",'09-54-01 BIC'!$M$25)</f>
        <v>N/A</v>
      </c>
      <c r="K371" s="347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33" thickBot="1">
      <c r="A374" s="14" t="s">
        <v>5</v>
      </c>
      <c r="B374" s="197"/>
      <c r="C374" s="347" t="s">
        <v>231</v>
      </c>
      <c r="D374" s="347"/>
      <c r="E374" s="15" t="s">
        <v>6</v>
      </c>
      <c r="F374" s="347" t="s">
        <v>231</v>
      </c>
      <c r="G374" s="347"/>
      <c r="H374" s="347"/>
      <c r="I374" s="15" t="s">
        <v>7</v>
      </c>
      <c r="J374" s="347" t="s">
        <v>231</v>
      </c>
      <c r="K374" s="347"/>
      <c r="L374" s="16" t="s">
        <v>8</v>
      </c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6" spans="1:12">
      <c r="A376" s="197"/>
      <c r="B376" s="197"/>
      <c r="C376" s="197"/>
      <c r="D376" s="197"/>
      <c r="E376" s="197"/>
      <c r="F376" s="197"/>
      <c r="G376" s="197"/>
      <c r="H376" s="197"/>
      <c r="I376" s="197"/>
      <c r="J376" s="197"/>
      <c r="K376" s="197"/>
      <c r="L376" s="197"/>
    </row>
    <row r="377" spans="1:12">
      <c r="A377" s="197"/>
      <c r="B377" s="197"/>
      <c r="C377" s="197"/>
      <c r="D377" s="197"/>
      <c r="E377" s="197"/>
      <c r="F377" s="197"/>
      <c r="G377" s="197"/>
      <c r="H377" s="197"/>
      <c r="I377" s="197"/>
      <c r="J377" s="197"/>
      <c r="K377" s="197"/>
      <c r="L377" s="197"/>
    </row>
    <row r="378" spans="1:12" ht="22.5">
      <c r="A378" s="24" t="s">
        <v>9</v>
      </c>
      <c r="B378" s="24"/>
      <c r="C378" s="25"/>
      <c r="D378" s="351"/>
      <c r="E378" s="351"/>
      <c r="F378" s="351"/>
      <c r="G378" s="25"/>
      <c r="H378" s="26" t="s">
        <v>10</v>
      </c>
      <c r="I378" s="25"/>
      <c r="J378" s="352">
        <f ca="1">$J$26</f>
        <v>43790</v>
      </c>
      <c r="K378" s="352"/>
      <c r="L378" s="352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A381" s="197"/>
      <c r="B381" s="197"/>
      <c r="C381" s="7" t="s">
        <v>11</v>
      </c>
      <c r="D381" s="197"/>
      <c r="E381" s="197"/>
      <c r="F381" s="197"/>
      <c r="G381" s="348">
        <f>G349+1</f>
        <v>12</v>
      </c>
      <c r="H381" s="349"/>
      <c r="I381" s="350"/>
      <c r="J381" s="197"/>
      <c r="K381" s="197"/>
      <c r="L381" s="197"/>
    </row>
    <row r="382" spans="1:12">
      <c r="A382" s="197"/>
      <c r="B382" s="197"/>
      <c r="C382" s="197"/>
      <c r="D382" s="197"/>
      <c r="E382" s="197"/>
      <c r="F382" s="197"/>
      <c r="G382" s="197"/>
      <c r="H382" s="197"/>
      <c r="I382" s="197"/>
      <c r="J382" s="197"/>
      <c r="K382" s="197"/>
      <c r="L382" s="197"/>
    </row>
    <row r="383" spans="1:12">
      <c r="A383" s="197"/>
      <c r="B383" s="197"/>
      <c r="C383" s="197"/>
      <c r="D383" s="197"/>
      <c r="E383" s="197"/>
      <c r="F383" s="197"/>
      <c r="G383" s="197"/>
      <c r="H383" s="197"/>
      <c r="I383" s="197"/>
      <c r="J383" s="197"/>
      <c r="K383" s="197"/>
      <c r="L383" s="197"/>
    </row>
    <row r="384" spans="1:12">
      <c r="A384" s="28" t="s">
        <v>12</v>
      </c>
      <c r="B384" s="29" t="s">
        <v>13</v>
      </c>
      <c r="C384" s="30"/>
      <c r="D384" s="30"/>
      <c r="E384" s="30"/>
      <c r="F384" s="30"/>
      <c r="G384" s="30"/>
      <c r="H384" s="30"/>
      <c r="I384" s="30"/>
      <c r="J384" s="30"/>
      <c r="K384" s="197"/>
      <c r="L384" s="28" t="s">
        <v>14</v>
      </c>
    </row>
    <row r="440" spans="5:7">
      <c r="E440" s="31"/>
      <c r="G440" s="31"/>
    </row>
    <row r="441" spans="5:7">
      <c r="E441" s="31"/>
      <c r="G441" s="31"/>
    </row>
    <row r="442" spans="5:7">
      <c r="E442" s="31"/>
      <c r="G442" s="31"/>
    </row>
    <row r="452" spans="7:7">
      <c r="G452" s="31"/>
    </row>
    <row r="453" spans="7:7">
      <c r="G453" s="31"/>
    </row>
    <row r="454" spans="7:7">
      <c r="G454" s="31"/>
    </row>
    <row r="455" spans="7:7">
      <c r="G455" s="31"/>
    </row>
    <row r="456" spans="7:7">
      <c r="G456" s="31"/>
    </row>
    <row r="457" spans="7:7">
      <c r="G457" s="31"/>
    </row>
    <row r="458" spans="7:7">
      <c r="G458" s="31"/>
    </row>
    <row r="459" spans="7:7">
      <c r="G459" s="31"/>
    </row>
    <row r="460" spans="7:7">
      <c r="G460" s="31"/>
    </row>
    <row r="461" spans="7:7">
      <c r="G461" s="31"/>
    </row>
    <row r="462" spans="7:7">
      <c r="G462" s="31"/>
    </row>
    <row r="463" spans="7:7">
      <c r="G463" s="31"/>
    </row>
    <row r="464" spans="7:7">
      <c r="G464" s="31"/>
    </row>
    <row r="465" spans="7:7">
      <c r="G465" s="31"/>
    </row>
    <row r="466" spans="7:7">
      <c r="G466" s="31"/>
    </row>
    <row r="467" spans="7:7">
      <c r="G467" s="31"/>
    </row>
    <row r="468" spans="7:7">
      <c r="G468" s="31"/>
    </row>
    <row r="469" spans="7:7">
      <c r="G469" s="31"/>
    </row>
    <row r="470" spans="7:7">
      <c r="G470" s="31"/>
    </row>
    <row r="471" spans="7:7">
      <c r="G471" s="31"/>
    </row>
    <row r="472" spans="7:7">
      <c r="G472" s="31"/>
    </row>
    <row r="473" spans="7:7">
      <c r="G473" s="31"/>
    </row>
    <row r="474" spans="7:7">
      <c r="G474" s="31"/>
    </row>
    <row r="475" spans="7:7">
      <c r="G475" s="31"/>
    </row>
    <row r="476" spans="7:7">
      <c r="G476" s="31"/>
    </row>
    <row r="477" spans="7:7">
      <c r="G477" s="31"/>
    </row>
    <row r="478" spans="7:7">
      <c r="G478" s="31"/>
    </row>
    <row r="479" spans="7:7">
      <c r="G479" s="31"/>
    </row>
    <row r="480" spans="7:7">
      <c r="G480" s="31"/>
    </row>
    <row r="481" spans="7:7">
      <c r="G481" s="31"/>
    </row>
    <row r="482" spans="7:7">
      <c r="G482" s="31"/>
    </row>
    <row r="483" spans="7:7">
      <c r="G483" s="31"/>
    </row>
    <row r="484" spans="7:7">
      <c r="G484" s="31"/>
    </row>
    <row r="485" spans="7:7">
      <c r="G485" s="31"/>
    </row>
    <row r="486" spans="7:7">
      <c r="G486" s="31"/>
    </row>
    <row r="487" spans="7:7">
      <c r="G487" s="31"/>
    </row>
    <row r="488" spans="7:7">
      <c r="G488" s="31"/>
    </row>
    <row r="489" spans="7:7">
      <c r="G489" s="31"/>
    </row>
    <row r="490" spans="7:7">
      <c r="G490" s="31"/>
    </row>
    <row r="491" spans="7:7">
      <c r="G491" s="31"/>
    </row>
    <row r="492" spans="7:7">
      <c r="G492" s="31"/>
    </row>
    <row r="493" spans="7:7">
      <c r="G493" s="31"/>
    </row>
    <row r="494" spans="7:7">
      <c r="G494" s="31"/>
    </row>
    <row r="495" spans="7:7">
      <c r="G495" s="31"/>
    </row>
  </sheetData>
  <mergeCells count="228"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  <mergeCell ref="C365:D365"/>
    <mergeCell ref="F365:H365"/>
    <mergeCell ref="J365:K365"/>
    <mergeCell ref="C368:D368"/>
    <mergeCell ref="F368:H368"/>
    <mergeCell ref="J368:K368"/>
    <mergeCell ref="D346:F346"/>
    <mergeCell ref="J346:L346"/>
    <mergeCell ref="G349:I349"/>
    <mergeCell ref="H358:K358"/>
    <mergeCell ref="C362:D362"/>
    <mergeCell ref="F362:H362"/>
    <mergeCell ref="J362:K362"/>
    <mergeCell ref="C339:D339"/>
    <mergeCell ref="F339:H339"/>
    <mergeCell ref="J339:K339"/>
    <mergeCell ref="C342:D342"/>
    <mergeCell ref="F342:H342"/>
    <mergeCell ref="J342:K342"/>
    <mergeCell ref="C333:D333"/>
    <mergeCell ref="F333:H333"/>
    <mergeCell ref="J333:K333"/>
    <mergeCell ref="C336:D336"/>
    <mergeCell ref="F336:H336"/>
    <mergeCell ref="J336:K336"/>
    <mergeCell ref="D314:F314"/>
    <mergeCell ref="J314:L314"/>
    <mergeCell ref="G317:I317"/>
    <mergeCell ref="H326:K326"/>
    <mergeCell ref="C330:D330"/>
    <mergeCell ref="F330:H330"/>
    <mergeCell ref="J330:K330"/>
    <mergeCell ref="C307:D307"/>
    <mergeCell ref="F307:H307"/>
    <mergeCell ref="J307:K307"/>
    <mergeCell ref="C310:D310"/>
    <mergeCell ref="F310:H310"/>
    <mergeCell ref="J310:K310"/>
    <mergeCell ref="C301:D301"/>
    <mergeCell ref="F301:H301"/>
    <mergeCell ref="J301:K301"/>
    <mergeCell ref="C304:D304"/>
    <mergeCell ref="F304:H304"/>
    <mergeCell ref="J304:K304"/>
    <mergeCell ref="D282:F282"/>
    <mergeCell ref="J282:L282"/>
    <mergeCell ref="G285:I285"/>
    <mergeCell ref="H294:K294"/>
    <mergeCell ref="C298:D298"/>
    <mergeCell ref="F298:H298"/>
    <mergeCell ref="J298:K298"/>
    <mergeCell ref="C275:D275"/>
    <mergeCell ref="F275:H275"/>
    <mergeCell ref="J275:K275"/>
    <mergeCell ref="C278:D278"/>
    <mergeCell ref="F278:H278"/>
    <mergeCell ref="J278:K278"/>
    <mergeCell ref="C269:D269"/>
    <mergeCell ref="F269:H269"/>
    <mergeCell ref="J269:K269"/>
    <mergeCell ref="C272:D272"/>
    <mergeCell ref="F272:H272"/>
    <mergeCell ref="J272:K272"/>
    <mergeCell ref="D250:F250"/>
    <mergeCell ref="J250:L250"/>
    <mergeCell ref="G253:I253"/>
    <mergeCell ref="H262:K262"/>
    <mergeCell ref="C266:D266"/>
    <mergeCell ref="F266:H266"/>
    <mergeCell ref="J266:K266"/>
    <mergeCell ref="C243:D243"/>
    <mergeCell ref="F243:H243"/>
    <mergeCell ref="J243:K243"/>
    <mergeCell ref="C246:D246"/>
    <mergeCell ref="F246:H246"/>
    <mergeCell ref="J246:K246"/>
    <mergeCell ref="C237:D237"/>
    <mergeCell ref="F237:H237"/>
    <mergeCell ref="J237:K237"/>
    <mergeCell ref="C240:D240"/>
    <mergeCell ref="F240:H240"/>
    <mergeCell ref="J240:K240"/>
    <mergeCell ref="D218:F218"/>
    <mergeCell ref="J218:L218"/>
    <mergeCell ref="G221:I221"/>
    <mergeCell ref="H230:K230"/>
    <mergeCell ref="C234:D234"/>
    <mergeCell ref="F234:H234"/>
    <mergeCell ref="J234:K234"/>
    <mergeCell ref="C211:D211"/>
    <mergeCell ref="F211:H211"/>
    <mergeCell ref="J211:K211"/>
    <mergeCell ref="C214:D214"/>
    <mergeCell ref="F214:H214"/>
    <mergeCell ref="J214:K214"/>
    <mergeCell ref="C205:D205"/>
    <mergeCell ref="F205:H205"/>
    <mergeCell ref="J205:K205"/>
    <mergeCell ref="C208:D208"/>
    <mergeCell ref="F208:H208"/>
    <mergeCell ref="J208:K208"/>
    <mergeCell ref="D186:F186"/>
    <mergeCell ref="J186:L186"/>
    <mergeCell ref="G189:I189"/>
    <mergeCell ref="H198:K198"/>
    <mergeCell ref="C202:D202"/>
    <mergeCell ref="F202:H202"/>
    <mergeCell ref="J202:K202"/>
    <mergeCell ref="C179:D179"/>
    <mergeCell ref="F179:H179"/>
    <mergeCell ref="J179:K179"/>
    <mergeCell ref="C182:D182"/>
    <mergeCell ref="F182:H182"/>
    <mergeCell ref="J182:K182"/>
    <mergeCell ref="C173:D173"/>
    <mergeCell ref="F173:H173"/>
    <mergeCell ref="J173:K173"/>
    <mergeCell ref="C176:D176"/>
    <mergeCell ref="F176:H176"/>
    <mergeCell ref="J176:K176"/>
    <mergeCell ref="D154:F154"/>
    <mergeCell ref="J154:L154"/>
    <mergeCell ref="G157:I157"/>
    <mergeCell ref="H166:K166"/>
    <mergeCell ref="C170:D170"/>
    <mergeCell ref="F170:H170"/>
    <mergeCell ref="J170:K170"/>
    <mergeCell ref="C147:D147"/>
    <mergeCell ref="F147:H147"/>
    <mergeCell ref="J147:K147"/>
    <mergeCell ref="C150:D150"/>
    <mergeCell ref="F150:H150"/>
    <mergeCell ref="J150:K150"/>
    <mergeCell ref="C141:D141"/>
    <mergeCell ref="F141:H141"/>
    <mergeCell ref="J141:K141"/>
    <mergeCell ref="C144:D144"/>
    <mergeCell ref="F144:H144"/>
    <mergeCell ref="J144:K144"/>
    <mergeCell ref="D122:F122"/>
    <mergeCell ref="J122:L122"/>
    <mergeCell ref="G125:I125"/>
    <mergeCell ref="H134:K134"/>
    <mergeCell ref="C138:D138"/>
    <mergeCell ref="F138:H138"/>
    <mergeCell ref="J138:K138"/>
    <mergeCell ref="C115:D115"/>
    <mergeCell ref="F115:H115"/>
    <mergeCell ref="J115:K115"/>
    <mergeCell ref="C118:D118"/>
    <mergeCell ref="F118:H118"/>
    <mergeCell ref="J118:K118"/>
    <mergeCell ref="C109:D109"/>
    <mergeCell ref="F109:H109"/>
    <mergeCell ref="J109:K109"/>
    <mergeCell ref="C112:D112"/>
    <mergeCell ref="F112:H112"/>
    <mergeCell ref="J112:K112"/>
    <mergeCell ref="D90:F90"/>
    <mergeCell ref="J90:L90"/>
    <mergeCell ref="G93:I93"/>
    <mergeCell ref="H102:K102"/>
    <mergeCell ref="C106:D106"/>
    <mergeCell ref="F106:H106"/>
    <mergeCell ref="J106:K106"/>
    <mergeCell ref="C83:D83"/>
    <mergeCell ref="F83:H83"/>
    <mergeCell ref="J83:K83"/>
    <mergeCell ref="C86:D86"/>
    <mergeCell ref="F86:H86"/>
    <mergeCell ref="J86:K86"/>
    <mergeCell ref="C77:D77"/>
    <mergeCell ref="F77:H77"/>
    <mergeCell ref="J77:K77"/>
    <mergeCell ref="C80:D80"/>
    <mergeCell ref="F80:H80"/>
    <mergeCell ref="J80:K80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48:D48"/>
    <mergeCell ref="F48:H48"/>
    <mergeCell ref="J48:K48"/>
    <mergeCell ref="C51:D51"/>
    <mergeCell ref="F51:H51"/>
    <mergeCell ref="J51:K51"/>
    <mergeCell ref="H38:K38"/>
    <mergeCell ref="C42:D42"/>
    <mergeCell ref="F42:H42"/>
    <mergeCell ref="J42:K42"/>
    <mergeCell ref="C45:D45"/>
    <mergeCell ref="F45:H45"/>
    <mergeCell ref="J45:K45"/>
    <mergeCell ref="H6:K6"/>
    <mergeCell ref="C10:D10"/>
    <mergeCell ref="F10:H10"/>
    <mergeCell ref="J10:K10"/>
    <mergeCell ref="C13:D13"/>
    <mergeCell ref="F13:H13"/>
    <mergeCell ref="J13:K13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  <mergeCell ref="D26:F26"/>
    <mergeCell ref="J26:L26"/>
  </mergeCells>
  <dataValidations disablePrompts="1" count="1">
    <dataValidation allowBlank="1" showInputMessage="1" showErrorMessage="1" promptTitle="Pallet #" prompt="Select Pallet Numberfrom BIC" sqref="G61:I61 G29:I29 G93:I93 G125:I125 G157:I157 G189:I189 G221:I221 G253:I253 G285:I285 G317:I317 G349:I349 G381:I381" xr:uid="{00000000-0002-0000-0300-000000000000}"/>
  </dataValidations>
  <printOptions horizontalCentered="1"/>
  <pageMargins left="0.2" right="0.2" top="0.5" bottom="0" header="0.5" footer="0"/>
  <pageSetup scale="94" orientation="portrait" r:id="rId1"/>
  <headerFooter alignWithMargins="0"/>
  <rowBreaks count="2" manualBreakCount="2">
    <brk id="32" max="16383" man="1"/>
    <brk id="64" max="16383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Pallet #" prompt="Select Pallet Numberfrom BIC" xr:uid="{00000000-0002-0000-0300-000001000000}">
          <x14:formula1>
            <xm:f>'\\ediserver\c\Users\Muhamad\Desktop\[Pack Off SOP 09-54 SOP Forms DCO#016024.xls]Scrap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63"/>
  <sheetViews>
    <sheetView zoomScale="75" zoomScaleNormal="75" zoomScaleSheetLayoutView="75" workbookViewId="0">
      <selection activeCell="H4" sqref="H4:O4"/>
    </sheetView>
  </sheetViews>
  <sheetFormatPr defaultRowHeight="12.75"/>
  <cols>
    <col min="20" max="20" width="9" style="203"/>
  </cols>
  <sheetData>
    <row r="1" spans="1:23" s="32" customFormat="1" ht="18.7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T1" s="306"/>
    </row>
    <row r="2" spans="1:23" ht="147" thickBot="1">
      <c r="A2" s="33" t="s">
        <v>15</v>
      </c>
      <c r="H2" s="354">
        <f>IF(ISNA(INDEX(Schedule!$O:$O,MATCH($H$4,Schedule!$T:$T,0))),"",INDEX(Schedule!$O:$O,MATCH($H$4,Schedule!$T:$T,0)))</f>
        <v>8992</v>
      </c>
      <c r="I2" s="354"/>
      <c r="J2" s="354"/>
      <c r="K2" s="354"/>
      <c r="L2" s="354"/>
      <c r="M2" s="354"/>
      <c r="N2" s="354"/>
      <c r="O2" s="354"/>
    </row>
    <row r="3" spans="1:23" ht="42" customHeight="1">
      <c r="A3" s="34"/>
    </row>
    <row r="4" spans="1:23" ht="147" thickBot="1">
      <c r="A4" s="33" t="s">
        <v>16</v>
      </c>
      <c r="H4" s="354">
        <v>1920901</v>
      </c>
      <c r="I4" s="354"/>
      <c r="J4" s="354"/>
      <c r="K4" s="354"/>
      <c r="L4" s="354"/>
      <c r="M4" s="354"/>
      <c r="N4" s="354"/>
      <c r="O4" s="354"/>
    </row>
    <row r="5" spans="1:23" ht="42" customHeight="1"/>
    <row r="6" spans="1:23" ht="147" thickBot="1">
      <c r="A6" s="33" t="s">
        <v>7</v>
      </c>
      <c r="H6" s="354">
        <f>IF(ISNA(INDEX(Schedule!$V:$V,MATCH($H$4,Schedule!$T:$T,0))),"",INDEX(Schedule!$V:$V,MATCH($H$4,Schedule!$T:$T,0)))</f>
        <v>50</v>
      </c>
      <c r="I6" s="354"/>
      <c r="J6" s="354"/>
      <c r="K6" s="354"/>
      <c r="L6" s="354"/>
      <c r="M6" s="354"/>
      <c r="N6" s="354"/>
      <c r="O6" s="354"/>
    </row>
    <row r="10" spans="1:23" ht="35.25" thickBot="1">
      <c r="A10" s="35" t="s">
        <v>17</v>
      </c>
      <c r="H10" s="10"/>
      <c r="I10" s="10"/>
      <c r="J10" s="10"/>
      <c r="K10" s="10"/>
      <c r="L10" s="10"/>
      <c r="M10" s="10"/>
      <c r="N10" s="10"/>
      <c r="O10" s="10"/>
    </row>
    <row r="14" spans="1:23" ht="15">
      <c r="A14" s="36" t="s">
        <v>18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55" t="s">
        <v>19</v>
      </c>
      <c r="N14" s="356"/>
      <c r="O14" s="356"/>
      <c r="P14" s="356"/>
    </row>
    <row r="15" spans="1:23">
      <c r="W15" s="202">
        <v>1920901</v>
      </c>
    </row>
    <row r="16" spans="1:23">
      <c r="T16" s="203">
        <f>'09-54-01 BIC'!$B$12</f>
        <v>0</v>
      </c>
      <c r="W16" s="299">
        <v>0</v>
      </c>
    </row>
    <row r="17" spans="20:20">
      <c r="T17" s="203">
        <f>'09-54-01 BIC'!$B$16</f>
        <v>0</v>
      </c>
    </row>
    <row r="18" spans="20:20">
      <c r="T18" s="203">
        <f>'09-54-01 BIC'!$B$20</f>
        <v>0</v>
      </c>
    </row>
    <row r="19" spans="20:20">
      <c r="T19" s="203">
        <f>'09-54-01 BIC'!$B$24</f>
        <v>0</v>
      </c>
    </row>
    <row r="20" spans="20:20">
      <c r="T20" s="203">
        <f>'09-54-01 BIC'!$C$12</f>
        <v>0</v>
      </c>
    </row>
    <row r="21" spans="20:20">
      <c r="T21" s="203">
        <f>'09-54-01 BIC'!$C$16</f>
        <v>0</v>
      </c>
    </row>
    <row r="22" spans="20:20">
      <c r="T22" s="203">
        <f>'09-54-01 BIC'!$C$20</f>
        <v>0</v>
      </c>
    </row>
    <row r="23" spans="20:20">
      <c r="T23" s="203">
        <f>'09-54-01 BIC'!$C$24</f>
        <v>0</v>
      </c>
    </row>
    <row r="24" spans="20:20">
      <c r="T24" s="203">
        <f>'09-54-01 BIC'!$D$12</f>
        <v>0</v>
      </c>
    </row>
    <row r="25" spans="20:20">
      <c r="T25" s="203">
        <f>'09-54-01 BIC'!$D$16</f>
        <v>0</v>
      </c>
    </row>
    <row r="26" spans="20:20">
      <c r="T26" s="203">
        <f>'09-54-01 BIC'!$D$20</f>
        <v>0</v>
      </c>
    </row>
    <row r="27" spans="20:20">
      <c r="T27" s="203">
        <f>'09-54-01 BIC'!$D$24</f>
        <v>0</v>
      </c>
    </row>
    <row r="28" spans="20:20">
      <c r="T28" s="203">
        <f>'09-54-01 BIC'!$E$12</f>
        <v>0</v>
      </c>
    </row>
    <row r="29" spans="20:20">
      <c r="T29" s="203">
        <f>'09-54-01 BIC'!$E$16</f>
        <v>0</v>
      </c>
    </row>
    <row r="30" spans="20:20">
      <c r="T30" s="203">
        <f>'09-54-01 BIC'!$E$20</f>
        <v>0</v>
      </c>
    </row>
    <row r="31" spans="20:20">
      <c r="T31" s="203">
        <f>'09-54-01 BIC'!$E$24</f>
        <v>0</v>
      </c>
    </row>
    <row r="32" spans="20:20">
      <c r="T32" s="203">
        <f>'09-54-01 BIC'!$F$12</f>
        <v>0</v>
      </c>
    </row>
    <row r="33" spans="20:20">
      <c r="T33" s="203">
        <f>'09-54-01 BIC'!$F$16</f>
        <v>0</v>
      </c>
    </row>
    <row r="34" spans="20:20">
      <c r="T34" s="203">
        <f>'09-54-01 BIC'!$F$20</f>
        <v>0</v>
      </c>
    </row>
    <row r="35" spans="20:20">
      <c r="T35" s="203">
        <f>'09-54-01 BIC'!$F$24</f>
        <v>0</v>
      </c>
    </row>
    <row r="36" spans="20:20">
      <c r="T36" s="203">
        <f>'09-54-01 BIC'!$G$12</f>
        <v>0</v>
      </c>
    </row>
    <row r="37" spans="20:20">
      <c r="T37" s="203">
        <f>'09-54-01 BIC'!$G$16</f>
        <v>0</v>
      </c>
    </row>
    <row r="38" spans="20:20">
      <c r="T38" s="203">
        <f>'09-54-01 BIC'!$G$20</f>
        <v>0</v>
      </c>
    </row>
    <row r="39" spans="20:20">
      <c r="T39" s="203">
        <f>'09-54-01 BIC'!$G$24</f>
        <v>0</v>
      </c>
    </row>
    <row r="40" spans="20:20">
      <c r="T40" s="203">
        <f>'09-54-01 BIC'!$H$12</f>
        <v>0</v>
      </c>
    </row>
    <row r="41" spans="20:20">
      <c r="T41" s="203">
        <f>'09-54-01 BIC'!$H$16</f>
        <v>0</v>
      </c>
    </row>
    <row r="42" spans="20:20">
      <c r="T42" s="203">
        <f>'09-54-01 BIC'!$H$20</f>
        <v>0</v>
      </c>
    </row>
    <row r="43" spans="20:20">
      <c r="T43" s="203">
        <f>'09-54-01 BIC'!$H$24</f>
        <v>0</v>
      </c>
    </row>
    <row r="44" spans="20:20">
      <c r="T44" s="203">
        <f>'09-54-01 BIC'!$I$12</f>
        <v>0</v>
      </c>
    </row>
    <row r="45" spans="20:20">
      <c r="T45" s="203">
        <f>'09-54-01 BIC'!$I$16</f>
        <v>0</v>
      </c>
    </row>
    <row r="46" spans="20:20">
      <c r="T46" s="203">
        <f>'09-54-01 BIC'!$I$20</f>
        <v>0</v>
      </c>
    </row>
    <row r="47" spans="20:20">
      <c r="T47" s="203">
        <f>'09-54-01 BIC'!$I$24</f>
        <v>0</v>
      </c>
    </row>
    <row r="48" spans="20:20">
      <c r="T48" s="203">
        <f>'09-54-01 BIC'!$J$12</f>
        <v>0</v>
      </c>
    </row>
    <row r="49" spans="20:20">
      <c r="T49" s="203">
        <f>'09-54-01 BIC'!$J$16</f>
        <v>0</v>
      </c>
    </row>
    <row r="50" spans="20:20">
      <c r="T50" s="203">
        <f>'09-54-01 BIC'!$J$20</f>
        <v>0</v>
      </c>
    </row>
    <row r="51" spans="20:20">
      <c r="T51" s="203">
        <f>'09-54-01 BIC'!$J$24</f>
        <v>0</v>
      </c>
    </row>
    <row r="52" spans="20:20">
      <c r="T52" s="203">
        <f>'09-54-01 BIC'!$K$12</f>
        <v>0</v>
      </c>
    </row>
    <row r="53" spans="20:20">
      <c r="T53" s="203">
        <f>'09-54-01 BIC'!$K$16</f>
        <v>0</v>
      </c>
    </row>
    <row r="54" spans="20:20">
      <c r="T54" s="203">
        <f>'09-54-01 BIC'!$K$20</f>
        <v>0</v>
      </c>
    </row>
    <row r="55" spans="20:20">
      <c r="T55" s="203">
        <f>'09-54-01 BIC'!$K$24</f>
        <v>0</v>
      </c>
    </row>
    <row r="56" spans="20:20">
      <c r="T56" s="203">
        <f>'09-54-01 BIC'!$L$12</f>
        <v>0</v>
      </c>
    </row>
    <row r="57" spans="20:20">
      <c r="T57" s="203">
        <f>'09-54-01 BIC'!$L$16</f>
        <v>0</v>
      </c>
    </row>
    <row r="58" spans="20:20">
      <c r="T58" s="203">
        <f>'09-54-01 BIC'!$L$20</f>
        <v>0</v>
      </c>
    </row>
    <row r="59" spans="20:20">
      <c r="T59" s="203">
        <f>'09-54-01 BIC'!$L$24</f>
        <v>0</v>
      </c>
    </row>
    <row r="60" spans="20:20">
      <c r="T60" s="203">
        <f>'09-54-01 BIC'!$M$12</f>
        <v>0</v>
      </c>
    </row>
    <row r="61" spans="20:20">
      <c r="T61" s="203">
        <f>'09-54-01 BIC'!$M$16</f>
        <v>0</v>
      </c>
    </row>
    <row r="62" spans="20:20">
      <c r="T62" s="203">
        <f>'09-54-01 BIC'!$M$20</f>
        <v>0</v>
      </c>
    </row>
    <row r="63" spans="20:20">
      <c r="T63" s="203">
        <f>'09-54-01 BIC'!$M$24</f>
        <v>0</v>
      </c>
    </row>
  </sheetData>
  <sortState ref="W15:W62">
    <sortCondition descending="1" ref="W15:W62"/>
  </sortState>
  <mergeCells count="5">
    <mergeCell ref="A1:P1"/>
    <mergeCell ref="H2:O2"/>
    <mergeCell ref="H4:O4"/>
    <mergeCell ref="H6:O6"/>
    <mergeCell ref="M14:P14"/>
  </mergeCells>
  <dataValidations count="1">
    <dataValidation type="list" showInputMessage="1" showErrorMessage="1" sqref="H4:O4" xr:uid="{7B37D2F9-5D81-4D0B-BF9A-33A24D97F97C}">
      <formula1>$W$15:$W$15</formula1>
    </dataValidation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op_through_list">
                <anchor moveWithCells="1" sizeWithCells="1">
                  <from>
                    <xdr:col>18</xdr:col>
                    <xdr:colOff>104775</xdr:colOff>
                    <xdr:row>4</xdr:row>
                    <xdr:rowOff>47625</xdr:rowOff>
                  </from>
                  <to>
                    <xdr:col>20</xdr:col>
                    <xdr:colOff>571500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47"/>
  <sheetViews>
    <sheetView zoomScaleNormal="100" workbookViewId="0">
      <selection activeCell="Q7" sqref="Q7:Q54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5" max="15" width="9" style="203"/>
    <col min="17" max="17" width="9" style="202"/>
  </cols>
  <sheetData>
    <row r="1" spans="2:17" ht="59.25">
      <c r="B1" s="88" t="s">
        <v>20</v>
      </c>
      <c r="C1" s="89"/>
      <c r="D1" s="89"/>
      <c r="E1" s="89"/>
      <c r="F1" s="89"/>
      <c r="G1" s="89"/>
      <c r="H1" s="89"/>
      <c r="I1" s="89"/>
      <c r="J1" s="89"/>
      <c r="K1" s="90"/>
    </row>
    <row r="2" spans="2:17" ht="20.25">
      <c r="B2" s="357" t="s">
        <v>78</v>
      </c>
      <c r="C2" s="358"/>
      <c r="D2" s="358"/>
      <c r="E2" s="358"/>
      <c r="F2" s="358"/>
      <c r="G2" s="358"/>
      <c r="H2" s="358"/>
      <c r="I2" s="358"/>
      <c r="J2" s="358"/>
      <c r="K2" s="359"/>
      <c r="M2" s="391"/>
      <c r="N2" s="391"/>
      <c r="O2" s="391"/>
    </row>
    <row r="3" spans="2:17">
      <c r="B3" s="91"/>
      <c r="C3" s="92"/>
      <c r="D3" s="92"/>
      <c r="E3" s="92"/>
      <c r="F3" s="92"/>
      <c r="G3" s="92"/>
      <c r="H3" s="92"/>
      <c r="I3" s="92"/>
      <c r="J3" s="92"/>
      <c r="K3" s="93"/>
      <c r="M3" s="391"/>
      <c r="N3" s="391"/>
      <c r="O3" s="391"/>
    </row>
    <row r="4" spans="2:17">
      <c r="B4" s="91"/>
      <c r="C4" s="92"/>
      <c r="D4" s="92"/>
      <c r="E4" s="92"/>
      <c r="F4" s="92"/>
      <c r="G4" s="92"/>
      <c r="H4" s="92"/>
      <c r="I4" s="92"/>
      <c r="J4" s="92"/>
      <c r="K4" s="93"/>
      <c r="M4" s="391"/>
      <c r="N4" s="391"/>
      <c r="O4" s="391"/>
    </row>
    <row r="5" spans="2:17" ht="14.25">
      <c r="B5" s="360" t="s">
        <v>79</v>
      </c>
      <c r="C5" s="361"/>
      <c r="D5" s="361"/>
      <c r="E5" s="362" t="s">
        <v>250</v>
      </c>
      <c r="F5" s="362"/>
      <c r="G5" s="205"/>
      <c r="H5" s="206" t="s">
        <v>80</v>
      </c>
      <c r="I5" s="205"/>
      <c r="J5" s="362" t="str">
        <f>IF('09-54-01 BIC'!$M$33="","",'09-54-01 BIC'!$M$33)</f>
        <v/>
      </c>
      <c r="K5" s="363"/>
    </row>
    <row r="6" spans="2:17">
      <c r="B6" s="91"/>
      <c r="C6" s="92"/>
      <c r="D6" s="92"/>
      <c r="E6" s="92"/>
      <c r="F6" s="92"/>
      <c r="G6" s="92"/>
      <c r="H6" s="92"/>
      <c r="I6" s="92"/>
      <c r="J6" s="92"/>
      <c r="K6" s="93"/>
    </row>
    <row r="7" spans="2:17">
      <c r="B7" s="91"/>
      <c r="C7" s="92"/>
      <c r="D7" s="92"/>
      <c r="E7" s="92"/>
      <c r="F7" s="92"/>
      <c r="G7" s="92"/>
      <c r="H7" s="92"/>
      <c r="I7" s="92"/>
      <c r="J7" s="92"/>
      <c r="K7" s="93"/>
      <c r="Q7"/>
    </row>
    <row r="8" spans="2:17" ht="15">
      <c r="B8" s="364" t="s">
        <v>81</v>
      </c>
      <c r="C8" s="358"/>
      <c r="D8" s="359"/>
      <c r="E8" s="365" t="s">
        <v>82</v>
      </c>
      <c r="F8" s="365"/>
      <c r="G8" s="92"/>
      <c r="H8" s="365" t="s">
        <v>81</v>
      </c>
      <c r="I8" s="365"/>
      <c r="J8" s="365" t="s">
        <v>82</v>
      </c>
      <c r="K8" s="365"/>
      <c r="O8" s="203">
        <f>'09-54-01 BIC'!$B$12</f>
        <v>0</v>
      </c>
      <c r="Q8"/>
    </row>
    <row r="9" spans="2:17" ht="14.25">
      <c r="B9" s="366" t="str">
        <f>IF(OR(Q7="",Q7=0),"",Q7)</f>
        <v/>
      </c>
      <c r="C9" s="367"/>
      <c r="D9" s="368"/>
      <c r="E9" s="366" t="str">
        <f>IF(ISNA(INDEX(Schedule!O:O,MATCH('10-08-01'!B9,Schedule!T:T,0))),"",INDEX(Schedule!O:O,MATCH('10-08-01'!B9,Schedule!T:T,0)))</f>
        <v/>
      </c>
      <c r="F9" s="368"/>
      <c r="G9" s="201"/>
      <c r="H9" s="369" t="str">
        <f>IF(OR(Q17="",Q17=0),"",Q17)</f>
        <v/>
      </c>
      <c r="I9" s="369"/>
      <c r="J9" s="369" t="str">
        <f>IF(ISNA(INDEX(Schedule!O:O,MATCH('10-08-01'!H9,Schedule!T:T,0))),"",INDEX(Schedule!O:O,MATCH('10-08-01'!H9,Schedule!T:T,0)))</f>
        <v/>
      </c>
      <c r="K9" s="369"/>
      <c r="O9" s="203">
        <f>'09-54-01 BIC'!$B$16</f>
        <v>0</v>
      </c>
      <c r="Q9"/>
    </row>
    <row r="10" spans="2:17" ht="14.25">
      <c r="B10" s="366" t="str">
        <f t="shared" ref="B10:B18" si="0">IF(OR(Q8="",Q8=0),"",Q8)</f>
        <v/>
      </c>
      <c r="C10" s="367"/>
      <c r="D10" s="368"/>
      <c r="E10" s="366" t="str">
        <f>IF(ISNA(INDEX(Schedule!O:O,MATCH('10-08-01'!B10,Schedule!T:T,0))),"",INDEX(Schedule!O:O,MATCH('10-08-01'!B10,Schedule!T:T,0)))</f>
        <v/>
      </c>
      <c r="F10" s="368"/>
      <c r="G10" s="201"/>
      <c r="H10" s="369" t="str">
        <f t="shared" ref="H10:H18" si="1">IF(OR(Q18="",Q18=0),"",Q18)</f>
        <v/>
      </c>
      <c r="I10" s="369"/>
      <c r="J10" s="369" t="str">
        <f>IF(ISNA(INDEX(Schedule!O:O,MATCH('10-08-01'!H10,Schedule!T:T,0))),"",INDEX(Schedule!O:O,MATCH('10-08-01'!H10,Schedule!T:T,0)))</f>
        <v/>
      </c>
      <c r="K10" s="369"/>
      <c r="O10" s="203">
        <f>'09-54-01 BIC'!$B$20</f>
        <v>0</v>
      </c>
      <c r="Q10"/>
    </row>
    <row r="11" spans="2:17" ht="14.25">
      <c r="B11" s="366" t="str">
        <f t="shared" si="0"/>
        <v/>
      </c>
      <c r="C11" s="367"/>
      <c r="D11" s="368"/>
      <c r="E11" s="366" t="str">
        <f>IF(ISNA(INDEX(Schedule!O:O,MATCH('10-08-01'!B11,Schedule!T:T,0))),"",INDEX(Schedule!O:O,MATCH('10-08-01'!B11,Schedule!T:T,0)))</f>
        <v/>
      </c>
      <c r="F11" s="368"/>
      <c r="G11" s="201"/>
      <c r="H11" s="369" t="str">
        <f t="shared" si="1"/>
        <v/>
      </c>
      <c r="I11" s="369"/>
      <c r="J11" s="369" t="str">
        <f>IF(ISNA(INDEX(Schedule!O:O,MATCH('10-08-01'!H11,Schedule!T:T,0))),"",INDEX(Schedule!O:O,MATCH('10-08-01'!H11,Schedule!T:T,0)))</f>
        <v/>
      </c>
      <c r="K11" s="369"/>
      <c r="O11" s="203">
        <f>'09-54-01 BIC'!$B$24</f>
        <v>0</v>
      </c>
      <c r="Q11"/>
    </row>
    <row r="12" spans="2:17" ht="14.25">
      <c r="B12" s="366" t="str">
        <f t="shared" si="0"/>
        <v/>
      </c>
      <c r="C12" s="367"/>
      <c r="D12" s="368"/>
      <c r="E12" s="366" t="str">
        <f>IF(ISNA(INDEX(Schedule!O:O,MATCH('10-08-01'!B12,Schedule!T:T,0))),"",INDEX(Schedule!O:O,MATCH('10-08-01'!B12,Schedule!T:T,0)))</f>
        <v/>
      </c>
      <c r="F12" s="368"/>
      <c r="G12" s="201"/>
      <c r="H12" s="369" t="str">
        <f t="shared" si="1"/>
        <v/>
      </c>
      <c r="I12" s="369"/>
      <c r="J12" s="369" t="str">
        <f>IF(ISNA(INDEX(Schedule!O:O,MATCH('10-08-01'!H12,Schedule!T:T,0))),"",INDEX(Schedule!O:O,MATCH('10-08-01'!H12,Schedule!T:T,0)))</f>
        <v/>
      </c>
      <c r="K12" s="369"/>
      <c r="O12" s="203">
        <f>'09-54-01 BIC'!$C$12</f>
        <v>0</v>
      </c>
      <c r="Q12"/>
    </row>
    <row r="13" spans="2:17" ht="14.25">
      <c r="B13" s="366" t="str">
        <f t="shared" si="0"/>
        <v/>
      </c>
      <c r="C13" s="367"/>
      <c r="D13" s="368"/>
      <c r="E13" s="366" t="str">
        <f>IF(ISNA(INDEX(Schedule!O:O,MATCH('10-08-01'!B13,Schedule!T:T,0))),"",INDEX(Schedule!O:O,MATCH('10-08-01'!B13,Schedule!T:T,0)))</f>
        <v/>
      </c>
      <c r="F13" s="368"/>
      <c r="G13" s="201"/>
      <c r="H13" s="369" t="str">
        <f t="shared" si="1"/>
        <v/>
      </c>
      <c r="I13" s="369"/>
      <c r="J13" s="369" t="str">
        <f>IF(ISNA(INDEX(Schedule!O:O,MATCH('10-08-01'!H13,Schedule!T:T,0))),"",INDEX(Schedule!O:O,MATCH('10-08-01'!H13,Schedule!T:T,0)))</f>
        <v/>
      </c>
      <c r="K13" s="369"/>
      <c r="O13" s="203">
        <f>'09-54-01 BIC'!$C$16</f>
        <v>0</v>
      </c>
      <c r="Q13"/>
    </row>
    <row r="14" spans="2:17" ht="14.25">
      <c r="B14" s="366" t="str">
        <f t="shared" si="0"/>
        <v/>
      </c>
      <c r="C14" s="367"/>
      <c r="D14" s="368"/>
      <c r="E14" s="366" t="str">
        <f>IF(ISNA(INDEX(Schedule!O:O,MATCH('10-08-01'!B14,Schedule!T:T,0))),"",INDEX(Schedule!O:O,MATCH('10-08-01'!B14,Schedule!T:T,0)))</f>
        <v/>
      </c>
      <c r="F14" s="368"/>
      <c r="G14" s="201"/>
      <c r="H14" s="369" t="str">
        <f t="shared" si="1"/>
        <v/>
      </c>
      <c r="I14" s="369"/>
      <c r="J14" s="369" t="str">
        <f>IF(ISNA(INDEX(Schedule!O:O,MATCH('10-08-01'!H14,Schedule!T:T,0))),"",INDEX(Schedule!O:O,MATCH('10-08-01'!H14,Schedule!T:T,0)))</f>
        <v/>
      </c>
      <c r="K14" s="369"/>
      <c r="O14" s="203">
        <f>'09-54-01 BIC'!$C$20</f>
        <v>0</v>
      </c>
      <c r="Q14"/>
    </row>
    <row r="15" spans="2:17" ht="14.25">
      <c r="B15" s="366" t="str">
        <f t="shared" si="0"/>
        <v/>
      </c>
      <c r="C15" s="367"/>
      <c r="D15" s="368"/>
      <c r="E15" s="366" t="str">
        <f>IF(ISNA(INDEX(Schedule!O:O,MATCH('10-08-01'!B15,Schedule!T:T,0))),"",INDEX(Schedule!O:O,MATCH('10-08-01'!B15,Schedule!T:T,0)))</f>
        <v/>
      </c>
      <c r="F15" s="368"/>
      <c r="G15" s="201"/>
      <c r="H15" s="369" t="str">
        <f t="shared" si="1"/>
        <v/>
      </c>
      <c r="I15" s="369"/>
      <c r="J15" s="369" t="str">
        <f>IF(ISNA(INDEX(Schedule!O:O,MATCH('10-08-01'!H15,Schedule!T:T,0))),"",INDEX(Schedule!O:O,MATCH('10-08-01'!H15,Schedule!T:T,0)))</f>
        <v/>
      </c>
      <c r="K15" s="369"/>
      <c r="O15" s="203">
        <f>'09-54-01 BIC'!$C$24</f>
        <v>0</v>
      </c>
      <c r="Q15"/>
    </row>
    <row r="16" spans="2:17" ht="14.25">
      <c r="B16" s="366" t="str">
        <f t="shared" si="0"/>
        <v/>
      </c>
      <c r="C16" s="367"/>
      <c r="D16" s="368"/>
      <c r="E16" s="366" t="str">
        <f>IF(ISNA(INDEX(Schedule!O:O,MATCH('10-08-01'!B16,Schedule!T:T,0))),"",INDEX(Schedule!O:O,MATCH('10-08-01'!B16,Schedule!T:T,0)))</f>
        <v/>
      </c>
      <c r="F16" s="368"/>
      <c r="G16" s="201"/>
      <c r="H16" s="369" t="str">
        <f t="shared" si="1"/>
        <v/>
      </c>
      <c r="I16" s="369"/>
      <c r="J16" s="369" t="str">
        <f>IF(ISNA(INDEX(Schedule!O:O,MATCH('10-08-01'!H16,Schedule!T:T,0))),"",INDEX(Schedule!O:O,MATCH('10-08-01'!H16,Schedule!T:T,0)))</f>
        <v/>
      </c>
      <c r="K16" s="369"/>
      <c r="O16" s="203">
        <f>'09-54-01 BIC'!$D$12</f>
        <v>0</v>
      </c>
      <c r="Q16"/>
    </row>
    <row r="17" spans="1:17" ht="14.25">
      <c r="B17" s="366" t="str">
        <f t="shared" si="0"/>
        <v/>
      </c>
      <c r="C17" s="367"/>
      <c r="D17" s="368"/>
      <c r="E17" s="366" t="str">
        <f>IF(ISNA(INDEX(Schedule!O:O,MATCH('10-08-01'!B17,Schedule!T:T,0))),"",INDEX(Schedule!O:O,MATCH('10-08-01'!B17,Schedule!T:T,0)))</f>
        <v/>
      </c>
      <c r="F17" s="368"/>
      <c r="G17" s="201"/>
      <c r="H17" s="369" t="str">
        <f t="shared" si="1"/>
        <v/>
      </c>
      <c r="I17" s="369"/>
      <c r="J17" s="369" t="str">
        <f>IF(ISNA(INDEX(Schedule!O:O,MATCH('10-08-01'!H17,Schedule!T:T,0))),"",INDEX(Schedule!O:O,MATCH('10-08-01'!H17,Schedule!T:T,0)))</f>
        <v/>
      </c>
      <c r="K17" s="369"/>
      <c r="O17" s="203">
        <f>'09-54-01 BIC'!$D$16</f>
        <v>0</v>
      </c>
      <c r="Q17"/>
    </row>
    <row r="18" spans="1:17" ht="14.25">
      <c r="B18" s="366" t="str">
        <f t="shared" si="0"/>
        <v/>
      </c>
      <c r="C18" s="367"/>
      <c r="D18" s="368"/>
      <c r="E18" s="366" t="str">
        <f>IF(ISNA(INDEX(Schedule!O:O,MATCH('10-08-01'!B18,Schedule!T:T,0))),"",INDEX(Schedule!O:O,MATCH('10-08-01'!B18,Schedule!T:T,0)))</f>
        <v/>
      </c>
      <c r="F18" s="368"/>
      <c r="G18" s="201"/>
      <c r="H18" s="369" t="str">
        <f t="shared" si="1"/>
        <v/>
      </c>
      <c r="I18" s="369"/>
      <c r="J18" s="369" t="str">
        <f>IF(ISNA(INDEX(Schedule!O:O,MATCH('10-08-01'!H18,Schedule!T:T,0))),"",INDEX(Schedule!O:O,MATCH('10-08-01'!H18,Schedule!T:T,0)))</f>
        <v/>
      </c>
      <c r="K18" s="369"/>
      <c r="O18" s="203">
        <f>'09-54-01 BIC'!$D$20</f>
        <v>0</v>
      </c>
      <c r="Q18"/>
    </row>
    <row r="19" spans="1:17">
      <c r="B19" s="91"/>
      <c r="C19" s="92"/>
      <c r="D19" s="92"/>
      <c r="E19" s="92"/>
      <c r="F19" s="92"/>
      <c r="G19" s="92"/>
      <c r="H19" s="92"/>
      <c r="I19" s="92"/>
      <c r="J19" s="92"/>
      <c r="K19" s="93"/>
      <c r="O19" s="203">
        <f>'09-54-01 BIC'!$D$24</f>
        <v>0</v>
      </c>
      <c r="Q19"/>
    </row>
    <row r="20" spans="1:17">
      <c r="B20" s="91"/>
      <c r="C20" s="92"/>
      <c r="D20" s="92"/>
      <c r="E20" s="92"/>
      <c r="F20" s="92"/>
      <c r="G20" s="92"/>
      <c r="H20" s="92"/>
      <c r="I20" s="92"/>
      <c r="J20" s="92"/>
      <c r="K20" s="93"/>
      <c r="O20" s="203">
        <f>'09-54-01 BIC'!$E$12</f>
        <v>0</v>
      </c>
      <c r="Q20"/>
    </row>
    <row r="21" spans="1:17" ht="15.75">
      <c r="B21" s="370" t="s">
        <v>83</v>
      </c>
      <c r="C21" s="371"/>
      <c r="D21" s="371"/>
      <c r="E21" s="371"/>
      <c r="F21" s="371"/>
      <c r="G21" s="371"/>
      <c r="H21" s="371"/>
      <c r="I21" s="371"/>
      <c r="J21" s="371"/>
      <c r="K21" s="371"/>
      <c r="O21" s="203">
        <f>'09-54-01 BIC'!$E$16</f>
        <v>0</v>
      </c>
      <c r="Q21"/>
    </row>
    <row r="22" spans="1:17">
      <c r="B22" s="372" t="s">
        <v>84</v>
      </c>
      <c r="C22" s="373"/>
      <c r="D22" s="373"/>
      <c r="E22" s="374"/>
      <c r="F22" s="378" t="s">
        <v>85</v>
      </c>
      <c r="G22" s="379"/>
      <c r="H22" s="378" t="s">
        <v>86</v>
      </c>
      <c r="I22" s="374"/>
      <c r="J22" s="387" t="s">
        <v>87</v>
      </c>
      <c r="K22" s="388"/>
      <c r="O22" s="203">
        <f>'09-54-01 BIC'!$E$20</f>
        <v>0</v>
      </c>
      <c r="Q22"/>
    </row>
    <row r="23" spans="1:17">
      <c r="B23" s="375"/>
      <c r="C23" s="376"/>
      <c r="D23" s="376"/>
      <c r="E23" s="377"/>
      <c r="F23" s="380"/>
      <c r="G23" s="381"/>
      <c r="H23" s="375"/>
      <c r="I23" s="377"/>
      <c r="J23" s="389"/>
      <c r="K23" s="390"/>
      <c r="O23" s="203">
        <f>'09-54-01 BIC'!$E$24</f>
        <v>0</v>
      </c>
      <c r="Q23"/>
    </row>
    <row r="24" spans="1:17">
      <c r="A24" s="38"/>
      <c r="B24" s="382" t="s">
        <v>88</v>
      </c>
      <c r="C24" s="383"/>
      <c r="D24" s="383"/>
      <c r="E24" s="384"/>
      <c r="F24" s="385"/>
      <c r="G24" s="386"/>
      <c r="H24" s="385"/>
      <c r="I24" s="386"/>
      <c r="J24" s="385"/>
      <c r="K24" s="386"/>
      <c r="O24" s="203">
        <f>'09-54-01 BIC'!$F$12</f>
        <v>0</v>
      </c>
      <c r="Q24"/>
    </row>
    <row r="25" spans="1:17">
      <c r="A25" s="38"/>
      <c r="B25" s="382" t="s">
        <v>89</v>
      </c>
      <c r="C25" s="383"/>
      <c r="D25" s="383"/>
      <c r="E25" s="384"/>
      <c r="F25" s="385"/>
      <c r="G25" s="386"/>
      <c r="H25" s="385"/>
      <c r="I25" s="386"/>
      <c r="J25" s="385"/>
      <c r="K25" s="386"/>
      <c r="O25" s="203">
        <f>'09-54-01 BIC'!$F$16</f>
        <v>0</v>
      </c>
      <c r="Q25"/>
    </row>
    <row r="26" spans="1:17">
      <c r="A26" s="38"/>
      <c r="B26" s="382" t="s">
        <v>90</v>
      </c>
      <c r="C26" s="383"/>
      <c r="D26" s="383"/>
      <c r="E26" s="384"/>
      <c r="F26" s="385"/>
      <c r="G26" s="386"/>
      <c r="H26" s="385"/>
      <c r="I26" s="386"/>
      <c r="J26" s="385"/>
      <c r="K26" s="386"/>
      <c r="O26" s="203">
        <f>'09-54-01 BIC'!$F$20</f>
        <v>0</v>
      </c>
      <c r="Q26"/>
    </row>
    <row r="27" spans="1:17">
      <c r="A27" s="38"/>
      <c r="B27" s="382" t="s">
        <v>91</v>
      </c>
      <c r="C27" s="383"/>
      <c r="D27" s="383"/>
      <c r="E27" s="384"/>
      <c r="F27" s="385"/>
      <c r="G27" s="386"/>
      <c r="H27" s="385"/>
      <c r="I27" s="386"/>
      <c r="J27" s="385"/>
      <c r="K27" s="386"/>
      <c r="O27" s="203">
        <f>'09-54-01 BIC'!$F$24</f>
        <v>0</v>
      </c>
      <c r="Q27"/>
    </row>
    <row r="28" spans="1:17">
      <c r="A28" s="38"/>
      <c r="B28" s="382" t="s">
        <v>92</v>
      </c>
      <c r="C28" s="383"/>
      <c r="D28" s="383"/>
      <c r="E28" s="384"/>
      <c r="F28" s="385"/>
      <c r="G28" s="386"/>
      <c r="H28" s="385"/>
      <c r="I28" s="386"/>
      <c r="J28" s="385"/>
      <c r="K28" s="386"/>
      <c r="O28" s="203">
        <f>'09-54-01 BIC'!$G$12</f>
        <v>0</v>
      </c>
      <c r="Q28"/>
    </row>
    <row r="29" spans="1:17">
      <c r="A29" s="38"/>
      <c r="B29" s="382" t="s">
        <v>93</v>
      </c>
      <c r="C29" s="383"/>
      <c r="D29" s="383"/>
      <c r="E29" s="384"/>
      <c r="F29" s="385"/>
      <c r="G29" s="386"/>
      <c r="H29" s="385"/>
      <c r="I29" s="386"/>
      <c r="J29" s="385"/>
      <c r="K29" s="386"/>
      <c r="O29" s="203">
        <f>'09-54-01 BIC'!$G$16</f>
        <v>0</v>
      </c>
      <c r="Q29"/>
    </row>
    <row r="30" spans="1:17">
      <c r="A30" s="38"/>
      <c r="B30" s="382" t="s">
        <v>94</v>
      </c>
      <c r="C30" s="383"/>
      <c r="D30" s="383"/>
      <c r="E30" s="384"/>
      <c r="F30" s="385"/>
      <c r="G30" s="386"/>
      <c r="H30" s="385"/>
      <c r="I30" s="386"/>
      <c r="J30" s="385"/>
      <c r="K30" s="386"/>
      <c r="O30" s="203">
        <f>'09-54-01 BIC'!$G$20</f>
        <v>0</v>
      </c>
      <c r="Q30"/>
    </row>
    <row r="31" spans="1:17">
      <c r="A31" s="38"/>
      <c r="B31" s="382" t="s">
        <v>95</v>
      </c>
      <c r="C31" s="383"/>
      <c r="D31" s="383"/>
      <c r="E31" s="384"/>
      <c r="F31" s="398"/>
      <c r="G31" s="399"/>
      <c r="H31" s="385"/>
      <c r="I31" s="386"/>
      <c r="J31" s="385"/>
      <c r="K31" s="386"/>
      <c r="O31" s="203">
        <f>'09-54-01 BIC'!$G$24</f>
        <v>0</v>
      </c>
      <c r="Q31"/>
    </row>
    <row r="32" spans="1:17">
      <c r="A32" s="38"/>
      <c r="B32" s="382" t="s">
        <v>96</v>
      </c>
      <c r="C32" s="383"/>
      <c r="D32" s="383"/>
      <c r="E32" s="384"/>
      <c r="F32" s="385"/>
      <c r="G32" s="386"/>
      <c r="H32" s="385"/>
      <c r="I32" s="386"/>
      <c r="J32" s="385"/>
      <c r="K32" s="386"/>
      <c r="O32" s="203">
        <f>'09-54-01 BIC'!$H$12</f>
        <v>0</v>
      </c>
      <c r="Q32"/>
    </row>
    <row r="33" spans="1:17">
      <c r="A33" s="38"/>
      <c r="B33" s="382" t="s">
        <v>96</v>
      </c>
      <c r="C33" s="383"/>
      <c r="D33" s="383"/>
      <c r="E33" s="384"/>
      <c r="F33" s="385"/>
      <c r="G33" s="386"/>
      <c r="H33" s="385"/>
      <c r="I33" s="386"/>
      <c r="J33" s="385"/>
      <c r="K33" s="386"/>
      <c r="O33" s="203">
        <f>'09-54-01 BIC'!$H$16</f>
        <v>0</v>
      </c>
      <c r="Q33"/>
    </row>
    <row r="34" spans="1:17">
      <c r="A34" s="38"/>
      <c r="B34" s="382" t="s">
        <v>97</v>
      </c>
      <c r="C34" s="383"/>
      <c r="D34" s="383"/>
      <c r="E34" s="384"/>
      <c r="F34" s="385"/>
      <c r="G34" s="386"/>
      <c r="H34" s="385"/>
      <c r="I34" s="386"/>
      <c r="J34" s="385"/>
      <c r="K34" s="386"/>
      <c r="O34" s="203">
        <f>'09-54-01 BIC'!$H$20</f>
        <v>0</v>
      </c>
      <c r="Q34"/>
    </row>
    <row r="35" spans="1:17" ht="15">
      <c r="A35" s="94"/>
      <c r="B35" s="95"/>
      <c r="C35" s="96"/>
      <c r="D35" s="96"/>
      <c r="E35" s="96"/>
      <c r="F35" s="97"/>
      <c r="G35" s="97"/>
      <c r="H35" s="97"/>
      <c r="I35" s="97"/>
      <c r="J35" s="97"/>
      <c r="K35" s="98"/>
      <c r="O35" s="203">
        <f>'09-54-01 BIC'!$H$24</f>
        <v>0</v>
      </c>
      <c r="Q35"/>
    </row>
    <row r="36" spans="1:17">
      <c r="B36" s="91" t="s">
        <v>98</v>
      </c>
      <c r="D36" s="99"/>
      <c r="E36" s="99"/>
      <c r="F36" s="99"/>
      <c r="G36" s="99"/>
      <c r="H36" s="99"/>
      <c r="I36" s="99"/>
      <c r="J36" s="99"/>
      <c r="K36" s="100"/>
      <c r="O36" s="203">
        <f>'09-54-01 BIC'!$I$12</f>
        <v>0</v>
      </c>
      <c r="Q36"/>
    </row>
    <row r="37" spans="1:17">
      <c r="B37" s="91"/>
      <c r="D37" s="101"/>
      <c r="E37" s="101"/>
      <c r="F37" s="101"/>
      <c r="G37" s="101"/>
      <c r="H37" s="101"/>
      <c r="I37" s="101"/>
      <c r="J37" s="101"/>
      <c r="K37" s="102"/>
      <c r="O37" s="203">
        <f>'09-54-01 BIC'!$I$16</f>
        <v>0</v>
      </c>
      <c r="Q37"/>
    </row>
    <row r="38" spans="1:17">
      <c r="B38" s="91"/>
      <c r="K38" s="103"/>
      <c r="O38" s="203">
        <f>'09-54-01 BIC'!$I$20</f>
        <v>0</v>
      </c>
      <c r="Q38"/>
    </row>
    <row r="39" spans="1:17" ht="14.25">
      <c r="A39" s="94"/>
      <c r="B39" s="91" t="s">
        <v>99</v>
      </c>
      <c r="D39" s="99"/>
      <c r="E39" s="99"/>
      <c r="F39" s="104"/>
      <c r="G39" s="105"/>
      <c r="H39" s="105"/>
      <c r="I39" s="105" t="s">
        <v>100</v>
      </c>
      <c r="J39" s="105"/>
      <c r="K39" s="106"/>
      <c r="O39" s="203">
        <f>'09-54-01 BIC'!$I$24</f>
        <v>0</v>
      </c>
      <c r="Q39"/>
    </row>
    <row r="40" spans="1:17" ht="15">
      <c r="B40" s="107"/>
      <c r="C40" s="108"/>
      <c r="D40" s="108"/>
      <c r="E40" s="108"/>
      <c r="F40" s="109"/>
      <c r="G40" s="109"/>
      <c r="H40" s="109"/>
      <c r="I40" s="109"/>
      <c r="J40" s="109"/>
      <c r="K40" s="110"/>
      <c r="O40" s="203">
        <f>'09-54-01 BIC'!$J$12</f>
        <v>0</v>
      </c>
      <c r="Q40"/>
    </row>
    <row r="41" spans="1:17" ht="15">
      <c r="B41" s="111" t="s">
        <v>101</v>
      </c>
      <c r="D41" s="112"/>
      <c r="E41" s="113"/>
      <c r="F41" s="113"/>
      <c r="G41" s="113"/>
      <c r="H41" s="113"/>
      <c r="I41" s="113"/>
      <c r="J41" s="113"/>
      <c r="K41" s="93"/>
      <c r="O41" s="203">
        <f>'09-54-01 BIC'!$J$16</f>
        <v>0</v>
      </c>
      <c r="Q41"/>
    </row>
    <row r="42" spans="1:17" ht="13.5">
      <c r="B42" s="114" t="s">
        <v>102</v>
      </c>
      <c r="D42" s="115"/>
      <c r="E42" s="116"/>
      <c r="F42" s="116"/>
      <c r="G42" s="117"/>
      <c r="H42" s="117"/>
      <c r="I42" s="117"/>
      <c r="J42" s="117"/>
      <c r="K42" s="118"/>
      <c r="O42" s="203">
        <f>'09-54-01 BIC'!$J$20</f>
        <v>0</v>
      </c>
      <c r="Q42"/>
    </row>
    <row r="43" spans="1:17" ht="15">
      <c r="B43" s="119"/>
      <c r="D43" s="120"/>
      <c r="E43" s="92"/>
      <c r="F43" s="92"/>
      <c r="G43" s="392" t="s">
        <v>103</v>
      </c>
      <c r="H43" s="397"/>
      <c r="I43" s="397"/>
      <c r="J43" s="397"/>
      <c r="K43" s="394"/>
      <c r="O43" s="203">
        <f>'09-54-01 BIC'!$J$24</f>
        <v>0</v>
      </c>
      <c r="Q43"/>
    </row>
    <row r="44" spans="1:17" ht="15">
      <c r="B44" s="119"/>
      <c r="D44" s="120"/>
      <c r="E44" s="92"/>
      <c r="F44" s="92"/>
      <c r="G44" s="92"/>
      <c r="H44" s="121"/>
      <c r="I44" s="122"/>
      <c r="J44" s="122"/>
      <c r="K44" s="123"/>
      <c r="O44" s="203">
        <f>'09-54-01 BIC'!$K$12</f>
        <v>0</v>
      </c>
      <c r="Q44"/>
    </row>
    <row r="45" spans="1:17" ht="15">
      <c r="B45" s="119" t="s">
        <v>104</v>
      </c>
      <c r="D45" s="120"/>
      <c r="E45" s="92"/>
      <c r="G45" s="99"/>
      <c r="H45" s="124"/>
      <c r="I45" s="124"/>
      <c r="J45" s="124"/>
      <c r="K45" s="118"/>
      <c r="O45" s="203">
        <f>'09-54-01 BIC'!$K$16</f>
        <v>0</v>
      </c>
      <c r="Q45"/>
    </row>
    <row r="46" spans="1:17">
      <c r="B46" s="125"/>
      <c r="D46" s="92"/>
      <c r="E46" s="92"/>
      <c r="G46" s="392" t="s">
        <v>105</v>
      </c>
      <c r="H46" s="393"/>
      <c r="I46" s="393"/>
      <c r="J46" s="393"/>
      <c r="K46" s="394"/>
      <c r="O46" s="203">
        <f>'09-54-01 BIC'!$K$20</f>
        <v>0</v>
      </c>
      <c r="Q46"/>
    </row>
    <row r="47" spans="1:17">
      <c r="B47" s="125"/>
      <c r="D47" s="92"/>
      <c r="E47" s="92"/>
      <c r="F47" s="92"/>
      <c r="K47" s="93"/>
      <c r="O47" s="203">
        <f>'09-54-01 BIC'!$K$24</f>
        <v>0</v>
      </c>
      <c r="Q47"/>
    </row>
    <row r="48" spans="1:17">
      <c r="B48" s="125"/>
      <c r="D48" s="92"/>
      <c r="E48" s="92"/>
      <c r="F48" s="92"/>
      <c r="G48" s="92"/>
      <c r="H48" s="92"/>
      <c r="I48" s="92"/>
      <c r="J48" s="92"/>
      <c r="K48" s="93"/>
      <c r="O48" s="203">
        <f>'09-54-01 BIC'!$L$12</f>
        <v>0</v>
      </c>
      <c r="Q48"/>
    </row>
    <row r="49" spans="2:17">
      <c r="B49" s="126" t="s">
        <v>12</v>
      </c>
      <c r="C49" s="395" t="s">
        <v>106</v>
      </c>
      <c r="D49" s="396"/>
      <c r="E49" s="124"/>
      <c r="F49" s="124"/>
      <c r="G49" s="124"/>
      <c r="H49" s="124"/>
      <c r="I49" s="124"/>
      <c r="J49" s="124"/>
      <c r="K49" s="127" t="s">
        <v>107</v>
      </c>
      <c r="O49" s="203">
        <f>'09-54-01 BIC'!$L$16</f>
        <v>0</v>
      </c>
      <c r="Q49"/>
    </row>
    <row r="50" spans="2:17" ht="59.25">
      <c r="B50" s="88" t="s">
        <v>20</v>
      </c>
      <c r="C50" s="89"/>
      <c r="D50" s="89"/>
      <c r="E50" s="89"/>
      <c r="F50" s="89"/>
      <c r="G50" s="89"/>
      <c r="H50" s="89"/>
      <c r="I50" s="89"/>
      <c r="J50" s="89"/>
      <c r="K50" s="90"/>
      <c r="O50" s="203">
        <f>'09-54-01 BIC'!$L$20</f>
        <v>0</v>
      </c>
      <c r="Q50"/>
    </row>
    <row r="51" spans="2:17" ht="20.25">
      <c r="B51" s="357" t="s">
        <v>78</v>
      </c>
      <c r="C51" s="358"/>
      <c r="D51" s="358"/>
      <c r="E51" s="358"/>
      <c r="F51" s="358"/>
      <c r="G51" s="358"/>
      <c r="H51" s="358"/>
      <c r="I51" s="358"/>
      <c r="J51" s="358"/>
      <c r="K51" s="359"/>
      <c r="O51" s="203">
        <f>'09-54-01 BIC'!$L$24</f>
        <v>0</v>
      </c>
      <c r="Q51"/>
    </row>
    <row r="52" spans="2:17">
      <c r="B52" s="91"/>
      <c r="C52" s="92"/>
      <c r="D52" s="92"/>
      <c r="E52" s="92"/>
      <c r="F52" s="92"/>
      <c r="G52" s="92"/>
      <c r="H52" s="92"/>
      <c r="I52" s="92"/>
      <c r="J52" s="92"/>
      <c r="K52" s="93"/>
      <c r="O52" s="203">
        <f>'09-54-01 BIC'!$M$12</f>
        <v>0</v>
      </c>
      <c r="Q52"/>
    </row>
    <row r="53" spans="2:17">
      <c r="B53" s="91"/>
      <c r="C53" s="92"/>
      <c r="D53" s="92"/>
      <c r="E53" s="92"/>
      <c r="F53" s="92"/>
      <c r="G53" s="92"/>
      <c r="H53" s="92"/>
      <c r="I53" s="92"/>
      <c r="J53" s="92"/>
      <c r="K53" s="93"/>
      <c r="O53" s="203">
        <f>'09-54-01 BIC'!$M$16</f>
        <v>0</v>
      </c>
      <c r="Q53"/>
    </row>
    <row r="54" spans="2:17" ht="14.25">
      <c r="B54" s="360" t="s">
        <v>79</v>
      </c>
      <c r="C54" s="361"/>
      <c r="D54" s="361"/>
      <c r="E54" s="362" t="str">
        <f>$E$5</f>
        <v>E90210</v>
      </c>
      <c r="F54" s="362"/>
      <c r="G54" s="205"/>
      <c r="H54" s="206" t="s">
        <v>80</v>
      </c>
      <c r="I54" s="205"/>
      <c r="J54" s="362" t="str">
        <f>$J$5</f>
        <v/>
      </c>
      <c r="K54" s="363"/>
      <c r="O54" s="203">
        <f>'09-54-01 BIC'!$M$20</f>
        <v>0</v>
      </c>
      <c r="Q54"/>
    </row>
    <row r="55" spans="2:17">
      <c r="B55" s="91"/>
      <c r="C55" s="92"/>
      <c r="D55" s="92"/>
      <c r="E55" s="92"/>
      <c r="F55" s="92"/>
      <c r="G55" s="92"/>
      <c r="H55" s="92"/>
      <c r="I55" s="92"/>
      <c r="J55" s="92"/>
      <c r="K55" s="93"/>
      <c r="O55" s="203">
        <f>'09-54-01 BIC'!$M$24</f>
        <v>0</v>
      </c>
    </row>
    <row r="56" spans="2:17">
      <c r="B56" s="91"/>
      <c r="C56" s="92"/>
      <c r="D56" s="92"/>
      <c r="E56" s="92"/>
      <c r="F56" s="92"/>
      <c r="G56" s="92"/>
      <c r="H56" s="92"/>
      <c r="I56" s="92"/>
      <c r="J56" s="92"/>
      <c r="K56" s="93"/>
    </row>
    <row r="57" spans="2:17" ht="15">
      <c r="B57" s="364" t="s">
        <v>81</v>
      </c>
      <c r="C57" s="358"/>
      <c r="D57" s="359"/>
      <c r="E57" s="365" t="s">
        <v>82</v>
      </c>
      <c r="F57" s="365"/>
      <c r="G57" s="92"/>
      <c r="H57" s="365" t="s">
        <v>81</v>
      </c>
      <c r="I57" s="365"/>
      <c r="J57" s="365" t="s">
        <v>82</v>
      </c>
      <c r="K57" s="365"/>
    </row>
    <row r="58" spans="2:17" ht="14.25">
      <c r="B58" s="366" t="str">
        <f>IF(OR(Q27="",Q27=0),"",Q27)</f>
        <v/>
      </c>
      <c r="C58" s="367"/>
      <c r="D58" s="368"/>
      <c r="E58" s="366" t="str">
        <f>IF(ISNA(INDEX(Schedule!O:O,MATCH('10-08-01'!B58,Schedule!T:T,0))),"",INDEX(Schedule!O:O,MATCH('10-08-01'!B58,Schedule!T:T,0)))</f>
        <v/>
      </c>
      <c r="F58" s="368"/>
      <c r="G58" s="201"/>
      <c r="H58" s="369" t="str">
        <f>IF(OR(Q37="",Q37=0),"",Q37)</f>
        <v/>
      </c>
      <c r="I58" s="369"/>
      <c r="J58" s="369" t="str">
        <f>IF(ISNA(INDEX(Schedule!O:O,MATCH('10-08-01'!H58,Schedule!T:T,0))),"",INDEX(Schedule!O:O,MATCH('10-08-01'!H58,Schedule!T:T,0)))</f>
        <v/>
      </c>
      <c r="K58" s="369"/>
    </row>
    <row r="59" spans="2:17" ht="14.25">
      <c r="B59" s="366" t="str">
        <f>IF(OR(Q28="",Q28=0),"",Q28)</f>
        <v/>
      </c>
      <c r="C59" s="367"/>
      <c r="D59" s="368"/>
      <c r="E59" s="366" t="str">
        <f>IF(ISNA(INDEX(Schedule!O:O,MATCH('10-08-01'!B59,Schedule!T:T,0))),"",INDEX(Schedule!O:O,MATCH('10-08-01'!B59,Schedule!T:T,0)))</f>
        <v/>
      </c>
      <c r="F59" s="368"/>
      <c r="G59" s="201"/>
      <c r="H59" s="369" t="str">
        <f>IF(OR(Q38="",Q38=0),"",Q38)</f>
        <v/>
      </c>
      <c r="I59" s="369"/>
      <c r="J59" s="369" t="str">
        <f>IF(ISNA(INDEX(Schedule!O:O,MATCH('10-08-01'!H59,Schedule!T:T,0))),"",INDEX(Schedule!O:O,MATCH('10-08-01'!H59,Schedule!T:T,0)))</f>
        <v/>
      </c>
      <c r="K59" s="369"/>
    </row>
    <row r="60" spans="2:17" ht="14.25">
      <c r="B60" s="366" t="str">
        <f t="shared" ref="B60:B67" si="2">IF(OR(Q29="",Q29=0),"",Q29)</f>
        <v/>
      </c>
      <c r="C60" s="367"/>
      <c r="D60" s="368"/>
      <c r="E60" s="366" t="str">
        <f>IF(ISNA(INDEX(Schedule!O:O,MATCH('10-08-01'!B60,Schedule!T:T,0))),"",INDEX(Schedule!O:O,MATCH('10-08-01'!B60,Schedule!T:T,0)))</f>
        <v/>
      </c>
      <c r="F60" s="368"/>
      <c r="G60" s="201"/>
      <c r="H60" s="369" t="str">
        <f t="shared" ref="H60:H67" si="3">IF(OR(Q39="",Q39=0),"",Q39)</f>
        <v/>
      </c>
      <c r="I60" s="369"/>
      <c r="J60" s="369" t="str">
        <f>IF(ISNA(INDEX(Schedule!O:O,MATCH('10-08-01'!H60,Schedule!T:T,0))),"",INDEX(Schedule!O:O,MATCH('10-08-01'!H60,Schedule!T:T,0)))</f>
        <v/>
      </c>
      <c r="K60" s="369"/>
    </row>
    <row r="61" spans="2:17" ht="14.25">
      <c r="B61" s="366" t="str">
        <f t="shared" si="2"/>
        <v/>
      </c>
      <c r="C61" s="367"/>
      <c r="D61" s="368"/>
      <c r="E61" s="366" t="str">
        <f>IF(ISNA(INDEX(Schedule!O:O,MATCH('10-08-01'!B61,Schedule!T:T,0))),"",INDEX(Schedule!O:O,MATCH('10-08-01'!B61,Schedule!T:T,0)))</f>
        <v/>
      </c>
      <c r="F61" s="368"/>
      <c r="G61" s="201"/>
      <c r="H61" s="369" t="str">
        <f t="shared" si="3"/>
        <v/>
      </c>
      <c r="I61" s="369"/>
      <c r="J61" s="369" t="str">
        <f>IF(ISNA(INDEX(Schedule!O:O,MATCH('10-08-01'!H61,Schedule!T:T,0))),"",INDEX(Schedule!O:O,MATCH('10-08-01'!H61,Schedule!T:T,0)))</f>
        <v/>
      </c>
      <c r="K61" s="369"/>
    </row>
    <row r="62" spans="2:17" ht="14.25">
      <c r="B62" s="366" t="str">
        <f t="shared" si="2"/>
        <v/>
      </c>
      <c r="C62" s="367"/>
      <c r="D62" s="368"/>
      <c r="E62" s="366" t="str">
        <f>IF(ISNA(INDEX(Schedule!O:O,MATCH('10-08-01'!B62,Schedule!T:T,0))),"",INDEX(Schedule!O:O,MATCH('10-08-01'!B62,Schedule!T:T,0)))</f>
        <v/>
      </c>
      <c r="F62" s="368"/>
      <c r="G62" s="201"/>
      <c r="H62" s="369" t="str">
        <f t="shared" si="3"/>
        <v/>
      </c>
      <c r="I62" s="369"/>
      <c r="J62" s="369" t="str">
        <f>IF(ISNA(INDEX(Schedule!O:O,MATCH('10-08-01'!H62,Schedule!T:T,0))),"",INDEX(Schedule!O:O,MATCH('10-08-01'!H62,Schedule!T:T,0)))</f>
        <v/>
      </c>
      <c r="K62" s="369"/>
    </row>
    <row r="63" spans="2:17" ht="14.25">
      <c r="B63" s="366" t="str">
        <f t="shared" si="2"/>
        <v/>
      </c>
      <c r="C63" s="367"/>
      <c r="D63" s="368"/>
      <c r="E63" s="366" t="str">
        <f>IF(ISNA(INDEX(Schedule!O:O,MATCH('10-08-01'!B63,Schedule!T:T,0))),"",INDEX(Schedule!O:O,MATCH('10-08-01'!B63,Schedule!T:T,0)))</f>
        <v/>
      </c>
      <c r="F63" s="368"/>
      <c r="G63" s="201"/>
      <c r="H63" s="369" t="str">
        <f t="shared" si="3"/>
        <v/>
      </c>
      <c r="I63" s="369"/>
      <c r="J63" s="369" t="str">
        <f>IF(ISNA(INDEX(Schedule!O:O,MATCH('10-08-01'!H63,Schedule!T:T,0))),"",INDEX(Schedule!O:O,MATCH('10-08-01'!H63,Schedule!T:T,0)))</f>
        <v/>
      </c>
      <c r="K63" s="369"/>
    </row>
    <row r="64" spans="2:17" ht="14.25">
      <c r="B64" s="366" t="str">
        <f t="shared" si="2"/>
        <v/>
      </c>
      <c r="C64" s="367"/>
      <c r="D64" s="368"/>
      <c r="E64" s="366" t="str">
        <f>IF(ISNA(INDEX(Schedule!O:O,MATCH('10-08-01'!B64,Schedule!T:T,0))),"",INDEX(Schedule!O:O,MATCH('10-08-01'!B64,Schedule!T:T,0)))</f>
        <v/>
      </c>
      <c r="F64" s="368"/>
      <c r="G64" s="201"/>
      <c r="H64" s="369" t="str">
        <f t="shared" si="3"/>
        <v/>
      </c>
      <c r="I64" s="369"/>
      <c r="J64" s="369" t="str">
        <f>IF(ISNA(INDEX(Schedule!O:O,MATCH('10-08-01'!H64,Schedule!T:T,0))),"",INDEX(Schedule!O:O,MATCH('10-08-01'!H64,Schedule!T:T,0)))</f>
        <v/>
      </c>
      <c r="K64" s="369"/>
    </row>
    <row r="65" spans="2:11" ht="14.25">
      <c r="B65" s="366" t="str">
        <f t="shared" si="2"/>
        <v/>
      </c>
      <c r="C65" s="367"/>
      <c r="D65" s="368"/>
      <c r="E65" s="366" t="str">
        <f>IF(ISNA(INDEX(Schedule!O:O,MATCH('10-08-01'!B65,Schedule!T:T,0))),"",INDEX(Schedule!O:O,MATCH('10-08-01'!B65,Schedule!T:T,0)))</f>
        <v/>
      </c>
      <c r="F65" s="368"/>
      <c r="G65" s="201"/>
      <c r="H65" s="369" t="str">
        <f t="shared" si="3"/>
        <v/>
      </c>
      <c r="I65" s="369"/>
      <c r="J65" s="369" t="str">
        <f>IF(ISNA(INDEX(Schedule!O:O,MATCH('10-08-01'!H65,Schedule!T:T,0))),"",INDEX(Schedule!O:O,MATCH('10-08-01'!H65,Schedule!T:T,0)))</f>
        <v/>
      </c>
      <c r="K65" s="369"/>
    </row>
    <row r="66" spans="2:11" ht="14.25">
      <c r="B66" s="366" t="str">
        <f t="shared" si="2"/>
        <v/>
      </c>
      <c r="C66" s="367"/>
      <c r="D66" s="368"/>
      <c r="E66" s="366" t="str">
        <f>IF(ISNA(INDEX(Schedule!O:O,MATCH('10-08-01'!B66,Schedule!T:T,0))),"",INDEX(Schedule!O:O,MATCH('10-08-01'!B66,Schedule!T:T,0)))</f>
        <v/>
      </c>
      <c r="F66" s="368"/>
      <c r="G66" s="201"/>
      <c r="H66" s="369" t="str">
        <f t="shared" si="3"/>
        <v/>
      </c>
      <c r="I66" s="369"/>
      <c r="J66" s="369" t="str">
        <f>IF(ISNA(INDEX(Schedule!O:O,MATCH('10-08-01'!H66,Schedule!T:T,0))),"",INDEX(Schedule!O:O,MATCH('10-08-01'!H66,Schedule!T:T,0)))</f>
        <v/>
      </c>
      <c r="K66" s="369"/>
    </row>
    <row r="67" spans="2:11" ht="14.25">
      <c r="B67" s="366" t="str">
        <f t="shared" si="2"/>
        <v/>
      </c>
      <c r="C67" s="367"/>
      <c r="D67" s="368"/>
      <c r="E67" s="366" t="str">
        <f>IF(ISNA(INDEX(Schedule!O:O,MATCH('10-08-01'!B67,Schedule!T:T,0))),"",INDEX(Schedule!O:O,MATCH('10-08-01'!B67,Schedule!T:T,0)))</f>
        <v/>
      </c>
      <c r="F67" s="368"/>
      <c r="G67" s="201"/>
      <c r="H67" s="369" t="str">
        <f t="shared" si="3"/>
        <v/>
      </c>
      <c r="I67" s="369"/>
      <c r="J67" s="369" t="str">
        <f>IF(ISNA(INDEX(Schedule!O:O,MATCH('10-08-01'!H67,Schedule!T:T,0))),"",INDEX(Schedule!O:O,MATCH('10-08-01'!H67,Schedule!T:T,0)))</f>
        <v/>
      </c>
      <c r="K67" s="369"/>
    </row>
    <row r="68" spans="2:11">
      <c r="B68" s="91"/>
      <c r="C68" s="92"/>
      <c r="D68" s="92"/>
      <c r="E68" s="92"/>
      <c r="F68" s="92"/>
      <c r="G68" s="92"/>
      <c r="H68" s="92"/>
      <c r="I68" s="92"/>
      <c r="J68" s="92"/>
      <c r="K68" s="93"/>
    </row>
    <row r="69" spans="2:11">
      <c r="B69" s="91"/>
      <c r="C69" s="92"/>
      <c r="D69" s="92"/>
      <c r="E69" s="92"/>
      <c r="F69" s="92"/>
      <c r="G69" s="92"/>
      <c r="H69" s="92"/>
      <c r="I69" s="92"/>
      <c r="J69" s="92"/>
      <c r="K69" s="93"/>
    </row>
    <row r="70" spans="2:11" ht="15.75">
      <c r="B70" s="370" t="s">
        <v>83</v>
      </c>
      <c r="C70" s="371"/>
      <c r="D70" s="371"/>
      <c r="E70" s="371"/>
      <c r="F70" s="371"/>
      <c r="G70" s="371"/>
      <c r="H70" s="371"/>
      <c r="I70" s="371"/>
      <c r="J70" s="371"/>
      <c r="K70" s="371"/>
    </row>
    <row r="71" spans="2:11">
      <c r="B71" s="372" t="s">
        <v>84</v>
      </c>
      <c r="C71" s="373"/>
      <c r="D71" s="373"/>
      <c r="E71" s="374"/>
      <c r="F71" s="378" t="s">
        <v>85</v>
      </c>
      <c r="G71" s="379"/>
      <c r="H71" s="378" t="s">
        <v>86</v>
      </c>
      <c r="I71" s="374"/>
      <c r="J71" s="387" t="s">
        <v>87</v>
      </c>
      <c r="K71" s="388"/>
    </row>
    <row r="72" spans="2:11">
      <c r="B72" s="375"/>
      <c r="C72" s="376"/>
      <c r="D72" s="376"/>
      <c r="E72" s="377"/>
      <c r="F72" s="380"/>
      <c r="G72" s="381"/>
      <c r="H72" s="375"/>
      <c r="I72" s="377"/>
      <c r="J72" s="389"/>
      <c r="K72" s="390"/>
    </row>
    <row r="73" spans="2:11">
      <c r="B73" s="382" t="s">
        <v>88</v>
      </c>
      <c r="C73" s="383"/>
      <c r="D73" s="383"/>
      <c r="E73" s="384"/>
      <c r="F73" s="385"/>
      <c r="G73" s="386"/>
      <c r="H73" s="385"/>
      <c r="I73" s="386"/>
      <c r="J73" s="385"/>
      <c r="K73" s="386"/>
    </row>
    <row r="74" spans="2:11">
      <c r="B74" s="382" t="s">
        <v>89</v>
      </c>
      <c r="C74" s="383"/>
      <c r="D74" s="383"/>
      <c r="E74" s="384"/>
      <c r="F74" s="385"/>
      <c r="G74" s="386"/>
      <c r="H74" s="385"/>
      <c r="I74" s="386"/>
      <c r="J74" s="385"/>
      <c r="K74" s="386"/>
    </row>
    <row r="75" spans="2:11">
      <c r="B75" s="382" t="s">
        <v>90</v>
      </c>
      <c r="C75" s="383"/>
      <c r="D75" s="383"/>
      <c r="E75" s="384"/>
      <c r="F75" s="385"/>
      <c r="G75" s="386"/>
      <c r="H75" s="385"/>
      <c r="I75" s="386"/>
      <c r="J75" s="385"/>
      <c r="K75" s="386"/>
    </row>
    <row r="76" spans="2:11">
      <c r="B76" s="382" t="s">
        <v>91</v>
      </c>
      <c r="C76" s="383"/>
      <c r="D76" s="383"/>
      <c r="E76" s="384"/>
      <c r="F76" s="385"/>
      <c r="G76" s="386"/>
      <c r="H76" s="385"/>
      <c r="I76" s="386"/>
      <c r="J76" s="385"/>
      <c r="K76" s="386"/>
    </row>
    <row r="77" spans="2:11">
      <c r="B77" s="382" t="s">
        <v>92</v>
      </c>
      <c r="C77" s="383"/>
      <c r="D77" s="383"/>
      <c r="E77" s="384"/>
      <c r="F77" s="385"/>
      <c r="G77" s="386"/>
      <c r="H77" s="385"/>
      <c r="I77" s="386"/>
      <c r="J77" s="385"/>
      <c r="K77" s="386"/>
    </row>
    <row r="78" spans="2:11">
      <c r="B78" s="382" t="s">
        <v>93</v>
      </c>
      <c r="C78" s="383"/>
      <c r="D78" s="383"/>
      <c r="E78" s="384"/>
      <c r="F78" s="385"/>
      <c r="G78" s="386"/>
      <c r="H78" s="385"/>
      <c r="I78" s="386"/>
      <c r="J78" s="385"/>
      <c r="K78" s="386"/>
    </row>
    <row r="79" spans="2:11">
      <c r="B79" s="382" t="s">
        <v>94</v>
      </c>
      <c r="C79" s="383"/>
      <c r="D79" s="383"/>
      <c r="E79" s="384"/>
      <c r="F79" s="385"/>
      <c r="G79" s="386"/>
      <c r="H79" s="385"/>
      <c r="I79" s="386"/>
      <c r="J79" s="385"/>
      <c r="K79" s="386"/>
    </row>
    <row r="80" spans="2:11">
      <c r="B80" s="382" t="s">
        <v>95</v>
      </c>
      <c r="C80" s="383"/>
      <c r="D80" s="383"/>
      <c r="E80" s="384"/>
      <c r="F80" s="398"/>
      <c r="G80" s="399"/>
      <c r="H80" s="385"/>
      <c r="I80" s="386"/>
      <c r="J80" s="385"/>
      <c r="K80" s="386"/>
    </row>
    <row r="81" spans="2:11">
      <c r="B81" s="382" t="s">
        <v>96</v>
      </c>
      <c r="C81" s="383"/>
      <c r="D81" s="383"/>
      <c r="E81" s="384"/>
      <c r="F81" s="385"/>
      <c r="G81" s="386"/>
      <c r="H81" s="385"/>
      <c r="I81" s="386"/>
      <c r="J81" s="385"/>
      <c r="K81" s="386"/>
    </row>
    <row r="82" spans="2:11">
      <c r="B82" s="382" t="s">
        <v>96</v>
      </c>
      <c r="C82" s="383"/>
      <c r="D82" s="383"/>
      <c r="E82" s="384"/>
      <c r="F82" s="385"/>
      <c r="G82" s="386"/>
      <c r="H82" s="385"/>
      <c r="I82" s="386"/>
      <c r="J82" s="385"/>
      <c r="K82" s="386"/>
    </row>
    <row r="83" spans="2:11">
      <c r="B83" s="382" t="s">
        <v>97</v>
      </c>
      <c r="C83" s="383"/>
      <c r="D83" s="383"/>
      <c r="E83" s="384"/>
      <c r="F83" s="385"/>
      <c r="G83" s="386"/>
      <c r="H83" s="385"/>
      <c r="I83" s="386"/>
      <c r="J83" s="385"/>
      <c r="K83" s="386"/>
    </row>
    <row r="84" spans="2:11" ht="15">
      <c r="B84" s="95"/>
      <c r="C84" s="96"/>
      <c r="D84" s="96"/>
      <c r="E84" s="96"/>
      <c r="F84" s="97"/>
      <c r="G84" s="97"/>
      <c r="H84" s="97"/>
      <c r="I84" s="97"/>
      <c r="J84" s="97"/>
      <c r="K84" s="98"/>
    </row>
    <row r="85" spans="2:11">
      <c r="B85" s="91" t="s">
        <v>98</v>
      </c>
      <c r="C85" s="296"/>
      <c r="D85" s="99"/>
      <c r="E85" s="99"/>
      <c r="F85" s="99"/>
      <c r="G85" s="99"/>
      <c r="H85" s="99"/>
      <c r="I85" s="99"/>
      <c r="J85" s="99"/>
      <c r="K85" s="100"/>
    </row>
    <row r="86" spans="2:11">
      <c r="B86" s="91"/>
      <c r="C86" s="296"/>
      <c r="D86" s="101"/>
      <c r="E86" s="101"/>
      <c r="F86" s="101"/>
      <c r="G86" s="101"/>
      <c r="H86" s="101"/>
      <c r="I86" s="101"/>
      <c r="J86" s="101"/>
      <c r="K86" s="102"/>
    </row>
    <row r="87" spans="2:11">
      <c r="B87" s="91"/>
      <c r="C87" s="296"/>
      <c r="D87" s="296"/>
      <c r="E87" s="296"/>
      <c r="F87" s="296"/>
      <c r="G87" s="296"/>
      <c r="H87" s="296"/>
      <c r="I87" s="296"/>
      <c r="J87" s="296"/>
      <c r="K87" s="297"/>
    </row>
    <row r="88" spans="2:11" ht="14.25">
      <c r="B88" s="91" t="s">
        <v>99</v>
      </c>
      <c r="C88" s="296"/>
      <c r="D88" s="99"/>
      <c r="E88" s="99"/>
      <c r="F88" s="104"/>
      <c r="G88" s="105"/>
      <c r="H88" s="105"/>
      <c r="I88" s="105" t="s">
        <v>100</v>
      </c>
      <c r="J88" s="105"/>
      <c r="K88" s="106"/>
    </row>
    <row r="89" spans="2:11" ht="15">
      <c r="B89" s="107"/>
      <c r="C89" s="108"/>
      <c r="D89" s="108"/>
      <c r="E89" s="108"/>
      <c r="F89" s="109"/>
      <c r="G89" s="109"/>
      <c r="H89" s="109"/>
      <c r="I89" s="109"/>
      <c r="J89" s="109"/>
      <c r="K89" s="110"/>
    </row>
    <row r="90" spans="2:11" ht="15">
      <c r="B90" s="111" t="s">
        <v>101</v>
      </c>
      <c r="C90" s="296"/>
      <c r="D90" s="112"/>
      <c r="E90" s="113"/>
      <c r="F90" s="113"/>
      <c r="G90" s="113"/>
      <c r="H90" s="113"/>
      <c r="I90" s="113"/>
      <c r="J90" s="113"/>
      <c r="K90" s="93"/>
    </row>
    <row r="91" spans="2:11" ht="13.5">
      <c r="B91" s="114" t="s">
        <v>102</v>
      </c>
      <c r="C91" s="296"/>
      <c r="D91" s="115"/>
      <c r="E91" s="116"/>
      <c r="F91" s="116"/>
      <c r="G91" s="117"/>
      <c r="H91" s="117"/>
      <c r="I91" s="117"/>
      <c r="J91" s="117"/>
      <c r="K91" s="118"/>
    </row>
    <row r="92" spans="2:11" ht="15">
      <c r="B92" s="119"/>
      <c r="C92" s="296"/>
      <c r="D92" s="120"/>
      <c r="E92" s="92"/>
      <c r="F92" s="92"/>
      <c r="G92" s="392" t="s">
        <v>103</v>
      </c>
      <c r="H92" s="397"/>
      <c r="I92" s="397"/>
      <c r="J92" s="397"/>
      <c r="K92" s="394"/>
    </row>
    <row r="93" spans="2:11" ht="15">
      <c r="B93" s="119"/>
      <c r="C93" s="296"/>
      <c r="D93" s="120"/>
      <c r="E93" s="92"/>
      <c r="F93" s="92"/>
      <c r="G93" s="92"/>
      <c r="H93" s="121"/>
      <c r="I93" s="122"/>
      <c r="J93" s="122"/>
      <c r="K93" s="123"/>
    </row>
    <row r="94" spans="2:11" ht="15">
      <c r="B94" s="119" t="s">
        <v>104</v>
      </c>
      <c r="C94" s="296"/>
      <c r="D94" s="120"/>
      <c r="E94" s="92"/>
      <c r="F94" s="296"/>
      <c r="G94" s="99"/>
      <c r="H94" s="124"/>
      <c r="I94" s="124"/>
      <c r="J94" s="124"/>
      <c r="K94" s="118"/>
    </row>
    <row r="95" spans="2:11">
      <c r="B95" s="125"/>
      <c r="C95" s="296"/>
      <c r="D95" s="92"/>
      <c r="E95" s="92"/>
      <c r="F95" s="296"/>
      <c r="G95" s="392" t="s">
        <v>105</v>
      </c>
      <c r="H95" s="393"/>
      <c r="I95" s="393"/>
      <c r="J95" s="393"/>
      <c r="K95" s="394"/>
    </row>
    <row r="96" spans="2:11">
      <c r="B96" s="125"/>
      <c r="C96" s="296"/>
      <c r="D96" s="92"/>
      <c r="E96" s="92"/>
      <c r="F96" s="92"/>
      <c r="G96" s="296"/>
      <c r="H96" s="296"/>
      <c r="I96" s="296"/>
      <c r="J96" s="296"/>
      <c r="K96" s="93"/>
    </row>
    <row r="97" spans="2:11">
      <c r="B97" s="125"/>
      <c r="C97" s="296"/>
      <c r="D97" s="92"/>
      <c r="E97" s="92"/>
      <c r="F97" s="92"/>
      <c r="G97" s="92"/>
      <c r="H97" s="92"/>
      <c r="I97" s="92"/>
      <c r="J97" s="92"/>
      <c r="K97" s="93"/>
    </row>
    <row r="98" spans="2:11">
      <c r="B98" s="126" t="s">
        <v>12</v>
      </c>
      <c r="C98" s="395" t="s">
        <v>106</v>
      </c>
      <c r="D98" s="396"/>
      <c r="E98" s="124"/>
      <c r="F98" s="124"/>
      <c r="G98" s="124"/>
      <c r="H98" s="124"/>
      <c r="I98" s="124"/>
      <c r="J98" s="124"/>
      <c r="K98" s="127" t="s">
        <v>107</v>
      </c>
    </row>
    <row r="99" spans="2:11" ht="59.25">
      <c r="B99" s="88" t="s">
        <v>20</v>
      </c>
      <c r="C99" s="89"/>
      <c r="D99" s="89"/>
      <c r="E99" s="89"/>
      <c r="F99" s="89"/>
      <c r="G99" s="89"/>
      <c r="H99" s="89"/>
      <c r="I99" s="89"/>
      <c r="J99" s="89"/>
      <c r="K99" s="90"/>
    </row>
    <row r="100" spans="2:11" ht="20.25">
      <c r="B100" s="357" t="s">
        <v>78</v>
      </c>
      <c r="C100" s="358"/>
      <c r="D100" s="358"/>
      <c r="E100" s="358"/>
      <c r="F100" s="358"/>
      <c r="G100" s="358"/>
      <c r="H100" s="358"/>
      <c r="I100" s="358"/>
      <c r="J100" s="358"/>
      <c r="K100" s="359"/>
    </row>
    <row r="101" spans="2:11">
      <c r="B101" s="91"/>
      <c r="C101" s="92"/>
      <c r="D101" s="92"/>
      <c r="E101" s="92"/>
      <c r="F101" s="92"/>
      <c r="G101" s="92"/>
      <c r="H101" s="92"/>
      <c r="I101" s="92"/>
      <c r="J101" s="92"/>
      <c r="K101" s="93"/>
    </row>
    <row r="102" spans="2:11">
      <c r="B102" s="91"/>
      <c r="C102" s="92"/>
      <c r="D102" s="92"/>
      <c r="E102" s="92"/>
      <c r="F102" s="92"/>
      <c r="G102" s="92"/>
      <c r="H102" s="92"/>
      <c r="I102" s="92"/>
      <c r="J102" s="92"/>
      <c r="K102" s="93"/>
    </row>
    <row r="103" spans="2:11" ht="14.25">
      <c r="B103" s="360" t="s">
        <v>79</v>
      </c>
      <c r="C103" s="361"/>
      <c r="D103" s="361"/>
      <c r="E103" s="362" t="str">
        <f>$E$5</f>
        <v>E90210</v>
      </c>
      <c r="F103" s="362"/>
      <c r="G103" s="205"/>
      <c r="H103" s="206" t="s">
        <v>80</v>
      </c>
      <c r="I103" s="205"/>
      <c r="J103" s="362" t="str">
        <f>$J$5</f>
        <v/>
      </c>
      <c r="K103" s="363"/>
    </row>
    <row r="104" spans="2:11">
      <c r="B104" s="91"/>
      <c r="C104" s="92"/>
      <c r="D104" s="92"/>
      <c r="E104" s="92"/>
      <c r="F104" s="92"/>
      <c r="G104" s="92"/>
      <c r="H104" s="92"/>
      <c r="I104" s="92"/>
      <c r="J104" s="92"/>
      <c r="K104" s="93"/>
    </row>
    <row r="105" spans="2:11">
      <c r="B105" s="91"/>
      <c r="C105" s="92"/>
      <c r="D105" s="92"/>
      <c r="E105" s="92"/>
      <c r="F105" s="92"/>
      <c r="G105" s="92"/>
      <c r="H105" s="92"/>
      <c r="I105" s="92"/>
      <c r="J105" s="92"/>
      <c r="K105" s="93"/>
    </row>
    <row r="106" spans="2:11" ht="15">
      <c r="B106" s="364" t="s">
        <v>81</v>
      </c>
      <c r="C106" s="358"/>
      <c r="D106" s="359"/>
      <c r="E106" s="365" t="s">
        <v>82</v>
      </c>
      <c r="F106" s="365"/>
      <c r="G106" s="92"/>
      <c r="H106" s="365" t="s">
        <v>81</v>
      </c>
      <c r="I106" s="365"/>
      <c r="J106" s="365" t="s">
        <v>82</v>
      </c>
      <c r="K106" s="365"/>
    </row>
    <row r="107" spans="2:11" ht="14.25">
      <c r="B107" s="366" t="str">
        <f>IF(OR(Q47="",Q47=0),"",Q47)</f>
        <v/>
      </c>
      <c r="C107" s="367"/>
      <c r="D107" s="368"/>
      <c r="E107" s="366" t="str">
        <f>IF(ISNA(INDEX(Schedule!O:O,MATCH('10-08-01'!B107,Schedule!T:T,0))),"",INDEX(Schedule!O:O,MATCH('10-08-01'!B107,Schedule!T:T,0)))</f>
        <v/>
      </c>
      <c r="F107" s="368"/>
      <c r="G107" s="201"/>
      <c r="H107" s="369"/>
      <c r="I107" s="369"/>
      <c r="J107" s="369" t="str">
        <f>IF(ISNA(INDEX(Schedule!O:O,MATCH('10-08-01'!H107,Schedule!T:T,0))),"",INDEX(Schedule!O:O,MATCH('10-08-01'!H107,Schedule!T:T,0)))</f>
        <v/>
      </c>
      <c r="K107" s="369"/>
    </row>
    <row r="108" spans="2:11" ht="14.25">
      <c r="B108" s="366" t="str">
        <f t="shared" ref="B108:B116" si="4">IF(OR(Q48="",Q48=0),"",Q48)</f>
        <v/>
      </c>
      <c r="C108" s="367"/>
      <c r="D108" s="368"/>
      <c r="E108" s="366" t="str">
        <f>IF(ISNA(INDEX(Schedule!O:O,MATCH('10-08-01'!B108,Schedule!T:T,0))),"",INDEX(Schedule!O:O,MATCH('10-08-01'!B108,Schedule!T:T,0)))</f>
        <v/>
      </c>
      <c r="F108" s="368"/>
      <c r="G108" s="201"/>
      <c r="H108" s="369"/>
      <c r="I108" s="369"/>
      <c r="J108" s="369" t="str">
        <f>IF(ISNA(INDEX(Schedule!O:O,MATCH('10-08-01'!H108,Schedule!T:T,0))),"",INDEX(Schedule!O:O,MATCH('10-08-01'!H108,Schedule!T:T,0)))</f>
        <v/>
      </c>
      <c r="K108" s="369"/>
    </row>
    <row r="109" spans="2:11" ht="14.25">
      <c r="B109" s="366" t="str">
        <f t="shared" si="4"/>
        <v/>
      </c>
      <c r="C109" s="367"/>
      <c r="D109" s="368"/>
      <c r="E109" s="366" t="str">
        <f>IF(ISNA(INDEX(Schedule!O:O,MATCH('10-08-01'!B109,Schedule!T:T,0))),"",INDEX(Schedule!O:O,MATCH('10-08-01'!B109,Schedule!T:T,0)))</f>
        <v/>
      </c>
      <c r="F109" s="368"/>
      <c r="G109" s="201"/>
      <c r="H109" s="369"/>
      <c r="I109" s="369"/>
      <c r="J109" s="369" t="str">
        <f>IF(ISNA(INDEX(Schedule!O:O,MATCH('10-08-01'!H109,Schedule!T:T,0))),"",INDEX(Schedule!O:O,MATCH('10-08-01'!H109,Schedule!T:T,0)))</f>
        <v/>
      </c>
      <c r="K109" s="369"/>
    </row>
    <row r="110" spans="2:11" ht="14.25">
      <c r="B110" s="366" t="str">
        <f t="shared" si="4"/>
        <v/>
      </c>
      <c r="C110" s="367"/>
      <c r="D110" s="368"/>
      <c r="E110" s="366" t="str">
        <f>IF(ISNA(INDEX(Schedule!O:O,MATCH('10-08-01'!B110,Schedule!T:T,0))),"",INDEX(Schedule!O:O,MATCH('10-08-01'!B110,Schedule!T:T,0)))</f>
        <v/>
      </c>
      <c r="F110" s="368"/>
      <c r="G110" s="201"/>
      <c r="H110" s="369"/>
      <c r="I110" s="369"/>
      <c r="J110" s="369" t="str">
        <f>IF(ISNA(INDEX(Schedule!O:O,MATCH('10-08-01'!H110,Schedule!T:T,0))),"",INDEX(Schedule!O:O,MATCH('10-08-01'!H110,Schedule!T:T,0)))</f>
        <v/>
      </c>
      <c r="K110" s="369"/>
    </row>
    <row r="111" spans="2:11" ht="14.25">
      <c r="B111" s="366" t="str">
        <f t="shared" si="4"/>
        <v/>
      </c>
      <c r="C111" s="367"/>
      <c r="D111" s="368"/>
      <c r="E111" s="366" t="str">
        <f>IF(ISNA(INDEX(Schedule!O:O,MATCH('10-08-01'!B111,Schedule!T:T,0))),"",INDEX(Schedule!O:O,MATCH('10-08-01'!B111,Schedule!T:T,0)))</f>
        <v/>
      </c>
      <c r="F111" s="368"/>
      <c r="G111" s="201"/>
      <c r="H111" s="369"/>
      <c r="I111" s="369"/>
      <c r="J111" s="369" t="str">
        <f>IF(ISNA(INDEX(Schedule!O:O,MATCH('10-08-01'!H111,Schedule!T:T,0))),"",INDEX(Schedule!O:O,MATCH('10-08-01'!H111,Schedule!T:T,0)))</f>
        <v/>
      </c>
      <c r="K111" s="369"/>
    </row>
    <row r="112" spans="2:11" ht="14.25">
      <c r="B112" s="366" t="str">
        <f t="shared" si="4"/>
        <v/>
      </c>
      <c r="C112" s="367"/>
      <c r="D112" s="368"/>
      <c r="E112" s="366" t="str">
        <f>IF(ISNA(INDEX(Schedule!O:O,MATCH('10-08-01'!B112,Schedule!T:T,0))),"",INDEX(Schedule!O:O,MATCH('10-08-01'!B112,Schedule!T:T,0)))</f>
        <v/>
      </c>
      <c r="F112" s="368"/>
      <c r="G112" s="201"/>
      <c r="H112" s="369"/>
      <c r="I112" s="369"/>
      <c r="J112" s="369" t="str">
        <f>IF(ISNA(INDEX(Schedule!O:O,MATCH('10-08-01'!H112,Schedule!T:T,0))),"",INDEX(Schedule!O:O,MATCH('10-08-01'!H112,Schedule!T:T,0)))</f>
        <v/>
      </c>
      <c r="K112" s="369"/>
    </row>
    <row r="113" spans="2:11" ht="14.25">
      <c r="B113" s="366" t="str">
        <f t="shared" si="4"/>
        <v/>
      </c>
      <c r="C113" s="367"/>
      <c r="D113" s="368"/>
      <c r="E113" s="366" t="str">
        <f>IF(ISNA(INDEX(Schedule!O:O,MATCH('10-08-01'!B113,Schedule!T:T,0))),"",INDEX(Schedule!O:O,MATCH('10-08-01'!B113,Schedule!T:T,0)))</f>
        <v/>
      </c>
      <c r="F113" s="368"/>
      <c r="G113" s="201"/>
      <c r="H113" s="369"/>
      <c r="I113" s="369"/>
      <c r="J113" s="369" t="str">
        <f>IF(ISNA(INDEX(Schedule!O:O,MATCH('10-08-01'!H113,Schedule!T:T,0))),"",INDEX(Schedule!O:O,MATCH('10-08-01'!H113,Schedule!T:T,0)))</f>
        <v/>
      </c>
      <c r="K113" s="369"/>
    </row>
    <row r="114" spans="2:11" ht="14.25">
      <c r="B114" s="366" t="str">
        <f t="shared" si="4"/>
        <v/>
      </c>
      <c r="C114" s="367"/>
      <c r="D114" s="368"/>
      <c r="E114" s="366" t="str">
        <f>IF(ISNA(INDEX(Schedule!O:O,MATCH('10-08-01'!B114,Schedule!T:T,0))),"",INDEX(Schedule!O:O,MATCH('10-08-01'!B114,Schedule!T:T,0)))</f>
        <v/>
      </c>
      <c r="F114" s="368"/>
      <c r="G114" s="201"/>
      <c r="H114" s="369"/>
      <c r="I114" s="369"/>
      <c r="J114" s="369" t="str">
        <f>IF(ISNA(INDEX(Schedule!O:O,MATCH('10-08-01'!H114,Schedule!T:T,0))),"",INDEX(Schedule!O:O,MATCH('10-08-01'!H114,Schedule!T:T,0)))</f>
        <v/>
      </c>
      <c r="K114" s="369"/>
    </row>
    <row r="115" spans="2:11" ht="14.25">
      <c r="B115" s="366" t="str">
        <f t="shared" si="4"/>
        <v/>
      </c>
      <c r="C115" s="367"/>
      <c r="D115" s="368"/>
      <c r="E115" s="366" t="str">
        <f>IF(ISNA(INDEX(Schedule!O:O,MATCH('10-08-01'!B115,Schedule!T:T,0))),"",INDEX(Schedule!O:O,MATCH('10-08-01'!B115,Schedule!T:T,0)))</f>
        <v/>
      </c>
      <c r="F115" s="368"/>
      <c r="G115" s="201"/>
      <c r="H115" s="369"/>
      <c r="I115" s="369"/>
      <c r="J115" s="369" t="str">
        <f>IF(ISNA(INDEX(Schedule!O:O,MATCH('10-08-01'!H115,Schedule!T:T,0))),"",INDEX(Schedule!O:O,MATCH('10-08-01'!H115,Schedule!T:T,0)))</f>
        <v/>
      </c>
      <c r="K115" s="369"/>
    </row>
    <row r="116" spans="2:11" ht="14.25">
      <c r="B116" s="366" t="str">
        <f t="shared" si="4"/>
        <v/>
      </c>
      <c r="C116" s="367"/>
      <c r="D116" s="368"/>
      <c r="E116" s="366" t="str">
        <f>IF(ISNA(INDEX(Schedule!O:O,MATCH('10-08-01'!B116,Schedule!T:T,0))),"",INDEX(Schedule!O:O,MATCH('10-08-01'!B116,Schedule!T:T,0)))</f>
        <v/>
      </c>
      <c r="F116" s="368"/>
      <c r="G116" s="201"/>
      <c r="H116" s="369"/>
      <c r="I116" s="369"/>
      <c r="J116" s="369" t="str">
        <f>IF(ISNA(INDEX(Schedule!O:O,MATCH('10-08-01'!H116,Schedule!T:T,0))),"",INDEX(Schedule!O:O,MATCH('10-08-01'!H116,Schedule!T:T,0)))</f>
        <v/>
      </c>
      <c r="K116" s="369"/>
    </row>
    <row r="117" spans="2:11">
      <c r="B117" s="91"/>
      <c r="C117" s="92"/>
      <c r="D117" s="92"/>
      <c r="E117" s="92"/>
      <c r="F117" s="92"/>
      <c r="G117" s="92"/>
      <c r="H117" s="92"/>
      <c r="I117" s="92"/>
      <c r="J117" s="92"/>
      <c r="K117" s="93"/>
    </row>
    <row r="118" spans="2:11">
      <c r="B118" s="91"/>
      <c r="C118" s="92"/>
      <c r="D118" s="92"/>
      <c r="E118" s="92"/>
      <c r="F118" s="92"/>
      <c r="G118" s="92"/>
      <c r="H118" s="92"/>
      <c r="I118" s="92"/>
      <c r="J118" s="92"/>
      <c r="K118" s="93"/>
    </row>
    <row r="119" spans="2:11" ht="15.75">
      <c r="B119" s="370" t="s">
        <v>83</v>
      </c>
      <c r="C119" s="371"/>
      <c r="D119" s="371"/>
      <c r="E119" s="371"/>
      <c r="F119" s="371"/>
      <c r="G119" s="371"/>
      <c r="H119" s="371"/>
      <c r="I119" s="371"/>
      <c r="J119" s="371"/>
      <c r="K119" s="371"/>
    </row>
    <row r="120" spans="2:11">
      <c r="B120" s="372" t="s">
        <v>84</v>
      </c>
      <c r="C120" s="373"/>
      <c r="D120" s="373"/>
      <c r="E120" s="374"/>
      <c r="F120" s="378" t="s">
        <v>85</v>
      </c>
      <c r="G120" s="379"/>
      <c r="H120" s="378" t="s">
        <v>86</v>
      </c>
      <c r="I120" s="374"/>
      <c r="J120" s="387" t="s">
        <v>87</v>
      </c>
      <c r="K120" s="388"/>
    </row>
    <row r="121" spans="2:11">
      <c r="B121" s="375"/>
      <c r="C121" s="376"/>
      <c r="D121" s="376"/>
      <c r="E121" s="377"/>
      <c r="F121" s="380"/>
      <c r="G121" s="381"/>
      <c r="H121" s="375"/>
      <c r="I121" s="377"/>
      <c r="J121" s="389"/>
      <c r="K121" s="390"/>
    </row>
    <row r="122" spans="2:11">
      <c r="B122" s="382" t="s">
        <v>88</v>
      </c>
      <c r="C122" s="383"/>
      <c r="D122" s="383"/>
      <c r="E122" s="384"/>
      <c r="F122" s="385"/>
      <c r="G122" s="386"/>
      <c r="H122" s="385"/>
      <c r="I122" s="386"/>
      <c r="J122" s="385"/>
      <c r="K122" s="386"/>
    </row>
    <row r="123" spans="2:11">
      <c r="B123" s="382" t="s">
        <v>89</v>
      </c>
      <c r="C123" s="383"/>
      <c r="D123" s="383"/>
      <c r="E123" s="384"/>
      <c r="F123" s="385"/>
      <c r="G123" s="386"/>
      <c r="H123" s="385"/>
      <c r="I123" s="386"/>
      <c r="J123" s="385"/>
      <c r="K123" s="386"/>
    </row>
    <row r="124" spans="2:11">
      <c r="B124" s="382" t="s">
        <v>90</v>
      </c>
      <c r="C124" s="383"/>
      <c r="D124" s="383"/>
      <c r="E124" s="384"/>
      <c r="F124" s="385"/>
      <c r="G124" s="386"/>
      <c r="H124" s="385"/>
      <c r="I124" s="386"/>
      <c r="J124" s="385"/>
      <c r="K124" s="386"/>
    </row>
    <row r="125" spans="2:11">
      <c r="B125" s="382" t="s">
        <v>91</v>
      </c>
      <c r="C125" s="383"/>
      <c r="D125" s="383"/>
      <c r="E125" s="384"/>
      <c r="F125" s="385"/>
      <c r="G125" s="386"/>
      <c r="H125" s="385"/>
      <c r="I125" s="386"/>
      <c r="J125" s="385"/>
      <c r="K125" s="386"/>
    </row>
    <row r="126" spans="2:11">
      <c r="B126" s="382" t="s">
        <v>92</v>
      </c>
      <c r="C126" s="383"/>
      <c r="D126" s="383"/>
      <c r="E126" s="384"/>
      <c r="F126" s="385"/>
      <c r="G126" s="386"/>
      <c r="H126" s="385"/>
      <c r="I126" s="386"/>
      <c r="J126" s="385"/>
      <c r="K126" s="386"/>
    </row>
    <row r="127" spans="2:11">
      <c r="B127" s="382" t="s">
        <v>93</v>
      </c>
      <c r="C127" s="383"/>
      <c r="D127" s="383"/>
      <c r="E127" s="384"/>
      <c r="F127" s="385"/>
      <c r="G127" s="386"/>
      <c r="H127" s="385"/>
      <c r="I127" s="386"/>
      <c r="J127" s="385"/>
      <c r="K127" s="386"/>
    </row>
    <row r="128" spans="2:11">
      <c r="B128" s="382" t="s">
        <v>94</v>
      </c>
      <c r="C128" s="383"/>
      <c r="D128" s="383"/>
      <c r="E128" s="384"/>
      <c r="F128" s="385"/>
      <c r="G128" s="386"/>
      <c r="H128" s="385"/>
      <c r="I128" s="386"/>
      <c r="J128" s="385"/>
      <c r="K128" s="386"/>
    </row>
    <row r="129" spans="2:11">
      <c r="B129" s="382" t="s">
        <v>95</v>
      </c>
      <c r="C129" s="383"/>
      <c r="D129" s="383"/>
      <c r="E129" s="384"/>
      <c r="F129" s="398"/>
      <c r="G129" s="399"/>
      <c r="H129" s="385"/>
      <c r="I129" s="386"/>
      <c r="J129" s="385"/>
      <c r="K129" s="386"/>
    </row>
    <row r="130" spans="2:11">
      <c r="B130" s="382" t="s">
        <v>96</v>
      </c>
      <c r="C130" s="383"/>
      <c r="D130" s="383"/>
      <c r="E130" s="384"/>
      <c r="F130" s="385"/>
      <c r="G130" s="386"/>
      <c r="H130" s="385"/>
      <c r="I130" s="386"/>
      <c r="J130" s="385"/>
      <c r="K130" s="386"/>
    </row>
    <row r="131" spans="2:11">
      <c r="B131" s="382" t="s">
        <v>96</v>
      </c>
      <c r="C131" s="383"/>
      <c r="D131" s="383"/>
      <c r="E131" s="384"/>
      <c r="F131" s="385"/>
      <c r="G131" s="386"/>
      <c r="H131" s="385"/>
      <c r="I131" s="386"/>
      <c r="J131" s="385"/>
      <c r="K131" s="386"/>
    </row>
    <row r="132" spans="2:11">
      <c r="B132" s="382" t="s">
        <v>97</v>
      </c>
      <c r="C132" s="383"/>
      <c r="D132" s="383"/>
      <c r="E132" s="384"/>
      <c r="F132" s="385"/>
      <c r="G132" s="386"/>
      <c r="H132" s="385"/>
      <c r="I132" s="386"/>
      <c r="J132" s="385"/>
      <c r="K132" s="386"/>
    </row>
    <row r="133" spans="2:11" ht="15">
      <c r="B133" s="95"/>
      <c r="C133" s="96"/>
      <c r="D133" s="96"/>
      <c r="E133" s="96"/>
      <c r="F133" s="97"/>
      <c r="G133" s="97"/>
      <c r="H133" s="97"/>
      <c r="I133" s="97"/>
      <c r="J133" s="97"/>
      <c r="K133" s="98"/>
    </row>
    <row r="134" spans="2:11">
      <c r="B134" s="91" t="s">
        <v>98</v>
      </c>
      <c r="C134" s="296"/>
      <c r="D134" s="99"/>
      <c r="E134" s="99"/>
      <c r="F134" s="99"/>
      <c r="G134" s="99"/>
      <c r="H134" s="99"/>
      <c r="I134" s="99"/>
      <c r="J134" s="99"/>
      <c r="K134" s="100"/>
    </row>
    <row r="135" spans="2:11">
      <c r="B135" s="91"/>
      <c r="C135" s="296"/>
      <c r="D135" s="101"/>
      <c r="E135" s="101"/>
      <c r="F135" s="101"/>
      <c r="G135" s="101"/>
      <c r="H135" s="101"/>
      <c r="I135" s="101"/>
      <c r="J135" s="101"/>
      <c r="K135" s="102"/>
    </row>
    <row r="136" spans="2:11">
      <c r="B136" s="91"/>
      <c r="C136" s="296"/>
      <c r="D136" s="296"/>
      <c r="E136" s="296"/>
      <c r="F136" s="296"/>
      <c r="G136" s="296"/>
      <c r="H136" s="296"/>
      <c r="I136" s="296"/>
      <c r="J136" s="296"/>
      <c r="K136" s="297"/>
    </row>
    <row r="137" spans="2:11" ht="14.25">
      <c r="B137" s="91" t="s">
        <v>99</v>
      </c>
      <c r="C137" s="296"/>
      <c r="D137" s="99"/>
      <c r="E137" s="99"/>
      <c r="F137" s="104"/>
      <c r="G137" s="105"/>
      <c r="H137" s="105"/>
      <c r="I137" s="105" t="s">
        <v>100</v>
      </c>
      <c r="J137" s="105"/>
      <c r="K137" s="106"/>
    </row>
    <row r="138" spans="2:11" ht="15">
      <c r="B138" s="107"/>
      <c r="C138" s="108"/>
      <c r="D138" s="108"/>
      <c r="E138" s="108"/>
      <c r="F138" s="109"/>
      <c r="G138" s="109"/>
      <c r="H138" s="109"/>
      <c r="I138" s="109"/>
      <c r="J138" s="109"/>
      <c r="K138" s="110"/>
    </row>
    <row r="139" spans="2:11" ht="15">
      <c r="B139" s="111" t="s">
        <v>101</v>
      </c>
      <c r="C139" s="296"/>
      <c r="D139" s="112"/>
      <c r="E139" s="113"/>
      <c r="F139" s="113"/>
      <c r="G139" s="113"/>
      <c r="H139" s="113"/>
      <c r="I139" s="113"/>
      <c r="J139" s="113"/>
      <c r="K139" s="93"/>
    </row>
    <row r="140" spans="2:11" ht="13.5">
      <c r="B140" s="114" t="s">
        <v>102</v>
      </c>
      <c r="C140" s="296"/>
      <c r="D140" s="115"/>
      <c r="E140" s="116"/>
      <c r="F140" s="116"/>
      <c r="G140" s="117"/>
      <c r="H140" s="117"/>
      <c r="I140" s="117"/>
      <c r="J140" s="117"/>
      <c r="K140" s="118"/>
    </row>
    <row r="141" spans="2:11" ht="15">
      <c r="B141" s="119"/>
      <c r="C141" s="296"/>
      <c r="D141" s="120"/>
      <c r="E141" s="92"/>
      <c r="F141" s="92"/>
      <c r="G141" s="392" t="s">
        <v>103</v>
      </c>
      <c r="H141" s="397"/>
      <c r="I141" s="397"/>
      <c r="J141" s="397"/>
      <c r="K141" s="394"/>
    </row>
    <row r="142" spans="2:11" ht="15">
      <c r="B142" s="119"/>
      <c r="C142" s="296"/>
      <c r="D142" s="120"/>
      <c r="E142" s="92"/>
      <c r="F142" s="92"/>
      <c r="G142" s="92"/>
      <c r="H142" s="121"/>
      <c r="I142" s="122"/>
      <c r="J142" s="122"/>
      <c r="K142" s="123"/>
    </row>
    <row r="143" spans="2:11" ht="15">
      <c r="B143" s="119" t="s">
        <v>104</v>
      </c>
      <c r="C143" s="296"/>
      <c r="D143" s="120"/>
      <c r="E143" s="92"/>
      <c r="F143" s="296"/>
      <c r="G143" s="99"/>
      <c r="H143" s="124"/>
      <c r="I143" s="124"/>
      <c r="J143" s="124"/>
      <c r="K143" s="118"/>
    </row>
    <row r="144" spans="2:11">
      <c r="B144" s="125"/>
      <c r="C144" s="296"/>
      <c r="D144" s="92"/>
      <c r="E144" s="92"/>
      <c r="F144" s="296"/>
      <c r="G144" s="392" t="s">
        <v>105</v>
      </c>
      <c r="H144" s="393"/>
      <c r="I144" s="393"/>
      <c r="J144" s="393"/>
      <c r="K144" s="394"/>
    </row>
    <row r="145" spans="2:11">
      <c r="B145" s="125"/>
      <c r="C145" s="296"/>
      <c r="D145" s="92"/>
      <c r="E145" s="92"/>
      <c r="F145" s="92"/>
      <c r="G145" s="296"/>
      <c r="H145" s="296"/>
      <c r="I145" s="296"/>
      <c r="J145" s="296"/>
      <c r="K145" s="93"/>
    </row>
    <row r="146" spans="2:11">
      <c r="B146" s="125"/>
      <c r="C146" s="296"/>
      <c r="D146" s="92"/>
      <c r="E146" s="92"/>
      <c r="F146" s="92"/>
      <c r="G146" s="92"/>
      <c r="H146" s="92"/>
      <c r="I146" s="92"/>
      <c r="J146" s="92"/>
      <c r="K146" s="93"/>
    </row>
    <row r="147" spans="2:11">
      <c r="B147" s="126" t="s">
        <v>12</v>
      </c>
      <c r="C147" s="395" t="s">
        <v>106</v>
      </c>
      <c r="D147" s="396"/>
      <c r="E147" s="124"/>
      <c r="F147" s="124"/>
      <c r="G147" s="124"/>
      <c r="H147" s="124"/>
      <c r="I147" s="124"/>
      <c r="J147" s="124"/>
      <c r="K147" s="127" t="s">
        <v>107</v>
      </c>
    </row>
  </sheetData>
  <sortState ref="Q7:Q54">
    <sortCondition descending="1" ref="Q7:Q54"/>
  </sortState>
  <mergeCells count="301"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28"/>
  <sheetViews>
    <sheetView workbookViewId="0">
      <selection activeCell="H16" sqref="H16:N16"/>
    </sheetView>
  </sheetViews>
  <sheetFormatPr defaultRowHeight="12.75"/>
  <cols>
    <col min="1" max="1" width="3" customWidth="1"/>
    <col min="2" max="2" width="3.375" customWidth="1"/>
    <col min="3" max="3" width="27.875" customWidth="1"/>
    <col min="4" max="4" width="6.875" customWidth="1"/>
    <col min="5" max="6" width="5.75" customWidth="1"/>
    <col min="7" max="7" width="8.75" customWidth="1"/>
    <col min="8" max="8" width="11" customWidth="1"/>
    <col min="9" max="10" width="8.75" customWidth="1"/>
    <col min="11" max="11" width="9.25" customWidth="1"/>
    <col min="12" max="12" width="8.75" customWidth="1"/>
    <col min="13" max="13" width="1.75" customWidth="1"/>
    <col min="14" max="14" width="0.375" customWidth="1"/>
    <col min="15" max="15" width="16.125" customWidth="1"/>
    <col min="16" max="16" width="11.75" customWidth="1"/>
    <col min="17" max="17" width="16.625" customWidth="1"/>
    <col min="18" max="18" width="14.75" customWidth="1"/>
    <col min="19" max="19" width="14.5" customWidth="1"/>
  </cols>
  <sheetData>
    <row r="1" spans="1:19" ht="81.75">
      <c r="A1" s="147"/>
      <c r="B1" s="147"/>
      <c r="C1" s="155" t="s">
        <v>20</v>
      </c>
      <c r="D1" s="147"/>
      <c r="E1" s="147"/>
      <c r="F1" s="147"/>
      <c r="G1" s="147"/>
      <c r="H1" s="150" t="s">
        <v>127</v>
      </c>
      <c r="I1" s="147"/>
      <c r="J1" s="147"/>
      <c r="K1" s="147"/>
      <c r="L1" s="147"/>
      <c r="M1" s="147"/>
      <c r="N1" s="147"/>
      <c r="O1" s="147"/>
      <c r="P1" s="156" t="s">
        <v>128</v>
      </c>
      <c r="Q1" s="147"/>
      <c r="R1" s="147"/>
      <c r="S1" s="147"/>
    </row>
    <row r="2" spans="1:19" ht="30" customHeight="1">
      <c r="A2" s="147"/>
      <c r="B2" s="147"/>
      <c r="C2" s="15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6"/>
      <c r="Q2" s="147"/>
      <c r="R2" s="147"/>
      <c r="S2" s="147"/>
    </row>
    <row r="3" spans="1:19" ht="27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56" t="s">
        <v>129</v>
      </c>
      <c r="Q3" s="147"/>
      <c r="R3" s="147"/>
      <c r="S3" s="147"/>
    </row>
    <row r="4" spans="1:19" ht="29.4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56"/>
      <c r="Q4" s="147"/>
      <c r="R4" s="147"/>
      <c r="S4" s="147"/>
    </row>
    <row r="5" spans="1:19" ht="25.15" customHeight="1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56" t="s">
        <v>130</v>
      </c>
      <c r="Q5" s="147"/>
      <c r="R5" s="147"/>
      <c r="S5" s="147"/>
    </row>
    <row r="6" spans="1:19" ht="20.45" customHeight="1" thickBot="1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58"/>
      <c r="R6" s="147"/>
      <c r="S6" s="147"/>
    </row>
    <row r="7" spans="1:19" ht="53.45" customHeight="1">
      <c r="A7" s="147"/>
      <c r="B7" s="400" t="s">
        <v>131</v>
      </c>
      <c r="C7" s="401"/>
      <c r="D7" s="401"/>
      <c r="E7" s="401"/>
      <c r="F7" s="401"/>
      <c r="G7" s="401"/>
      <c r="H7" s="401"/>
      <c r="I7" s="401"/>
      <c r="J7" s="401"/>
      <c r="K7" s="401"/>
      <c r="L7" s="401"/>
      <c r="M7" s="401"/>
      <c r="N7" s="401"/>
      <c r="O7" s="401"/>
      <c r="P7" s="401"/>
      <c r="Q7" s="401"/>
      <c r="R7" s="401"/>
      <c r="S7" s="402"/>
    </row>
    <row r="8" spans="1:19" ht="7.9" customHeight="1">
      <c r="A8" s="147"/>
      <c r="B8" s="159"/>
      <c r="C8" s="160"/>
      <c r="D8" s="160"/>
      <c r="E8" s="160"/>
      <c r="F8" s="160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58"/>
      <c r="S8" s="161"/>
    </row>
    <row r="9" spans="1:19" ht="33.6" customHeight="1">
      <c r="A9" s="150"/>
      <c r="B9" s="162"/>
      <c r="C9" s="150" t="s">
        <v>132</v>
      </c>
      <c r="D9" s="163" t="s">
        <v>133</v>
      </c>
      <c r="E9" s="163" t="s">
        <v>134</v>
      </c>
      <c r="F9" s="163" t="s">
        <v>135</v>
      </c>
      <c r="G9" s="163" t="s">
        <v>136</v>
      </c>
      <c r="H9" s="163" t="s">
        <v>137</v>
      </c>
      <c r="I9" s="163" t="s">
        <v>138</v>
      </c>
      <c r="J9" s="163" t="s">
        <v>139</v>
      </c>
      <c r="K9" s="163" t="s">
        <v>140</v>
      </c>
      <c r="L9" s="163" t="s">
        <v>141</v>
      </c>
      <c r="M9" s="150"/>
      <c r="N9" s="150"/>
      <c r="O9" s="150"/>
      <c r="P9" s="150" t="s">
        <v>142</v>
      </c>
      <c r="Q9" s="150"/>
      <c r="R9" s="163">
        <v>1</v>
      </c>
      <c r="S9" s="164">
        <v>2</v>
      </c>
    </row>
    <row r="10" spans="1:19" ht="13.15" customHeight="1">
      <c r="A10" s="147"/>
      <c r="B10" s="159"/>
      <c r="C10" s="160"/>
      <c r="D10" s="160"/>
      <c r="E10" s="160"/>
      <c r="F10" s="160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61"/>
    </row>
    <row r="11" spans="1:19" ht="10.15" customHeight="1">
      <c r="A11" s="147"/>
      <c r="B11" s="15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61"/>
    </row>
    <row r="12" spans="1:19" ht="14.45" customHeight="1" thickBot="1">
      <c r="A12" s="147"/>
      <c r="B12" s="165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7"/>
    </row>
    <row r="13" spans="1:19" ht="17.45" customHeight="1">
      <c r="A13" s="147"/>
      <c r="B13" s="403" t="s">
        <v>108</v>
      </c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404"/>
      <c r="Q13" s="404"/>
      <c r="R13" s="404"/>
      <c r="S13" s="405"/>
    </row>
    <row r="14" spans="1:19" ht="20.45" customHeight="1">
      <c r="A14" s="168"/>
      <c r="B14" s="406" t="s">
        <v>84</v>
      </c>
      <c r="C14" s="407"/>
      <c r="D14" s="408" t="s">
        <v>85</v>
      </c>
      <c r="E14" s="409"/>
      <c r="F14" s="408" t="s">
        <v>109</v>
      </c>
      <c r="G14" s="409"/>
      <c r="H14" s="408" t="s">
        <v>110</v>
      </c>
      <c r="I14" s="410"/>
      <c r="J14" s="410"/>
      <c r="K14" s="410"/>
      <c r="L14" s="410"/>
      <c r="M14" s="410"/>
      <c r="N14" s="409"/>
      <c r="O14" s="413" t="s">
        <v>111</v>
      </c>
      <c r="P14" s="413" t="s">
        <v>112</v>
      </c>
      <c r="Q14" s="413" t="s">
        <v>113</v>
      </c>
      <c r="R14" s="413" t="s">
        <v>114</v>
      </c>
      <c r="S14" s="411" t="s">
        <v>112</v>
      </c>
    </row>
    <row r="15" spans="1:19" ht="26.25" customHeight="1" thickBot="1">
      <c r="A15" s="168"/>
      <c r="B15" s="406"/>
      <c r="C15" s="407"/>
      <c r="D15" s="408"/>
      <c r="E15" s="409"/>
      <c r="F15" s="408"/>
      <c r="G15" s="409"/>
      <c r="H15" s="408"/>
      <c r="I15" s="410"/>
      <c r="J15" s="410"/>
      <c r="K15" s="410"/>
      <c r="L15" s="410"/>
      <c r="M15" s="410"/>
      <c r="N15" s="409"/>
      <c r="O15" s="415"/>
      <c r="P15" s="415"/>
      <c r="Q15" s="416"/>
      <c r="R15" s="414"/>
      <c r="S15" s="412"/>
    </row>
    <row r="16" spans="1:19" ht="77.25" customHeight="1">
      <c r="A16" s="168"/>
      <c r="B16" s="429" t="s">
        <v>115</v>
      </c>
      <c r="C16" s="128" t="s">
        <v>116</v>
      </c>
      <c r="D16" s="426"/>
      <c r="E16" s="426"/>
      <c r="F16" s="417"/>
      <c r="G16" s="417"/>
      <c r="H16" s="417"/>
      <c r="I16" s="417"/>
      <c r="J16" s="417"/>
      <c r="K16" s="417"/>
      <c r="L16" s="417"/>
      <c r="M16" s="417"/>
      <c r="N16" s="417"/>
      <c r="O16" s="129"/>
      <c r="P16" s="129"/>
      <c r="Q16" s="130"/>
      <c r="R16" s="131"/>
      <c r="S16" s="132"/>
    </row>
    <row r="17" spans="1:19" ht="64.150000000000006" customHeight="1">
      <c r="A17" s="168"/>
      <c r="B17" s="424"/>
      <c r="C17" s="133" t="s">
        <v>117</v>
      </c>
      <c r="D17" s="418"/>
      <c r="E17" s="418"/>
      <c r="F17" s="419"/>
      <c r="G17" s="419"/>
      <c r="H17" s="419"/>
      <c r="I17" s="419"/>
      <c r="J17" s="419"/>
      <c r="K17" s="419"/>
      <c r="L17" s="419"/>
      <c r="M17" s="419"/>
      <c r="N17" s="419"/>
      <c r="O17" s="134"/>
      <c r="P17" s="134"/>
      <c r="Q17" s="135"/>
      <c r="R17" s="136"/>
      <c r="S17" s="137"/>
    </row>
    <row r="18" spans="1:19" ht="132" customHeight="1" thickBot="1">
      <c r="A18" s="147"/>
      <c r="B18" s="425"/>
      <c r="C18" s="138" t="s">
        <v>118</v>
      </c>
      <c r="D18" s="420"/>
      <c r="E18" s="420"/>
      <c r="F18" s="421"/>
      <c r="G18" s="421"/>
      <c r="H18" s="422"/>
      <c r="I18" s="422"/>
      <c r="J18" s="422"/>
      <c r="K18" s="422"/>
      <c r="L18" s="422"/>
      <c r="M18" s="422"/>
      <c r="N18" s="422"/>
      <c r="O18" s="139"/>
      <c r="P18" s="139"/>
      <c r="Q18" s="139"/>
      <c r="R18" s="139"/>
      <c r="S18" s="140"/>
    </row>
    <row r="19" spans="1:19" ht="102" customHeight="1">
      <c r="A19" s="168"/>
      <c r="B19" s="424" t="s">
        <v>119</v>
      </c>
      <c r="C19" s="141" t="s">
        <v>120</v>
      </c>
      <c r="D19" s="426"/>
      <c r="E19" s="426"/>
      <c r="F19" s="417"/>
      <c r="G19" s="417"/>
      <c r="H19" s="427"/>
      <c r="I19" s="427"/>
      <c r="J19" s="427"/>
      <c r="K19" s="427"/>
      <c r="L19" s="427"/>
      <c r="M19" s="427"/>
      <c r="N19" s="427"/>
      <c r="O19" s="129"/>
      <c r="P19" s="129"/>
      <c r="Q19" s="130"/>
      <c r="R19" s="131"/>
      <c r="S19" s="132"/>
    </row>
    <row r="20" spans="1:19" ht="45" customHeight="1">
      <c r="A20" s="147"/>
      <c r="B20" s="424"/>
      <c r="C20" s="142" t="s">
        <v>121</v>
      </c>
      <c r="D20" s="418"/>
      <c r="E20" s="418"/>
      <c r="F20" s="419"/>
      <c r="G20" s="419"/>
      <c r="H20" s="428"/>
      <c r="I20" s="428"/>
      <c r="J20" s="428"/>
      <c r="K20" s="428"/>
      <c r="L20" s="428"/>
      <c r="M20" s="428"/>
      <c r="N20" s="428"/>
      <c r="O20" s="143"/>
      <c r="P20" s="143"/>
      <c r="Q20" s="143"/>
      <c r="R20" s="143"/>
      <c r="S20" s="144"/>
    </row>
    <row r="21" spans="1:19" ht="37.9" customHeight="1" thickBot="1">
      <c r="A21" s="147"/>
      <c r="B21" s="425"/>
      <c r="C21" s="145" t="s">
        <v>88</v>
      </c>
      <c r="D21" s="420"/>
      <c r="E21" s="420"/>
      <c r="F21" s="421"/>
      <c r="G21" s="421"/>
      <c r="H21" s="422"/>
      <c r="I21" s="422"/>
      <c r="J21" s="422"/>
      <c r="K21" s="422"/>
      <c r="L21" s="422"/>
      <c r="M21" s="422"/>
      <c r="N21" s="422"/>
      <c r="O21" s="139"/>
      <c r="P21" s="139"/>
      <c r="Q21" s="139"/>
      <c r="R21" s="139"/>
      <c r="S21" s="140"/>
    </row>
    <row r="22" spans="1:19" ht="24.95" customHeight="1">
      <c r="A22" s="147"/>
      <c r="B22" s="423" t="s">
        <v>98</v>
      </c>
      <c r="C22" s="423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7"/>
    </row>
    <row r="23" spans="1:19" ht="24.95" customHeight="1">
      <c r="A23" s="147"/>
      <c r="B23" s="147"/>
      <c r="C23" s="14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7"/>
    </row>
    <row r="24" spans="1:19" ht="14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</row>
    <row r="25" spans="1:19" ht="20.100000000000001" customHeight="1">
      <c r="A25" s="147"/>
      <c r="B25" s="149" t="s">
        <v>122</v>
      </c>
      <c r="C25" s="147"/>
      <c r="D25" s="147"/>
      <c r="E25" s="147"/>
      <c r="F25" s="147"/>
      <c r="G25" s="149"/>
      <c r="H25" s="149"/>
      <c r="I25" s="149"/>
      <c r="J25" s="149"/>
      <c r="K25" s="149"/>
      <c r="L25" s="149"/>
      <c r="M25" s="150" t="s">
        <v>123</v>
      </c>
      <c r="N25" s="149"/>
      <c r="O25" s="149"/>
      <c r="P25" s="147"/>
      <c r="Q25" s="147"/>
      <c r="R25" s="147"/>
      <c r="S25" s="147"/>
    </row>
    <row r="26" spans="1:19" ht="20.100000000000001" customHeight="1">
      <c r="A26" s="147"/>
      <c r="B26" s="149" t="s">
        <v>124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1:19" ht="13.9" customHeight="1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1:19" ht="13.15" customHeight="1">
      <c r="A28" s="151"/>
      <c r="B28" s="151"/>
      <c r="C28" s="152" t="s">
        <v>125</v>
      </c>
      <c r="D28" s="152"/>
      <c r="E28" s="152"/>
      <c r="F28" s="152"/>
      <c r="G28" s="153"/>
      <c r="H28" s="153"/>
      <c r="I28" s="153"/>
      <c r="J28" s="153"/>
      <c r="K28" s="153"/>
      <c r="L28" s="153"/>
      <c r="M28" s="153"/>
      <c r="N28" s="153"/>
      <c r="O28" s="153"/>
      <c r="P28" s="147"/>
      <c r="Q28" s="147"/>
      <c r="R28" s="147"/>
      <c r="S28" s="154" t="s">
        <v>126</v>
      </c>
    </row>
  </sheetData>
  <mergeCells count="32">
    <mergeCell ref="D21:E21"/>
    <mergeCell ref="F21:G21"/>
    <mergeCell ref="H21:N21"/>
    <mergeCell ref="B22:C22"/>
    <mergeCell ref="D18:E18"/>
    <mergeCell ref="F18:G18"/>
    <mergeCell ref="H18:N18"/>
    <mergeCell ref="B19:B21"/>
    <mergeCell ref="D19:E19"/>
    <mergeCell ref="F19:G19"/>
    <mergeCell ref="H19:N19"/>
    <mergeCell ref="D20:E20"/>
    <mergeCell ref="F20:G20"/>
    <mergeCell ref="H20:N20"/>
    <mergeCell ref="B16:B18"/>
    <mergeCell ref="D16:E16"/>
    <mergeCell ref="F16:G16"/>
    <mergeCell ref="H16:N16"/>
    <mergeCell ref="D17:E17"/>
    <mergeCell ref="F17:G17"/>
    <mergeCell ref="H17:N17"/>
    <mergeCell ref="B7:S7"/>
    <mergeCell ref="B13:S13"/>
    <mergeCell ref="B14:C15"/>
    <mergeCell ref="D14:E15"/>
    <mergeCell ref="F14:G15"/>
    <mergeCell ref="H14:N15"/>
    <mergeCell ref="S14:S15"/>
    <mergeCell ref="R14:R15"/>
    <mergeCell ref="O14:O15"/>
    <mergeCell ref="P14:P15"/>
    <mergeCell ref="Q14:Q15"/>
  </mergeCells>
  <printOptions horizontalCentered="1" verticalCentered="1"/>
  <pageMargins left="0" right="0.25" top="0" bottom="0.2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2"/>
  <sheetViews>
    <sheetView zoomScaleNormal="100" workbookViewId="0">
      <selection activeCell="P19" sqref="P19"/>
    </sheetView>
  </sheetViews>
  <sheetFormatPr defaultRowHeight="12.75"/>
  <cols>
    <col min="1" max="6" width="5.625" customWidth="1"/>
    <col min="7" max="7" width="13.25" bestFit="1" customWidth="1"/>
    <col min="8" max="8" width="11.5" customWidth="1"/>
    <col min="9" max="12" width="7.125" customWidth="1"/>
  </cols>
  <sheetData>
    <row r="1" spans="1:12" ht="59.25">
      <c r="A1" s="438" t="s">
        <v>20</v>
      </c>
      <c r="B1" s="358"/>
      <c r="C1" s="358"/>
    </row>
    <row r="2" spans="1:12" ht="25.15" customHeight="1">
      <c r="A2" s="439" t="s">
        <v>47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L2" s="439"/>
    </row>
    <row r="3" spans="1:12">
      <c r="A3" s="169"/>
      <c r="B3" s="170"/>
    </row>
    <row r="4" spans="1:12" ht="22.15" customHeight="1">
      <c r="A4" s="170"/>
      <c r="B4" s="170"/>
      <c r="F4" s="440" t="s">
        <v>143</v>
      </c>
      <c r="G4" s="441"/>
      <c r="H4" s="226" t="s">
        <v>250</v>
      </c>
      <c r="I4" s="94"/>
    </row>
    <row r="5" spans="1:12" ht="15.75" thickBot="1">
      <c r="A5" s="171"/>
      <c r="B5" s="172"/>
    </row>
    <row r="6" spans="1:12" ht="18.75">
      <c r="A6" s="442" t="s">
        <v>144</v>
      </c>
      <c r="B6" s="443"/>
      <c r="C6" s="443"/>
      <c r="D6" s="443"/>
      <c r="E6" s="443"/>
      <c r="F6" s="444"/>
      <c r="G6" s="442" t="s">
        <v>145</v>
      </c>
      <c r="H6" s="445"/>
      <c r="I6" s="445"/>
      <c r="J6" s="445"/>
      <c r="K6" s="445"/>
      <c r="L6" s="446"/>
    </row>
    <row r="7" spans="1:12" ht="48" customHeight="1">
      <c r="A7" s="430" t="s">
        <v>146</v>
      </c>
      <c r="B7" s="431"/>
      <c r="C7" s="432" t="s">
        <v>147</v>
      </c>
      <c r="D7" s="433"/>
      <c r="E7" s="432" t="s">
        <v>148</v>
      </c>
      <c r="F7" s="434"/>
      <c r="G7" s="173" t="s">
        <v>149</v>
      </c>
      <c r="H7" s="174" t="s">
        <v>150</v>
      </c>
      <c r="I7" s="435" t="s">
        <v>151</v>
      </c>
      <c r="J7" s="436"/>
      <c r="K7" s="436"/>
      <c r="L7" s="437"/>
    </row>
    <row r="8" spans="1:12" ht="25.15" customHeight="1">
      <c r="A8" s="447" t="str">
        <f>IF('10-08-01'!$B9="","",'10-08-01'!$B9)</f>
        <v/>
      </c>
      <c r="B8" s="448"/>
      <c r="C8" s="449" t="str">
        <f>IF(ISNA(INDEX(Schedule!$O:$O,MATCH($A8,Schedule!T:T,0))),"",INDEX(Schedule!$O:$O,MATCH($A8,Schedule!T:T,0)))</f>
        <v/>
      </c>
      <c r="D8" s="448"/>
      <c r="E8" s="449" t="str">
        <f>IF(ISNA(INDEX(Schedule!$V:$V,MATCH($A8,Schedule!T:T,0))),"",INDEX(Schedule!$V:$V,MATCH($A8,Schedule!T:T,0)))</f>
        <v/>
      </c>
      <c r="F8" s="448"/>
      <c r="G8" s="175"/>
      <c r="H8" s="176"/>
      <c r="I8" s="450"/>
      <c r="J8" s="450"/>
      <c r="K8" s="450"/>
      <c r="L8" s="451"/>
    </row>
    <row r="9" spans="1:12" ht="25.15" customHeight="1">
      <c r="A9" s="447" t="str">
        <f>IF('10-08-01'!$B10="","",'10-08-01'!$B10)</f>
        <v/>
      </c>
      <c r="B9" s="448"/>
      <c r="C9" s="449" t="str">
        <f>IF(ISNA(INDEX(Schedule!$O:$O,MATCH($A9,Schedule!T:T,0))),"",INDEX(Schedule!$O:$O,MATCH($A9,Schedule!T:T,0)))</f>
        <v/>
      </c>
      <c r="D9" s="448"/>
      <c r="E9" s="449" t="str">
        <f>IF(ISNA(INDEX(Schedule!$V:$V,MATCH($A9,Schedule!T:T,0))),"",INDEX(Schedule!$V:$V,MATCH($A9,Schedule!T:T,0)))</f>
        <v/>
      </c>
      <c r="F9" s="448"/>
      <c r="G9" s="177"/>
      <c r="H9" s="176"/>
      <c r="I9" s="450"/>
      <c r="J9" s="450"/>
      <c r="K9" s="450"/>
      <c r="L9" s="451"/>
    </row>
    <row r="10" spans="1:12" ht="25.15" customHeight="1">
      <c r="A10" s="447" t="str">
        <f>IF('10-08-01'!$B11="","",'10-08-01'!$B11)</f>
        <v/>
      </c>
      <c r="B10" s="448"/>
      <c r="C10" s="449" t="str">
        <f>IF(ISNA(INDEX(Schedule!$O:$O,MATCH($A10,Schedule!T:T,0))),"",INDEX(Schedule!$O:$O,MATCH($A10,Schedule!T:T,0)))</f>
        <v/>
      </c>
      <c r="D10" s="448"/>
      <c r="E10" s="449" t="str">
        <f>IF(ISNA(INDEX(Schedule!$V:$V,MATCH($A10,Schedule!T:T,0))),"",INDEX(Schedule!$V:$V,MATCH($A10,Schedule!T:T,0)))</f>
        <v/>
      </c>
      <c r="F10" s="448"/>
      <c r="G10" s="177"/>
      <c r="H10" s="176"/>
      <c r="I10" s="450"/>
      <c r="J10" s="450"/>
      <c r="K10" s="450"/>
      <c r="L10" s="451"/>
    </row>
    <row r="11" spans="1:12" ht="25.15" customHeight="1">
      <c r="A11" s="447" t="str">
        <f>IF('10-08-01'!$B12="","",'10-08-01'!$B12)</f>
        <v/>
      </c>
      <c r="B11" s="448"/>
      <c r="C11" s="449" t="str">
        <f>IF(ISNA(INDEX(Schedule!$O:$O,MATCH($A11,Schedule!T:T,0))),"",INDEX(Schedule!$O:$O,MATCH($A11,Schedule!T:T,0)))</f>
        <v/>
      </c>
      <c r="D11" s="448"/>
      <c r="E11" s="449" t="str">
        <f>IF(ISNA(INDEX(Schedule!$V:$V,MATCH($A11,Schedule!T:T,0))),"",INDEX(Schedule!$V:$V,MATCH($A11,Schedule!T:T,0)))</f>
        <v/>
      </c>
      <c r="F11" s="448"/>
      <c r="G11" s="177"/>
      <c r="H11" s="176"/>
      <c r="I11" s="452"/>
      <c r="J11" s="452"/>
      <c r="K11" s="452"/>
      <c r="L11" s="453"/>
    </row>
    <row r="12" spans="1:12" ht="25.15" customHeight="1">
      <c r="A12" s="447" t="str">
        <f>IF('10-08-01'!$B13="","",'10-08-01'!$B13)</f>
        <v/>
      </c>
      <c r="B12" s="448"/>
      <c r="C12" s="449" t="str">
        <f>IF(ISNA(INDEX(Schedule!$O:$O,MATCH($A12,Schedule!T:T,0))),"",INDEX(Schedule!$O:$O,MATCH($A12,Schedule!T:T,0)))</f>
        <v/>
      </c>
      <c r="D12" s="448"/>
      <c r="E12" s="449" t="str">
        <f>IF(ISNA(INDEX(Schedule!$V:$V,MATCH($A12,Schedule!T:T,0))),"",INDEX(Schedule!$V:$V,MATCH($A12,Schedule!T:T,0)))</f>
        <v/>
      </c>
      <c r="F12" s="448"/>
      <c r="G12" s="177"/>
      <c r="H12" s="176"/>
      <c r="I12" s="450"/>
      <c r="J12" s="450"/>
      <c r="K12" s="450"/>
      <c r="L12" s="451"/>
    </row>
    <row r="13" spans="1:12" ht="25.15" customHeight="1">
      <c r="A13" s="447" t="str">
        <f>IF('10-08-01'!$B14="","",'10-08-01'!$B14)</f>
        <v/>
      </c>
      <c r="B13" s="448"/>
      <c r="C13" s="449" t="str">
        <f>IF(ISNA(INDEX(Schedule!$O:$O,MATCH($A13,Schedule!T:T,0))),"",INDEX(Schedule!$O:$O,MATCH($A13,Schedule!T:T,0)))</f>
        <v/>
      </c>
      <c r="D13" s="448"/>
      <c r="E13" s="449" t="str">
        <f>IF(ISNA(INDEX(Schedule!$V:$V,MATCH($A13,Schedule!T:T,0))),"",INDEX(Schedule!$V:$V,MATCH($A13,Schedule!T:T,0)))</f>
        <v/>
      </c>
      <c r="F13" s="448"/>
      <c r="G13" s="177"/>
      <c r="H13" s="178"/>
      <c r="I13" s="450"/>
      <c r="J13" s="450"/>
      <c r="K13" s="450"/>
      <c r="L13" s="451"/>
    </row>
    <row r="14" spans="1:12" ht="25.15" customHeight="1">
      <c r="A14" s="447" t="str">
        <f>IF('10-08-01'!$B15="","",'10-08-01'!$B15)</f>
        <v/>
      </c>
      <c r="B14" s="448"/>
      <c r="C14" s="449" t="str">
        <f>IF(ISNA(INDEX(Schedule!$O:$O,MATCH($A14,Schedule!T:T,0))),"",INDEX(Schedule!$O:$O,MATCH($A14,Schedule!T:T,0)))</f>
        <v/>
      </c>
      <c r="D14" s="448"/>
      <c r="E14" s="449" t="str">
        <f>IF(ISNA(INDEX(Schedule!$V:$V,MATCH($A14,Schedule!T:T,0))),"",INDEX(Schedule!$V:$V,MATCH($A14,Schedule!T:T,0)))</f>
        <v/>
      </c>
      <c r="F14" s="448"/>
      <c r="G14" s="177"/>
      <c r="H14" s="176"/>
      <c r="I14" s="450"/>
      <c r="J14" s="450"/>
      <c r="K14" s="450"/>
      <c r="L14" s="451"/>
    </row>
    <row r="15" spans="1:12" ht="25.15" customHeight="1">
      <c r="A15" s="447" t="str">
        <f>IF('10-08-01'!$B16="","",'10-08-01'!$B16)</f>
        <v/>
      </c>
      <c r="B15" s="448"/>
      <c r="C15" s="449" t="str">
        <f>IF(ISNA(INDEX(Schedule!$O:$O,MATCH($A15,Schedule!T:T,0))),"",INDEX(Schedule!$O:$O,MATCH($A15,Schedule!T:T,0)))</f>
        <v/>
      </c>
      <c r="D15" s="448"/>
      <c r="E15" s="449" t="str">
        <f>IF(ISNA(INDEX(Schedule!$V:$V,MATCH($A15,Schedule!T:T,0))),"",INDEX(Schedule!$V:$V,MATCH($A15,Schedule!T:T,0)))</f>
        <v/>
      </c>
      <c r="F15" s="448"/>
      <c r="G15" s="177"/>
      <c r="H15" s="176"/>
      <c r="I15" s="450"/>
      <c r="J15" s="450"/>
      <c r="K15" s="450"/>
      <c r="L15" s="451"/>
    </row>
    <row r="16" spans="1:12" ht="25.15" customHeight="1">
      <c r="A16" s="447" t="str">
        <f>IF('10-08-01'!$B17="","",'10-08-01'!$B17)</f>
        <v/>
      </c>
      <c r="B16" s="448"/>
      <c r="C16" s="449" t="str">
        <f>IF(ISNA(INDEX(Schedule!$O:$O,MATCH($A16,Schedule!T:T,0))),"",INDEX(Schedule!$O:$O,MATCH($A16,Schedule!T:T,0)))</f>
        <v/>
      </c>
      <c r="D16" s="448"/>
      <c r="E16" s="449" t="str">
        <f>IF(ISNA(INDEX(Schedule!$V:$V,MATCH($A16,Schedule!T:T,0))),"",INDEX(Schedule!$V:$V,MATCH($A16,Schedule!T:T,0)))</f>
        <v/>
      </c>
      <c r="F16" s="448"/>
      <c r="G16" s="177"/>
      <c r="H16" s="176"/>
      <c r="I16" s="450"/>
      <c r="J16" s="450"/>
      <c r="K16" s="450"/>
      <c r="L16" s="451"/>
    </row>
    <row r="17" spans="1:12" ht="25.15" customHeight="1">
      <c r="A17" s="447" t="str">
        <f>IF('10-08-01'!$B18="","",'10-08-01'!$B18)</f>
        <v/>
      </c>
      <c r="B17" s="448"/>
      <c r="C17" s="449" t="str">
        <f>IF(ISNA(INDEX(Schedule!$O:$O,MATCH($A17,Schedule!T:T,0))),"",INDEX(Schedule!$O:$O,MATCH($A17,Schedule!T:T,0)))</f>
        <v/>
      </c>
      <c r="D17" s="448"/>
      <c r="E17" s="449" t="str">
        <f>IF(ISNA(INDEX(Schedule!$V:$V,MATCH($A17,Schedule!T:T,0))),"",INDEX(Schedule!$V:$V,MATCH($A17,Schedule!T:T,0)))</f>
        <v/>
      </c>
      <c r="F17" s="448"/>
      <c r="G17" s="177"/>
      <c r="H17" s="176"/>
      <c r="I17" s="450"/>
      <c r="J17" s="450"/>
      <c r="K17" s="450"/>
      <c r="L17" s="451"/>
    </row>
    <row r="18" spans="1:12" ht="25.15" customHeight="1">
      <c r="A18" s="447" t="str">
        <f>IF('10-08-01'!$H9="","",'10-08-01'!$H9)</f>
        <v/>
      </c>
      <c r="B18" s="448"/>
      <c r="C18" s="449" t="str">
        <f>IF(ISNA(INDEX(Schedule!$O:$O,MATCH($A18,Schedule!T:T,0))),"",INDEX(Schedule!$O:$O,MATCH($A18,Schedule!T:T,0)))</f>
        <v/>
      </c>
      <c r="D18" s="448"/>
      <c r="E18" s="449" t="str">
        <f>IF(ISNA(INDEX(Schedule!$V:$V,MATCH($A18,Schedule!T:T,0))),"",INDEX(Schedule!$V:$V,MATCH($A18,Schedule!T:T,0)))</f>
        <v/>
      </c>
      <c r="F18" s="448"/>
      <c r="G18" s="177"/>
      <c r="H18" s="176"/>
      <c r="I18" s="450"/>
      <c r="J18" s="450"/>
      <c r="K18" s="450"/>
      <c r="L18" s="451"/>
    </row>
    <row r="19" spans="1:12" ht="25.15" customHeight="1">
      <c r="A19" s="447" t="str">
        <f>IF('10-08-01'!$H10="","",'10-08-01'!$H10)</f>
        <v/>
      </c>
      <c r="B19" s="448"/>
      <c r="C19" s="449" t="str">
        <f>IF(ISNA(INDEX(Schedule!$O:$O,MATCH($A19,Schedule!T:T,0))),"",INDEX(Schedule!$O:$O,MATCH($A19,Schedule!T:T,0)))</f>
        <v/>
      </c>
      <c r="D19" s="448"/>
      <c r="E19" s="449" t="str">
        <f>IF(ISNA(INDEX(Schedule!$V:$V,MATCH($A19,Schedule!T:T,0))),"",INDEX(Schedule!$V:$V,MATCH($A19,Schedule!T:T,0)))</f>
        <v/>
      </c>
      <c r="F19" s="448"/>
      <c r="G19" s="177"/>
      <c r="H19" s="176"/>
      <c r="I19" s="450"/>
      <c r="J19" s="450"/>
      <c r="K19" s="450"/>
      <c r="L19" s="451"/>
    </row>
    <row r="20" spans="1:12" ht="25.15" customHeight="1">
      <c r="A20" s="447" t="str">
        <f>IF('10-08-01'!$H11="","",'10-08-01'!$H11)</f>
        <v/>
      </c>
      <c r="B20" s="448"/>
      <c r="C20" s="449" t="str">
        <f>IF(ISNA(INDEX(Schedule!$O:$O,MATCH($A20,Schedule!T:T,0))),"",INDEX(Schedule!$O:$O,MATCH($A20,Schedule!T:T,0)))</f>
        <v/>
      </c>
      <c r="D20" s="448"/>
      <c r="E20" s="449" t="str">
        <f>IF(ISNA(INDEX(Schedule!$V:$V,MATCH($A20,Schedule!T:T,0))),"",INDEX(Schedule!$V:$V,MATCH($A20,Schedule!T:T,0)))</f>
        <v/>
      </c>
      <c r="F20" s="448"/>
      <c r="G20" s="177"/>
      <c r="H20" s="176"/>
      <c r="I20" s="450"/>
      <c r="J20" s="450"/>
      <c r="K20" s="450"/>
      <c r="L20" s="451"/>
    </row>
    <row r="21" spans="1:12" ht="25.15" customHeight="1">
      <c r="A21" s="447" t="str">
        <f>IF('10-08-01'!$H12="","",'10-08-01'!$H12)</f>
        <v/>
      </c>
      <c r="B21" s="448"/>
      <c r="C21" s="449" t="str">
        <f>IF(ISNA(INDEX(Schedule!$O:$O,MATCH($A21,Schedule!T:T,0))),"",INDEX(Schedule!$O:$O,MATCH($A21,Schedule!T:T,0)))</f>
        <v/>
      </c>
      <c r="D21" s="448"/>
      <c r="E21" s="449" t="str">
        <f>IF(ISNA(INDEX(Schedule!$V:$V,MATCH($A21,Schedule!T:T,0))),"",INDEX(Schedule!$V:$V,MATCH($A21,Schedule!T:T,0)))</f>
        <v/>
      </c>
      <c r="F21" s="448"/>
      <c r="G21" s="177"/>
      <c r="H21" s="176"/>
      <c r="I21" s="450"/>
      <c r="J21" s="450"/>
      <c r="K21" s="450"/>
      <c r="L21" s="451"/>
    </row>
    <row r="22" spans="1:12" ht="25.15" customHeight="1">
      <c r="A22" s="447" t="str">
        <f>IF('10-08-01'!$H13="","",'10-08-01'!$H13)</f>
        <v/>
      </c>
      <c r="B22" s="448"/>
      <c r="C22" s="449" t="str">
        <f>IF(ISNA(INDEX(Schedule!$O:$O,MATCH($A22,Schedule!T:T,0))),"",INDEX(Schedule!$O:$O,MATCH($A22,Schedule!T:T,0)))</f>
        <v/>
      </c>
      <c r="D22" s="448"/>
      <c r="E22" s="449" t="str">
        <f>IF(ISNA(INDEX(Schedule!$V:$V,MATCH($A22,Schedule!T:T,0))),"",INDEX(Schedule!$V:$V,MATCH($A22,Schedule!T:T,0)))</f>
        <v/>
      </c>
      <c r="F22" s="448"/>
      <c r="G22" s="177"/>
      <c r="H22" s="176"/>
      <c r="I22" s="450"/>
      <c r="J22" s="450"/>
      <c r="K22" s="450"/>
      <c r="L22" s="451"/>
    </row>
    <row r="23" spans="1:12" ht="25.15" customHeight="1">
      <c r="A23" s="447" t="str">
        <f>IF('10-08-01'!$H14="","",'10-08-01'!$H14)</f>
        <v/>
      </c>
      <c r="B23" s="448"/>
      <c r="C23" s="449" t="str">
        <f>IF(ISNA(INDEX(Schedule!$O:$O,MATCH($A23,Schedule!T:T,0))),"",INDEX(Schedule!$O:$O,MATCH($A23,Schedule!T:T,0)))</f>
        <v/>
      </c>
      <c r="D23" s="448"/>
      <c r="E23" s="449" t="str">
        <f>IF(ISNA(INDEX(Schedule!$V:$V,MATCH($A23,Schedule!T:T,0))),"",INDEX(Schedule!$V:$V,MATCH($A23,Schedule!T:T,0)))</f>
        <v/>
      </c>
      <c r="F23" s="448"/>
      <c r="G23" s="177"/>
      <c r="H23" s="176"/>
      <c r="I23" s="450"/>
      <c r="J23" s="450"/>
      <c r="K23" s="450"/>
      <c r="L23" s="451"/>
    </row>
    <row r="24" spans="1:12" ht="25.15" customHeight="1">
      <c r="A24" s="447" t="str">
        <f>IF('10-08-01'!$H15="","",'10-08-01'!$H15)</f>
        <v/>
      </c>
      <c r="B24" s="448"/>
      <c r="C24" s="449" t="str">
        <f>IF(ISNA(INDEX(Schedule!$O:$O,MATCH($A24,Schedule!T:T,0))),"",INDEX(Schedule!$O:$O,MATCH($A24,Schedule!T:T,0)))</f>
        <v/>
      </c>
      <c r="D24" s="448"/>
      <c r="E24" s="449" t="str">
        <f>IF(ISNA(INDEX(Schedule!$V:$V,MATCH($A24,Schedule!T:T,0))),"",INDEX(Schedule!$V:$V,MATCH($A24,Schedule!T:T,0)))</f>
        <v/>
      </c>
      <c r="F24" s="448"/>
      <c r="G24" s="177"/>
      <c r="H24" s="176"/>
      <c r="I24" s="450"/>
      <c r="J24" s="450"/>
      <c r="K24" s="450"/>
      <c r="L24" s="451"/>
    </row>
    <row r="25" spans="1:12" ht="25.15" customHeight="1">
      <c r="A25" s="447" t="str">
        <f>IF('10-08-01'!$H16="","",'10-08-01'!$H16)</f>
        <v/>
      </c>
      <c r="B25" s="448"/>
      <c r="C25" s="449" t="str">
        <f>IF(ISNA(INDEX(Schedule!$O:$O,MATCH($A25,Schedule!T:T,0))),"",INDEX(Schedule!$O:$O,MATCH($A25,Schedule!T:T,0)))</f>
        <v/>
      </c>
      <c r="D25" s="448"/>
      <c r="E25" s="449" t="str">
        <f>IF(ISNA(INDEX(Schedule!$V:$V,MATCH($A25,Schedule!T:T,0))),"",INDEX(Schedule!$V:$V,MATCH($A25,Schedule!T:T,0)))</f>
        <v/>
      </c>
      <c r="F25" s="448"/>
      <c r="G25" s="177"/>
      <c r="H25" s="176"/>
      <c r="I25" s="450"/>
      <c r="J25" s="450"/>
      <c r="K25" s="450"/>
      <c r="L25" s="451"/>
    </row>
    <row r="26" spans="1:12" ht="25.15" customHeight="1">
      <c r="A26" s="447" t="str">
        <f>IF('10-08-01'!$H17="","",'10-08-01'!$H17)</f>
        <v/>
      </c>
      <c r="B26" s="448"/>
      <c r="C26" s="449" t="str">
        <f>IF(ISNA(INDEX(Schedule!$O:$O,MATCH($A26,Schedule!T:T,0))),"",INDEX(Schedule!$O:$O,MATCH($A26,Schedule!T:T,0)))</f>
        <v/>
      </c>
      <c r="D26" s="448"/>
      <c r="E26" s="449" t="str">
        <f>IF(ISNA(INDEX(Schedule!$V:$V,MATCH($A26,Schedule!T:T,0))),"",INDEX(Schedule!$V:$V,MATCH($A26,Schedule!T:T,0)))</f>
        <v/>
      </c>
      <c r="F26" s="448"/>
      <c r="G26" s="177"/>
      <c r="H26" s="176"/>
      <c r="I26" s="450"/>
      <c r="J26" s="450"/>
      <c r="K26" s="450"/>
      <c r="L26" s="451"/>
    </row>
    <row r="27" spans="1:12" ht="25.15" customHeight="1" thickBot="1">
      <c r="A27" s="447" t="str">
        <f>IF('10-08-01'!$H18="","",'10-08-01'!$H18)</f>
        <v/>
      </c>
      <c r="B27" s="448"/>
      <c r="C27" s="449" t="str">
        <f>IF(ISNA(INDEX(Schedule!$O:$O,MATCH($A27,Schedule!T:T,0))),"",INDEX(Schedule!$O:$O,MATCH($A27,Schedule!T:T,0)))</f>
        <v/>
      </c>
      <c r="D27" s="448"/>
      <c r="E27" s="449" t="str">
        <f>IF(ISNA(INDEX(Schedule!$V:$V,MATCH($A27,Schedule!T:T,0))),"",INDEX(Schedule!$V:$V,MATCH($A27,Schedule!T:T,0)))</f>
        <v/>
      </c>
      <c r="F27" s="448"/>
      <c r="G27" s="177"/>
      <c r="H27" s="179"/>
      <c r="I27" s="454"/>
      <c r="J27" s="454"/>
      <c r="K27" s="454"/>
      <c r="L27" s="455"/>
    </row>
    <row r="28" spans="1:12" ht="13.5" thickBot="1">
      <c r="A28" s="456"/>
      <c r="B28" s="457"/>
      <c r="C28" s="457"/>
      <c r="D28" s="457"/>
      <c r="E28" s="457"/>
      <c r="F28" s="457"/>
      <c r="G28" s="457"/>
      <c r="H28" s="457"/>
      <c r="I28" s="457"/>
      <c r="J28" s="457"/>
      <c r="K28" s="457"/>
      <c r="L28" s="458"/>
    </row>
    <row r="29" spans="1:12" ht="10.15" customHeight="1">
      <c r="A29" s="170"/>
      <c r="B29" s="170"/>
    </row>
    <row r="30" spans="1:12">
      <c r="A30" s="180" t="s">
        <v>12</v>
      </c>
      <c r="B30" s="181" t="s">
        <v>152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3" t="s">
        <v>153</v>
      </c>
    </row>
    <row r="31" spans="1:12" ht="10.15" customHeight="1">
      <c r="A31" s="180"/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3"/>
    </row>
    <row r="32" spans="1:12" ht="15">
      <c r="A32" s="459" t="s">
        <v>154</v>
      </c>
      <c r="B32" s="460"/>
      <c r="C32" s="461"/>
      <c r="D32" s="461"/>
      <c r="E32" s="461"/>
      <c r="F32" s="461"/>
      <c r="G32" s="461"/>
      <c r="H32" s="461"/>
    </row>
    <row r="33" spans="1:12">
      <c r="A33" s="170"/>
      <c r="B33" s="170"/>
      <c r="C33" s="462" t="s">
        <v>155</v>
      </c>
      <c r="D33" s="397"/>
      <c r="E33" s="397"/>
      <c r="F33" s="397"/>
      <c r="G33" s="397"/>
      <c r="H33" s="397"/>
    </row>
    <row r="34" spans="1:12">
      <c r="A34" s="184" t="s">
        <v>156</v>
      </c>
      <c r="B34" s="170"/>
    </row>
    <row r="35" spans="1:12" s="299" customFormat="1" ht="59.25">
      <c r="A35" s="438" t="s">
        <v>20</v>
      </c>
      <c r="B35" s="358"/>
      <c r="C35" s="358"/>
    </row>
    <row r="36" spans="1:12" s="299" customFormat="1" ht="25.15" customHeight="1">
      <c r="A36" s="439" t="s">
        <v>47</v>
      </c>
      <c r="B36" s="439"/>
      <c r="C36" s="439"/>
      <c r="D36" s="439"/>
      <c r="E36" s="439"/>
      <c r="F36" s="439"/>
      <c r="G36" s="439"/>
      <c r="H36" s="439"/>
      <c r="I36" s="439"/>
      <c r="J36" s="439"/>
      <c r="K36" s="439"/>
      <c r="L36" s="439"/>
    </row>
    <row r="37" spans="1:12" s="299" customFormat="1">
      <c r="A37" s="169"/>
      <c r="B37" s="300"/>
    </row>
    <row r="38" spans="1:12" s="299" customFormat="1" ht="22.15" customHeight="1">
      <c r="A38" s="300"/>
      <c r="B38" s="300"/>
      <c r="F38" s="440" t="s">
        <v>143</v>
      </c>
      <c r="G38" s="441"/>
      <c r="H38" s="226" t="s">
        <v>195</v>
      </c>
      <c r="I38" s="94"/>
    </row>
    <row r="39" spans="1:12" s="299" customFormat="1" ht="15.75" thickBot="1">
      <c r="A39" s="171"/>
      <c r="B39" s="172"/>
    </row>
    <row r="40" spans="1:12" s="299" customFormat="1" ht="18.75">
      <c r="A40" s="442" t="s">
        <v>144</v>
      </c>
      <c r="B40" s="443"/>
      <c r="C40" s="443"/>
      <c r="D40" s="443"/>
      <c r="E40" s="443"/>
      <c r="F40" s="444"/>
      <c r="G40" s="442" t="s">
        <v>145</v>
      </c>
      <c r="H40" s="445"/>
      <c r="I40" s="445"/>
      <c r="J40" s="445"/>
      <c r="K40" s="445"/>
      <c r="L40" s="446"/>
    </row>
    <row r="41" spans="1:12" s="299" customFormat="1" ht="48" customHeight="1">
      <c r="A41" s="430" t="s">
        <v>146</v>
      </c>
      <c r="B41" s="431"/>
      <c r="C41" s="432" t="s">
        <v>147</v>
      </c>
      <c r="D41" s="433"/>
      <c r="E41" s="432" t="s">
        <v>148</v>
      </c>
      <c r="F41" s="434"/>
      <c r="G41" s="173" t="s">
        <v>149</v>
      </c>
      <c r="H41" s="174" t="s">
        <v>150</v>
      </c>
      <c r="I41" s="435" t="s">
        <v>151</v>
      </c>
      <c r="J41" s="436"/>
      <c r="K41" s="436"/>
      <c r="L41" s="437"/>
    </row>
    <row r="42" spans="1:12" s="299" customFormat="1" ht="25.15" customHeight="1">
      <c r="A42" s="463" t="str">
        <f>IF('10-08-01'!$B58="","",'10-08-01'!$B58)</f>
        <v/>
      </c>
      <c r="B42" s="464"/>
      <c r="C42" s="449" t="str">
        <f>IF(ISNA(INDEX(Schedule!$O:$O,MATCH($A42,Schedule!T:T,0))),"",INDEX(Schedule!$O:$O,MATCH($A42,Schedule!T:T,0)))</f>
        <v/>
      </c>
      <c r="D42" s="448"/>
      <c r="E42" s="449" t="str">
        <f>IF(ISNA(INDEX(Schedule!$V:$V,MATCH($A42,Schedule!T:T,0))),"",INDEX(Schedule!$V:$V,MATCH($A42,Schedule!T:T,0)))</f>
        <v/>
      </c>
      <c r="F42" s="448"/>
      <c r="G42" s="175"/>
      <c r="H42" s="301"/>
      <c r="I42" s="450"/>
      <c r="J42" s="450"/>
      <c r="K42" s="450"/>
      <c r="L42" s="451"/>
    </row>
    <row r="43" spans="1:12" s="299" customFormat="1" ht="25.15" customHeight="1">
      <c r="A43" s="463" t="str">
        <f>IF('10-08-01'!$B59="","",'10-08-01'!$B59)</f>
        <v/>
      </c>
      <c r="B43" s="464"/>
      <c r="C43" s="449" t="str">
        <f>IF(ISNA(INDEX(Schedule!$O:$O,MATCH($A43,Schedule!T:T,0))),"",INDEX(Schedule!$O:$O,MATCH($A43,Schedule!T:T,0)))</f>
        <v/>
      </c>
      <c r="D43" s="448"/>
      <c r="E43" s="449" t="str">
        <f>IF(ISNA(INDEX(Schedule!$V:$V,MATCH($A43,Schedule!T:T,0))),"",INDEX(Schedule!$V:$V,MATCH($A43,Schedule!T:T,0)))</f>
        <v/>
      </c>
      <c r="F43" s="448"/>
      <c r="G43" s="177"/>
      <c r="H43" s="301"/>
      <c r="I43" s="450"/>
      <c r="J43" s="450"/>
      <c r="K43" s="450"/>
      <c r="L43" s="451"/>
    </row>
    <row r="44" spans="1:12" s="299" customFormat="1" ht="25.15" customHeight="1">
      <c r="A44" s="463" t="str">
        <f>IF('10-08-01'!$B60="","",'10-08-01'!$B60)</f>
        <v/>
      </c>
      <c r="B44" s="464"/>
      <c r="C44" s="449" t="str">
        <f>IF(ISNA(INDEX(Schedule!$O:$O,MATCH($A44,Schedule!T:T,0))),"",INDEX(Schedule!$O:$O,MATCH($A44,Schedule!T:T,0)))</f>
        <v/>
      </c>
      <c r="D44" s="448"/>
      <c r="E44" s="449" t="str">
        <f>IF(ISNA(INDEX(Schedule!$V:$V,MATCH($A44,Schedule!T:T,0))),"",INDEX(Schedule!$V:$V,MATCH($A44,Schedule!T:T,0)))</f>
        <v/>
      </c>
      <c r="F44" s="448"/>
      <c r="G44" s="177"/>
      <c r="H44" s="301"/>
      <c r="I44" s="450"/>
      <c r="J44" s="450"/>
      <c r="K44" s="450"/>
      <c r="L44" s="451"/>
    </row>
    <row r="45" spans="1:12" s="299" customFormat="1" ht="25.15" customHeight="1">
      <c r="A45" s="463" t="str">
        <f>IF('10-08-01'!$B61="","",'10-08-01'!$B61)</f>
        <v/>
      </c>
      <c r="B45" s="464"/>
      <c r="C45" s="449" t="str">
        <f>IF(ISNA(INDEX(Schedule!$O:$O,MATCH($A45,Schedule!T:T,0))),"",INDEX(Schedule!$O:$O,MATCH($A45,Schedule!T:T,0)))</f>
        <v/>
      </c>
      <c r="D45" s="448"/>
      <c r="E45" s="449" t="str">
        <f>IF(ISNA(INDEX(Schedule!$V:$V,MATCH($A45,Schedule!T:T,0))),"",INDEX(Schedule!$V:$V,MATCH($A45,Schedule!T:T,0)))</f>
        <v/>
      </c>
      <c r="F45" s="448"/>
      <c r="G45" s="177"/>
      <c r="H45" s="301"/>
      <c r="I45" s="452"/>
      <c r="J45" s="452"/>
      <c r="K45" s="452"/>
      <c r="L45" s="453"/>
    </row>
    <row r="46" spans="1:12" s="299" customFormat="1" ht="25.15" customHeight="1">
      <c r="A46" s="463" t="str">
        <f>IF('10-08-01'!$B62="","",'10-08-01'!$B62)</f>
        <v/>
      </c>
      <c r="B46" s="464"/>
      <c r="C46" s="449" t="str">
        <f>IF(ISNA(INDEX(Schedule!$O:$O,MATCH($A46,Schedule!T:T,0))),"",INDEX(Schedule!$O:$O,MATCH($A46,Schedule!T:T,0)))</f>
        <v/>
      </c>
      <c r="D46" s="448"/>
      <c r="E46" s="449" t="str">
        <f>IF(ISNA(INDEX(Schedule!$V:$V,MATCH($A46,Schedule!T:T,0))),"",INDEX(Schedule!$V:$V,MATCH($A46,Schedule!T:T,0)))</f>
        <v/>
      </c>
      <c r="F46" s="448"/>
      <c r="G46" s="177"/>
      <c r="H46" s="301"/>
      <c r="I46" s="450"/>
      <c r="J46" s="450"/>
      <c r="K46" s="450"/>
      <c r="L46" s="451"/>
    </row>
    <row r="47" spans="1:12" s="299" customFormat="1" ht="25.15" customHeight="1">
      <c r="A47" s="463" t="str">
        <f>IF('10-08-01'!$B63="","",'10-08-01'!$B63)</f>
        <v/>
      </c>
      <c r="B47" s="464"/>
      <c r="C47" s="449" t="str">
        <f>IF(ISNA(INDEX(Schedule!$O:$O,MATCH($A47,Schedule!T:T,0))),"",INDEX(Schedule!$O:$O,MATCH($A47,Schedule!T:T,0)))</f>
        <v/>
      </c>
      <c r="D47" s="448"/>
      <c r="E47" s="449" t="str">
        <f>IF(ISNA(INDEX(Schedule!$V:$V,MATCH($A47,Schedule!T:T,0))),"",INDEX(Schedule!$V:$V,MATCH($A47,Schedule!T:T,0)))</f>
        <v/>
      </c>
      <c r="F47" s="448"/>
      <c r="G47" s="177"/>
      <c r="H47" s="178"/>
      <c r="I47" s="450"/>
      <c r="J47" s="450"/>
      <c r="K47" s="450"/>
      <c r="L47" s="451"/>
    </row>
    <row r="48" spans="1:12" s="299" customFormat="1" ht="25.15" customHeight="1">
      <c r="A48" s="463" t="str">
        <f>IF('10-08-01'!$B64="","",'10-08-01'!$B64)</f>
        <v/>
      </c>
      <c r="B48" s="464"/>
      <c r="C48" s="449" t="str">
        <f>IF(ISNA(INDEX(Schedule!$O:$O,MATCH($A48,Schedule!T:T,0))),"",INDEX(Schedule!$O:$O,MATCH($A48,Schedule!T:T,0)))</f>
        <v/>
      </c>
      <c r="D48" s="448"/>
      <c r="E48" s="449" t="str">
        <f>IF(ISNA(INDEX(Schedule!$V:$V,MATCH($A48,Schedule!T:T,0))),"",INDEX(Schedule!$V:$V,MATCH($A48,Schedule!T:T,0)))</f>
        <v/>
      </c>
      <c r="F48" s="448"/>
      <c r="G48" s="177"/>
      <c r="H48" s="301"/>
      <c r="I48" s="450"/>
      <c r="J48" s="450"/>
      <c r="K48" s="450"/>
      <c r="L48" s="451"/>
    </row>
    <row r="49" spans="1:12" s="299" customFormat="1" ht="25.15" customHeight="1">
      <c r="A49" s="463" t="str">
        <f>IF('10-08-01'!$B65="","",'10-08-01'!$B65)</f>
        <v/>
      </c>
      <c r="B49" s="464"/>
      <c r="C49" s="449" t="str">
        <f>IF(ISNA(INDEX(Schedule!$O:$O,MATCH($A49,Schedule!T:T,0))),"",INDEX(Schedule!$O:$O,MATCH($A49,Schedule!T:T,0)))</f>
        <v/>
      </c>
      <c r="D49" s="448"/>
      <c r="E49" s="449" t="str">
        <f>IF(ISNA(INDEX(Schedule!$V:$V,MATCH($A49,Schedule!T:T,0))),"",INDEX(Schedule!$V:$V,MATCH($A49,Schedule!T:T,0)))</f>
        <v/>
      </c>
      <c r="F49" s="448"/>
      <c r="G49" s="177"/>
      <c r="H49" s="301"/>
      <c r="I49" s="450"/>
      <c r="J49" s="450"/>
      <c r="K49" s="450"/>
      <c r="L49" s="451"/>
    </row>
    <row r="50" spans="1:12" s="299" customFormat="1" ht="25.15" customHeight="1">
      <c r="A50" s="463" t="str">
        <f>IF('10-08-01'!$B66="","",'10-08-01'!$B66)</f>
        <v/>
      </c>
      <c r="B50" s="464"/>
      <c r="C50" s="449" t="str">
        <f>IF(ISNA(INDEX(Schedule!$O:$O,MATCH($A50,Schedule!T:T,0))),"",INDEX(Schedule!$O:$O,MATCH($A50,Schedule!T:T,0)))</f>
        <v/>
      </c>
      <c r="D50" s="448"/>
      <c r="E50" s="449" t="str">
        <f>IF(ISNA(INDEX(Schedule!$V:$V,MATCH($A50,Schedule!T:T,0))),"",INDEX(Schedule!$V:$V,MATCH($A50,Schedule!T:T,0)))</f>
        <v/>
      </c>
      <c r="F50" s="448"/>
      <c r="G50" s="177"/>
      <c r="H50" s="301"/>
      <c r="I50" s="450"/>
      <c r="J50" s="450"/>
      <c r="K50" s="450"/>
      <c r="L50" s="451"/>
    </row>
    <row r="51" spans="1:12" s="299" customFormat="1" ht="25.15" customHeight="1">
      <c r="A51" s="463" t="str">
        <f>IF('10-08-01'!$B67="","",'10-08-01'!$B67)</f>
        <v/>
      </c>
      <c r="B51" s="464"/>
      <c r="C51" s="449" t="str">
        <f>IF(ISNA(INDEX(Schedule!$O:$O,MATCH($A51,Schedule!T:T,0))),"",INDEX(Schedule!$O:$O,MATCH($A51,Schedule!T:T,0)))</f>
        <v/>
      </c>
      <c r="D51" s="448"/>
      <c r="E51" s="449" t="str">
        <f>IF(ISNA(INDEX(Schedule!$V:$V,MATCH($A51,Schedule!T:T,0))),"",INDEX(Schedule!$V:$V,MATCH($A51,Schedule!T:T,0)))</f>
        <v/>
      </c>
      <c r="F51" s="448"/>
      <c r="G51" s="177"/>
      <c r="H51" s="301"/>
      <c r="I51" s="450"/>
      <c r="J51" s="450"/>
      <c r="K51" s="450"/>
      <c r="L51" s="451"/>
    </row>
    <row r="52" spans="1:12" s="299" customFormat="1" ht="25.15" customHeight="1">
      <c r="A52" s="463" t="str">
        <f>IF('10-08-01'!$H58="","",'10-08-01'!$H58)</f>
        <v/>
      </c>
      <c r="B52" s="464"/>
      <c r="C52" s="449" t="str">
        <f>IF(ISNA(INDEX(Schedule!$O:$O,MATCH($A52,Schedule!T:T,0))),"",INDEX(Schedule!$O:$O,MATCH($A52,Schedule!T:T,0)))</f>
        <v/>
      </c>
      <c r="D52" s="448"/>
      <c r="E52" s="449" t="str">
        <f>IF(ISNA(INDEX(Schedule!$V:$V,MATCH($A52,Schedule!T:T,0))),"",INDEX(Schedule!$V:$V,MATCH($A52,Schedule!T:T,0)))</f>
        <v/>
      </c>
      <c r="F52" s="448"/>
      <c r="G52" s="177"/>
      <c r="H52" s="301"/>
      <c r="I52" s="450"/>
      <c r="J52" s="450"/>
      <c r="K52" s="450"/>
      <c r="L52" s="451"/>
    </row>
    <row r="53" spans="1:12" s="299" customFormat="1" ht="25.15" customHeight="1">
      <c r="A53" s="463" t="str">
        <f>IF('10-08-01'!$H59="","",'10-08-01'!$H59)</f>
        <v/>
      </c>
      <c r="B53" s="464"/>
      <c r="C53" s="449" t="str">
        <f>IF(ISNA(INDEX(Schedule!$O:$O,MATCH($A53,Schedule!T:T,0))),"",INDEX(Schedule!$O:$O,MATCH($A53,Schedule!T:T,0)))</f>
        <v/>
      </c>
      <c r="D53" s="448"/>
      <c r="E53" s="449" t="str">
        <f>IF(ISNA(INDEX(Schedule!$V:$V,MATCH($A53,Schedule!T:T,0))),"",INDEX(Schedule!$V:$V,MATCH($A53,Schedule!T:T,0)))</f>
        <v/>
      </c>
      <c r="F53" s="448"/>
      <c r="G53" s="177"/>
      <c r="H53" s="301"/>
      <c r="I53" s="450"/>
      <c r="J53" s="450"/>
      <c r="K53" s="450"/>
      <c r="L53" s="451"/>
    </row>
    <row r="54" spans="1:12" s="299" customFormat="1" ht="25.15" customHeight="1">
      <c r="A54" s="463" t="str">
        <f>IF('10-08-01'!$H60="","",'10-08-01'!$H60)</f>
        <v/>
      </c>
      <c r="B54" s="464"/>
      <c r="C54" s="449" t="str">
        <f>IF(ISNA(INDEX(Schedule!$O:$O,MATCH($A54,Schedule!T:T,0))),"",INDEX(Schedule!$O:$O,MATCH($A54,Schedule!T:T,0)))</f>
        <v/>
      </c>
      <c r="D54" s="448"/>
      <c r="E54" s="449" t="str">
        <f>IF(ISNA(INDEX(Schedule!$V:$V,MATCH($A54,Schedule!T:T,0))),"",INDEX(Schedule!$V:$V,MATCH($A54,Schedule!T:T,0)))</f>
        <v/>
      </c>
      <c r="F54" s="448"/>
      <c r="G54" s="177"/>
      <c r="H54" s="301"/>
      <c r="I54" s="450"/>
      <c r="J54" s="450"/>
      <c r="K54" s="450"/>
      <c r="L54" s="451"/>
    </row>
    <row r="55" spans="1:12" s="299" customFormat="1" ht="25.15" customHeight="1">
      <c r="A55" s="463" t="str">
        <f>IF('10-08-01'!$H61="","",'10-08-01'!$H61)</f>
        <v/>
      </c>
      <c r="B55" s="464"/>
      <c r="C55" s="449" t="str">
        <f>IF(ISNA(INDEX(Schedule!$O:$O,MATCH($A55,Schedule!T:T,0))),"",INDEX(Schedule!$O:$O,MATCH($A55,Schedule!T:T,0)))</f>
        <v/>
      </c>
      <c r="D55" s="448"/>
      <c r="E55" s="449" t="str">
        <f>IF(ISNA(INDEX(Schedule!$V:$V,MATCH($A55,Schedule!T:T,0))),"",INDEX(Schedule!$V:$V,MATCH($A55,Schedule!T:T,0)))</f>
        <v/>
      </c>
      <c r="F55" s="448"/>
      <c r="G55" s="177"/>
      <c r="H55" s="301"/>
      <c r="I55" s="450"/>
      <c r="J55" s="450"/>
      <c r="K55" s="450"/>
      <c r="L55" s="451"/>
    </row>
    <row r="56" spans="1:12" s="299" customFormat="1" ht="25.15" customHeight="1">
      <c r="A56" s="463" t="str">
        <f>IF('10-08-01'!$H62="","",'10-08-01'!$H62)</f>
        <v/>
      </c>
      <c r="B56" s="464"/>
      <c r="C56" s="449" t="str">
        <f>IF(ISNA(INDEX(Schedule!$O:$O,MATCH($A56,Schedule!T:T,0))),"",INDEX(Schedule!$O:$O,MATCH($A56,Schedule!T:T,0)))</f>
        <v/>
      </c>
      <c r="D56" s="448"/>
      <c r="E56" s="449" t="str">
        <f>IF(ISNA(INDEX(Schedule!$V:$V,MATCH($A56,Schedule!T:T,0))),"",INDEX(Schedule!$V:$V,MATCH($A56,Schedule!T:T,0)))</f>
        <v/>
      </c>
      <c r="F56" s="448"/>
      <c r="G56" s="177"/>
      <c r="H56" s="301"/>
      <c r="I56" s="450"/>
      <c r="J56" s="450"/>
      <c r="K56" s="450"/>
      <c r="L56" s="451"/>
    </row>
    <row r="57" spans="1:12" s="299" customFormat="1" ht="25.15" customHeight="1">
      <c r="A57" s="463" t="str">
        <f>IF('10-08-01'!$H63="","",'10-08-01'!$H63)</f>
        <v/>
      </c>
      <c r="B57" s="464"/>
      <c r="C57" s="449" t="str">
        <f>IF(ISNA(INDEX(Schedule!$O:$O,MATCH($A57,Schedule!T:T,0))),"",INDEX(Schedule!$O:$O,MATCH($A57,Schedule!T:T,0)))</f>
        <v/>
      </c>
      <c r="D57" s="448"/>
      <c r="E57" s="449" t="str">
        <f>IF(ISNA(INDEX(Schedule!$V:$V,MATCH($A57,Schedule!T:T,0))),"",INDEX(Schedule!$V:$V,MATCH($A57,Schedule!T:T,0)))</f>
        <v/>
      </c>
      <c r="F57" s="448"/>
      <c r="G57" s="177"/>
      <c r="H57" s="301"/>
      <c r="I57" s="450"/>
      <c r="J57" s="450"/>
      <c r="K57" s="450"/>
      <c r="L57" s="451"/>
    </row>
    <row r="58" spans="1:12" s="299" customFormat="1" ht="25.15" customHeight="1">
      <c r="A58" s="463" t="str">
        <f>IF('10-08-01'!$H64="","",'10-08-01'!$H64)</f>
        <v/>
      </c>
      <c r="B58" s="464"/>
      <c r="C58" s="449" t="str">
        <f>IF(ISNA(INDEX(Schedule!$O:$O,MATCH($A58,Schedule!T:T,0))),"",INDEX(Schedule!$O:$O,MATCH($A58,Schedule!T:T,0)))</f>
        <v/>
      </c>
      <c r="D58" s="448"/>
      <c r="E58" s="449" t="str">
        <f>IF(ISNA(INDEX(Schedule!$V:$V,MATCH($A58,Schedule!T:T,0))),"",INDEX(Schedule!$V:$V,MATCH($A58,Schedule!T:T,0)))</f>
        <v/>
      </c>
      <c r="F58" s="448"/>
      <c r="G58" s="177"/>
      <c r="H58" s="301"/>
      <c r="I58" s="450"/>
      <c r="J58" s="450"/>
      <c r="K58" s="450"/>
      <c r="L58" s="451"/>
    </row>
    <row r="59" spans="1:12" s="299" customFormat="1" ht="25.15" customHeight="1">
      <c r="A59" s="463" t="str">
        <f>IF('10-08-01'!$H65="","",'10-08-01'!$H65)</f>
        <v/>
      </c>
      <c r="B59" s="464"/>
      <c r="C59" s="449" t="str">
        <f>IF(ISNA(INDEX(Schedule!$O:$O,MATCH($A59,Schedule!T:T,0))),"",INDEX(Schedule!$O:$O,MATCH($A59,Schedule!T:T,0)))</f>
        <v/>
      </c>
      <c r="D59" s="448"/>
      <c r="E59" s="449" t="str">
        <f>IF(ISNA(INDEX(Schedule!$V:$V,MATCH($A59,Schedule!T:T,0))),"",INDEX(Schedule!$V:$V,MATCH($A59,Schedule!T:T,0)))</f>
        <v/>
      </c>
      <c r="F59" s="448"/>
      <c r="G59" s="177"/>
      <c r="H59" s="301"/>
      <c r="I59" s="450"/>
      <c r="J59" s="450"/>
      <c r="K59" s="450"/>
      <c r="L59" s="451"/>
    </row>
    <row r="60" spans="1:12" s="299" customFormat="1" ht="25.15" customHeight="1">
      <c r="A60" s="463" t="str">
        <f>IF('10-08-01'!$H66="","",'10-08-01'!$H66)</f>
        <v/>
      </c>
      <c r="B60" s="464"/>
      <c r="C60" s="449" t="str">
        <f>IF(ISNA(INDEX(Schedule!$O:$O,MATCH($A60,Schedule!T:T,0))),"",INDEX(Schedule!$O:$O,MATCH($A60,Schedule!T:T,0)))</f>
        <v/>
      </c>
      <c r="D60" s="448"/>
      <c r="E60" s="449" t="str">
        <f>IF(ISNA(INDEX(Schedule!$V:$V,MATCH($A60,Schedule!T:T,0))),"",INDEX(Schedule!$V:$V,MATCH($A60,Schedule!T:T,0)))</f>
        <v/>
      </c>
      <c r="F60" s="448"/>
      <c r="G60" s="177"/>
      <c r="H60" s="301"/>
      <c r="I60" s="450"/>
      <c r="J60" s="450"/>
      <c r="K60" s="450"/>
      <c r="L60" s="451"/>
    </row>
    <row r="61" spans="1:12" s="299" customFormat="1" ht="25.15" customHeight="1" thickBot="1">
      <c r="A61" s="463" t="str">
        <f>IF('10-08-01'!$H67="","",'10-08-01'!$H67)</f>
        <v/>
      </c>
      <c r="B61" s="464"/>
      <c r="C61" s="449" t="str">
        <f>IF(ISNA(INDEX(Schedule!$O:$O,MATCH($A61,Schedule!T:T,0))),"",INDEX(Schedule!$O:$O,MATCH($A61,Schedule!T:T,0)))</f>
        <v/>
      </c>
      <c r="D61" s="448"/>
      <c r="E61" s="449" t="str">
        <f>IF(ISNA(INDEX(Schedule!$V:$V,MATCH($A61,Schedule!T:T,0))),"",INDEX(Schedule!$V:$V,MATCH($A61,Schedule!T:T,0)))</f>
        <v/>
      </c>
      <c r="F61" s="448"/>
      <c r="G61" s="177"/>
      <c r="H61" s="302"/>
      <c r="I61" s="454"/>
      <c r="J61" s="454"/>
      <c r="K61" s="454"/>
      <c r="L61" s="455"/>
    </row>
    <row r="62" spans="1:12" s="299" customFormat="1" ht="13.5" thickBot="1">
      <c r="A62" s="456"/>
      <c r="B62" s="457"/>
      <c r="C62" s="457"/>
      <c r="D62" s="457"/>
      <c r="E62" s="457"/>
      <c r="F62" s="457"/>
      <c r="G62" s="457"/>
      <c r="H62" s="457"/>
      <c r="I62" s="457"/>
      <c r="J62" s="457"/>
      <c r="K62" s="457"/>
      <c r="L62" s="458"/>
    </row>
    <row r="63" spans="1:12" s="299" customFormat="1" ht="10.15" customHeight="1">
      <c r="A63" s="300"/>
      <c r="B63" s="300"/>
    </row>
    <row r="64" spans="1:12" s="299" customFormat="1">
      <c r="A64" s="180" t="s">
        <v>12</v>
      </c>
      <c r="B64" s="181" t="s">
        <v>152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3" t="s">
        <v>153</v>
      </c>
    </row>
    <row r="65" spans="1:12" s="299" customFormat="1" ht="10.15" customHeight="1">
      <c r="A65" s="180"/>
      <c r="B65" s="180"/>
      <c r="C65" s="182"/>
      <c r="D65" s="182"/>
      <c r="E65" s="182"/>
      <c r="F65" s="182"/>
      <c r="G65" s="182"/>
      <c r="H65" s="182"/>
      <c r="I65" s="182"/>
      <c r="J65" s="182"/>
      <c r="K65" s="182"/>
      <c r="L65" s="183"/>
    </row>
    <row r="66" spans="1:12" s="299" customFormat="1" ht="15">
      <c r="A66" s="459" t="s">
        <v>154</v>
      </c>
      <c r="B66" s="460"/>
      <c r="C66" s="461"/>
      <c r="D66" s="461"/>
      <c r="E66" s="461"/>
      <c r="F66" s="461"/>
      <c r="G66" s="461"/>
      <c r="H66" s="461"/>
    </row>
    <row r="67" spans="1:12" s="299" customFormat="1">
      <c r="A67" s="300"/>
      <c r="B67" s="300"/>
      <c r="C67" s="462" t="s">
        <v>155</v>
      </c>
      <c r="D67" s="397"/>
      <c r="E67" s="397"/>
      <c r="F67" s="397"/>
      <c r="G67" s="397"/>
      <c r="H67" s="397"/>
    </row>
    <row r="68" spans="1:12" s="299" customFormat="1">
      <c r="A68" s="184" t="s">
        <v>156</v>
      </c>
      <c r="B68" s="300"/>
    </row>
    <row r="69" spans="1:12" s="299" customFormat="1" ht="59.25">
      <c r="A69" s="438" t="s">
        <v>20</v>
      </c>
      <c r="B69" s="358"/>
      <c r="C69" s="358"/>
    </row>
    <row r="70" spans="1:12" s="299" customFormat="1" ht="25.15" customHeight="1">
      <c r="A70" s="439" t="s">
        <v>47</v>
      </c>
      <c r="B70" s="439"/>
      <c r="C70" s="439"/>
      <c r="D70" s="439"/>
      <c r="E70" s="439"/>
      <c r="F70" s="439"/>
      <c r="G70" s="439"/>
      <c r="H70" s="439"/>
      <c r="I70" s="439"/>
      <c r="J70" s="439"/>
      <c r="K70" s="439"/>
      <c r="L70" s="439"/>
    </row>
    <row r="71" spans="1:12" s="299" customFormat="1">
      <c r="A71" s="169"/>
      <c r="B71" s="300"/>
    </row>
    <row r="72" spans="1:12" s="299" customFormat="1" ht="22.15" customHeight="1">
      <c r="A72" s="300"/>
      <c r="B72" s="300"/>
      <c r="F72" s="440" t="s">
        <v>143</v>
      </c>
      <c r="G72" s="441"/>
      <c r="H72" s="226" t="s">
        <v>195</v>
      </c>
      <c r="I72" s="94"/>
    </row>
    <row r="73" spans="1:12" s="299" customFormat="1" ht="15.75" thickBot="1">
      <c r="A73" s="171"/>
      <c r="B73" s="172"/>
    </row>
    <row r="74" spans="1:12" s="299" customFormat="1" ht="18.75">
      <c r="A74" s="442" t="s">
        <v>144</v>
      </c>
      <c r="B74" s="443"/>
      <c r="C74" s="443"/>
      <c r="D74" s="443"/>
      <c r="E74" s="443"/>
      <c r="F74" s="444"/>
      <c r="G74" s="442" t="s">
        <v>145</v>
      </c>
      <c r="H74" s="445"/>
      <c r="I74" s="445"/>
      <c r="J74" s="445"/>
      <c r="K74" s="445"/>
      <c r="L74" s="446"/>
    </row>
    <row r="75" spans="1:12" s="299" customFormat="1" ht="48" customHeight="1">
      <c r="A75" s="430" t="s">
        <v>146</v>
      </c>
      <c r="B75" s="431"/>
      <c r="C75" s="432" t="s">
        <v>147</v>
      </c>
      <c r="D75" s="433"/>
      <c r="E75" s="432" t="s">
        <v>148</v>
      </c>
      <c r="F75" s="434"/>
      <c r="G75" s="173" t="s">
        <v>149</v>
      </c>
      <c r="H75" s="174" t="s">
        <v>150</v>
      </c>
      <c r="I75" s="435" t="s">
        <v>151</v>
      </c>
      <c r="J75" s="436"/>
      <c r="K75" s="436"/>
      <c r="L75" s="437"/>
    </row>
    <row r="76" spans="1:12" s="299" customFormat="1" ht="25.15" customHeight="1">
      <c r="A76" s="463" t="str">
        <f>IF('10-08-01'!$B107="","",'10-08-01'!$B107)</f>
        <v/>
      </c>
      <c r="B76" s="464"/>
      <c r="C76" s="449" t="str">
        <f>IF(ISNA(INDEX(Schedule!$O:$O,MATCH($A76,Schedule!T:T,0))),"",INDEX(Schedule!$O:$O,MATCH($A76,Schedule!T:T,0)))</f>
        <v/>
      </c>
      <c r="D76" s="448"/>
      <c r="E76" s="449" t="str">
        <f>IF(ISNA(INDEX(Schedule!$V:$V,MATCH($A76,Schedule!T:T,0))),"",INDEX(Schedule!$V:$V,MATCH($A76,Schedule!T:T,0)))</f>
        <v/>
      </c>
      <c r="F76" s="448"/>
      <c r="G76" s="175"/>
      <c r="H76" s="301"/>
      <c r="I76" s="450"/>
      <c r="J76" s="450"/>
      <c r="K76" s="450"/>
      <c r="L76" s="451"/>
    </row>
    <row r="77" spans="1:12" s="299" customFormat="1" ht="25.15" customHeight="1">
      <c r="A77" s="463" t="str">
        <f>IF('10-08-01'!$B108="","",'10-08-01'!$B108)</f>
        <v/>
      </c>
      <c r="B77" s="464"/>
      <c r="C77" s="449" t="str">
        <f>IF(ISNA(INDEX(Schedule!$O:$O,MATCH($A77,Schedule!T:T,0))),"",INDEX(Schedule!$O:$O,MATCH($A77,Schedule!T:T,0)))</f>
        <v/>
      </c>
      <c r="D77" s="448"/>
      <c r="E77" s="449" t="str">
        <f>IF(ISNA(INDEX(Schedule!$V:$V,MATCH($A77,Schedule!T:T,0))),"",INDEX(Schedule!$V:$V,MATCH($A77,Schedule!T:T,0)))</f>
        <v/>
      </c>
      <c r="F77" s="448"/>
      <c r="G77" s="177"/>
      <c r="H77" s="301"/>
      <c r="I77" s="450"/>
      <c r="J77" s="450"/>
      <c r="K77" s="450"/>
      <c r="L77" s="451"/>
    </row>
    <row r="78" spans="1:12" s="299" customFormat="1" ht="25.15" customHeight="1">
      <c r="A78" s="463" t="str">
        <f>IF('10-08-01'!$B109="","",'10-08-01'!$B109)</f>
        <v/>
      </c>
      <c r="B78" s="464"/>
      <c r="C78" s="449" t="str">
        <f>IF(ISNA(INDEX(Schedule!$O:$O,MATCH($A78,Schedule!T:T,0))),"",INDEX(Schedule!$O:$O,MATCH($A78,Schedule!T:T,0)))</f>
        <v/>
      </c>
      <c r="D78" s="448"/>
      <c r="E78" s="449" t="str">
        <f>IF(ISNA(INDEX(Schedule!$V:$V,MATCH($A78,Schedule!T:T,0))),"",INDEX(Schedule!$V:$V,MATCH($A78,Schedule!T:T,0)))</f>
        <v/>
      </c>
      <c r="F78" s="448"/>
      <c r="G78" s="177"/>
      <c r="H78" s="301"/>
      <c r="I78" s="450"/>
      <c r="J78" s="450"/>
      <c r="K78" s="450"/>
      <c r="L78" s="451"/>
    </row>
    <row r="79" spans="1:12" s="299" customFormat="1" ht="25.15" customHeight="1">
      <c r="A79" s="463" t="str">
        <f>IF('10-08-01'!$B110="","",'10-08-01'!$B110)</f>
        <v/>
      </c>
      <c r="B79" s="464"/>
      <c r="C79" s="449" t="str">
        <f>IF(ISNA(INDEX(Schedule!$O:$O,MATCH($A79,Schedule!T:T,0))),"",INDEX(Schedule!$O:$O,MATCH($A79,Schedule!T:T,0)))</f>
        <v/>
      </c>
      <c r="D79" s="448"/>
      <c r="E79" s="449" t="str">
        <f>IF(ISNA(INDEX(Schedule!$V:$V,MATCH($A79,Schedule!T:T,0))),"",INDEX(Schedule!$V:$V,MATCH($A79,Schedule!T:T,0)))</f>
        <v/>
      </c>
      <c r="F79" s="448"/>
      <c r="G79" s="177"/>
      <c r="H79" s="301"/>
      <c r="I79" s="452"/>
      <c r="J79" s="452"/>
      <c r="K79" s="452"/>
      <c r="L79" s="453"/>
    </row>
    <row r="80" spans="1:12" s="299" customFormat="1" ht="25.15" customHeight="1">
      <c r="A80" s="463" t="str">
        <f>IF('10-08-01'!$B111="","",'10-08-01'!$B111)</f>
        <v/>
      </c>
      <c r="B80" s="464"/>
      <c r="C80" s="449" t="str">
        <f>IF(ISNA(INDEX(Schedule!$O:$O,MATCH($A80,Schedule!T:T,0))),"",INDEX(Schedule!$O:$O,MATCH($A80,Schedule!T:T,0)))</f>
        <v/>
      </c>
      <c r="D80" s="448"/>
      <c r="E80" s="449" t="str">
        <f>IF(ISNA(INDEX(Schedule!$V:$V,MATCH($A80,Schedule!T:T,0))),"",INDEX(Schedule!$V:$V,MATCH($A80,Schedule!T:T,0)))</f>
        <v/>
      </c>
      <c r="F80" s="448"/>
      <c r="G80" s="177"/>
      <c r="H80" s="301"/>
      <c r="I80" s="450"/>
      <c r="J80" s="450"/>
      <c r="K80" s="450"/>
      <c r="L80" s="451"/>
    </row>
    <row r="81" spans="1:12" s="299" customFormat="1" ht="25.15" customHeight="1">
      <c r="A81" s="463" t="str">
        <f>IF('10-08-01'!$B112="","",'10-08-01'!$B112)</f>
        <v/>
      </c>
      <c r="B81" s="464"/>
      <c r="C81" s="449" t="str">
        <f>IF(ISNA(INDEX(Schedule!$O:$O,MATCH($A81,Schedule!T:T,0))),"",INDEX(Schedule!$O:$O,MATCH($A81,Schedule!T:T,0)))</f>
        <v/>
      </c>
      <c r="D81" s="448"/>
      <c r="E81" s="449" t="str">
        <f>IF(ISNA(INDEX(Schedule!$V:$V,MATCH($A81,Schedule!T:T,0))),"",INDEX(Schedule!$V:$V,MATCH($A81,Schedule!T:T,0)))</f>
        <v/>
      </c>
      <c r="F81" s="448"/>
      <c r="G81" s="177"/>
      <c r="H81" s="178"/>
      <c r="I81" s="450"/>
      <c r="J81" s="450"/>
      <c r="K81" s="450"/>
      <c r="L81" s="451"/>
    </row>
    <row r="82" spans="1:12" s="299" customFormat="1" ht="25.15" customHeight="1">
      <c r="A82" s="463" t="str">
        <f>IF('10-08-01'!$B113="","",'10-08-01'!$B113)</f>
        <v/>
      </c>
      <c r="B82" s="464"/>
      <c r="C82" s="449" t="str">
        <f>IF(ISNA(INDEX(Schedule!$O:$O,MATCH($A82,Schedule!T:T,0))),"",INDEX(Schedule!$O:$O,MATCH($A82,Schedule!T:T,0)))</f>
        <v/>
      </c>
      <c r="D82" s="448"/>
      <c r="E82" s="449" t="str">
        <f>IF(ISNA(INDEX(Schedule!$V:$V,MATCH($A82,Schedule!T:T,0))),"",INDEX(Schedule!$V:$V,MATCH($A82,Schedule!T:T,0)))</f>
        <v/>
      </c>
      <c r="F82" s="448"/>
      <c r="G82" s="177"/>
      <c r="H82" s="301"/>
      <c r="I82" s="450"/>
      <c r="J82" s="450"/>
      <c r="K82" s="450"/>
      <c r="L82" s="451"/>
    </row>
    <row r="83" spans="1:12" s="299" customFormat="1" ht="25.15" customHeight="1">
      <c r="A83" s="463" t="str">
        <f>IF('10-08-01'!$B114="","",'10-08-01'!$B114)</f>
        <v/>
      </c>
      <c r="B83" s="464"/>
      <c r="C83" s="449" t="str">
        <f>IF(ISNA(INDEX(Schedule!$O:$O,MATCH($A83,Schedule!T:T,0))),"",INDEX(Schedule!$O:$O,MATCH($A83,Schedule!T:T,0)))</f>
        <v/>
      </c>
      <c r="D83" s="448"/>
      <c r="E83" s="449" t="str">
        <f>IF(ISNA(INDEX(Schedule!$V:$V,MATCH($A83,Schedule!T:T,0))),"",INDEX(Schedule!$V:$V,MATCH($A83,Schedule!T:T,0)))</f>
        <v/>
      </c>
      <c r="F83" s="448"/>
      <c r="G83" s="177"/>
      <c r="H83" s="301"/>
      <c r="I83" s="450"/>
      <c r="J83" s="450"/>
      <c r="K83" s="450"/>
      <c r="L83" s="451"/>
    </row>
    <row r="84" spans="1:12" s="299" customFormat="1" ht="25.15" customHeight="1">
      <c r="A84" s="463" t="str">
        <f>IF('10-08-01'!$B115="","",'10-08-01'!$B115)</f>
        <v/>
      </c>
      <c r="B84" s="464"/>
      <c r="C84" s="449" t="str">
        <f>IF(ISNA(INDEX(Schedule!$O:$O,MATCH($A84,Schedule!T:T,0))),"",INDEX(Schedule!$O:$O,MATCH($A84,Schedule!T:T,0)))</f>
        <v/>
      </c>
      <c r="D84" s="448"/>
      <c r="E84" s="449" t="str">
        <f>IF(ISNA(INDEX(Schedule!$V:$V,MATCH($A84,Schedule!T:T,0))),"",INDEX(Schedule!$V:$V,MATCH($A84,Schedule!T:T,0)))</f>
        <v/>
      </c>
      <c r="F84" s="448"/>
      <c r="G84" s="177"/>
      <c r="H84" s="301"/>
      <c r="I84" s="450"/>
      <c r="J84" s="450"/>
      <c r="K84" s="450"/>
      <c r="L84" s="451"/>
    </row>
    <row r="85" spans="1:12" s="299" customFormat="1" ht="25.15" customHeight="1">
      <c r="A85" s="463" t="str">
        <f>IF('10-08-01'!$B116="","",'10-08-01'!$B116)</f>
        <v/>
      </c>
      <c r="B85" s="464"/>
      <c r="C85" s="449" t="str">
        <f>IF(ISNA(INDEX(Schedule!$O:$O,MATCH($A85,Schedule!T:T,0))),"",INDEX(Schedule!$O:$O,MATCH($A85,Schedule!T:T,0)))</f>
        <v/>
      </c>
      <c r="D85" s="448"/>
      <c r="E85" s="449" t="str">
        <f>IF(ISNA(INDEX(Schedule!$V:$V,MATCH($A85,Schedule!T:T,0))),"",INDEX(Schedule!$V:$V,MATCH($A85,Schedule!T:T,0)))</f>
        <v/>
      </c>
      <c r="F85" s="448"/>
      <c r="G85" s="177"/>
      <c r="H85" s="301"/>
      <c r="I85" s="450"/>
      <c r="J85" s="450"/>
      <c r="K85" s="450"/>
      <c r="L85" s="451"/>
    </row>
    <row r="86" spans="1:12" s="299" customFormat="1" ht="25.15" customHeight="1">
      <c r="A86" s="463" t="str">
        <f>IF('10-08-01'!$H107="","",'10-08-01'!$H107)</f>
        <v/>
      </c>
      <c r="B86" s="464"/>
      <c r="C86" s="449" t="str">
        <f>IF(ISNA(INDEX(Schedule!$O:$O,MATCH($A86,Schedule!T:T,0))),"",INDEX(Schedule!$O:$O,MATCH($A86,Schedule!T:T,0)))</f>
        <v/>
      </c>
      <c r="D86" s="448"/>
      <c r="E86" s="449" t="str">
        <f>IF(ISNA(INDEX(Schedule!$V:$V,MATCH($A86,Schedule!T:T,0))),"",INDEX(Schedule!$V:$V,MATCH($A86,Schedule!T:T,0)))</f>
        <v/>
      </c>
      <c r="F86" s="448"/>
      <c r="G86" s="177"/>
      <c r="H86" s="301"/>
      <c r="I86" s="450"/>
      <c r="J86" s="450"/>
      <c r="K86" s="450"/>
      <c r="L86" s="451"/>
    </row>
    <row r="87" spans="1:12" s="299" customFormat="1" ht="25.15" customHeight="1">
      <c r="A87" s="463" t="str">
        <f>IF('10-08-01'!$H108="","",'10-08-01'!$H108)</f>
        <v/>
      </c>
      <c r="B87" s="464"/>
      <c r="C87" s="449" t="str">
        <f>IF(ISNA(INDEX(Schedule!$O:$O,MATCH($A87,Schedule!T:T,0))),"",INDEX(Schedule!$O:$O,MATCH($A87,Schedule!T:T,0)))</f>
        <v/>
      </c>
      <c r="D87" s="448"/>
      <c r="E87" s="449" t="str">
        <f>IF(ISNA(INDEX(Schedule!$V:$V,MATCH($A87,Schedule!T:T,0))),"",INDEX(Schedule!$V:$V,MATCH($A87,Schedule!T:T,0)))</f>
        <v/>
      </c>
      <c r="F87" s="448"/>
      <c r="G87" s="177"/>
      <c r="H87" s="301"/>
      <c r="I87" s="450"/>
      <c r="J87" s="450"/>
      <c r="K87" s="450"/>
      <c r="L87" s="451"/>
    </row>
    <row r="88" spans="1:12" s="299" customFormat="1" ht="25.15" customHeight="1">
      <c r="A88" s="463" t="str">
        <f>IF('10-08-01'!$H109="","",'10-08-01'!$H109)</f>
        <v/>
      </c>
      <c r="B88" s="464"/>
      <c r="C88" s="449" t="str">
        <f>IF(ISNA(INDEX(Schedule!$O:$O,MATCH($A88,Schedule!T:T,0))),"",INDEX(Schedule!$O:$O,MATCH($A88,Schedule!T:T,0)))</f>
        <v/>
      </c>
      <c r="D88" s="448"/>
      <c r="E88" s="449" t="str">
        <f>IF(ISNA(INDEX(Schedule!$V:$V,MATCH($A88,Schedule!T:T,0))),"",INDEX(Schedule!$V:$V,MATCH($A88,Schedule!T:T,0)))</f>
        <v/>
      </c>
      <c r="F88" s="448"/>
      <c r="G88" s="177"/>
      <c r="H88" s="301"/>
      <c r="I88" s="450"/>
      <c r="J88" s="450"/>
      <c r="K88" s="450"/>
      <c r="L88" s="451"/>
    </row>
    <row r="89" spans="1:12" s="299" customFormat="1" ht="25.15" customHeight="1">
      <c r="A89" s="463" t="str">
        <f>IF('10-08-01'!$H110="","",'10-08-01'!$H110)</f>
        <v/>
      </c>
      <c r="B89" s="464"/>
      <c r="C89" s="449" t="str">
        <f>IF(ISNA(INDEX(Schedule!$O:$O,MATCH($A89,Schedule!T:T,0))),"",INDEX(Schedule!$O:$O,MATCH($A89,Schedule!T:T,0)))</f>
        <v/>
      </c>
      <c r="D89" s="448"/>
      <c r="E89" s="449" t="str">
        <f>IF(ISNA(INDEX(Schedule!$V:$V,MATCH($A89,Schedule!T:T,0))),"",INDEX(Schedule!$V:$V,MATCH($A89,Schedule!T:T,0)))</f>
        <v/>
      </c>
      <c r="F89" s="448"/>
      <c r="G89" s="177"/>
      <c r="H89" s="301"/>
      <c r="I89" s="450"/>
      <c r="J89" s="450"/>
      <c r="K89" s="450"/>
      <c r="L89" s="451"/>
    </row>
    <row r="90" spans="1:12" s="299" customFormat="1" ht="25.15" customHeight="1">
      <c r="A90" s="463" t="str">
        <f>IF('10-08-01'!$H111="","",'10-08-01'!$H111)</f>
        <v/>
      </c>
      <c r="B90" s="464"/>
      <c r="C90" s="449" t="str">
        <f>IF(ISNA(INDEX(Schedule!$O:$O,MATCH($A90,Schedule!T:T,0))),"",INDEX(Schedule!$O:$O,MATCH($A90,Schedule!T:T,0)))</f>
        <v/>
      </c>
      <c r="D90" s="448"/>
      <c r="E90" s="449" t="str">
        <f>IF(ISNA(INDEX(Schedule!$V:$V,MATCH($A90,Schedule!T:T,0))),"",INDEX(Schedule!$V:$V,MATCH($A90,Schedule!T:T,0)))</f>
        <v/>
      </c>
      <c r="F90" s="448"/>
      <c r="G90" s="177"/>
      <c r="H90" s="301"/>
      <c r="I90" s="450"/>
      <c r="J90" s="450"/>
      <c r="K90" s="450"/>
      <c r="L90" s="451"/>
    </row>
    <row r="91" spans="1:12" s="299" customFormat="1" ht="25.15" customHeight="1">
      <c r="A91" s="463" t="str">
        <f>IF('10-08-01'!$H112="","",'10-08-01'!$H112)</f>
        <v/>
      </c>
      <c r="B91" s="464"/>
      <c r="C91" s="449" t="str">
        <f>IF(ISNA(INDEX(Schedule!$O:$O,MATCH($A91,Schedule!T:T,0))),"",INDEX(Schedule!$O:$O,MATCH($A91,Schedule!T:T,0)))</f>
        <v/>
      </c>
      <c r="D91" s="448"/>
      <c r="E91" s="449" t="str">
        <f>IF(ISNA(INDEX(Schedule!$V:$V,MATCH($A91,Schedule!T:T,0))),"",INDEX(Schedule!$V:$V,MATCH($A91,Schedule!T:T,0)))</f>
        <v/>
      </c>
      <c r="F91" s="448"/>
      <c r="G91" s="177"/>
      <c r="H91" s="301"/>
      <c r="I91" s="450"/>
      <c r="J91" s="450"/>
      <c r="K91" s="450"/>
      <c r="L91" s="451"/>
    </row>
    <row r="92" spans="1:12" s="299" customFormat="1" ht="25.15" customHeight="1">
      <c r="A92" s="463" t="str">
        <f>IF('10-08-01'!$H113="","",'10-08-01'!$H113)</f>
        <v/>
      </c>
      <c r="B92" s="464"/>
      <c r="C92" s="449" t="str">
        <f>IF(ISNA(INDEX(Schedule!$O:$O,MATCH($A92,Schedule!T:T,0))),"",INDEX(Schedule!$O:$O,MATCH($A92,Schedule!T:T,0)))</f>
        <v/>
      </c>
      <c r="D92" s="448"/>
      <c r="E92" s="449" t="str">
        <f>IF(ISNA(INDEX(Schedule!$V:$V,MATCH($A92,Schedule!T:T,0))),"",INDEX(Schedule!$V:$V,MATCH($A92,Schedule!T:T,0)))</f>
        <v/>
      </c>
      <c r="F92" s="448"/>
      <c r="G92" s="177"/>
      <c r="H92" s="301"/>
      <c r="I92" s="450"/>
      <c r="J92" s="450"/>
      <c r="K92" s="450"/>
      <c r="L92" s="451"/>
    </row>
    <row r="93" spans="1:12" s="299" customFormat="1" ht="25.15" customHeight="1">
      <c r="A93" s="463" t="str">
        <f>IF('10-08-01'!$H114="","",'10-08-01'!$H114)</f>
        <v/>
      </c>
      <c r="B93" s="464"/>
      <c r="C93" s="449" t="str">
        <f>IF(ISNA(INDEX(Schedule!$O:$O,MATCH($A93,Schedule!T:T,0))),"",INDEX(Schedule!$O:$O,MATCH($A93,Schedule!T:T,0)))</f>
        <v/>
      </c>
      <c r="D93" s="448"/>
      <c r="E93" s="449" t="str">
        <f>IF(ISNA(INDEX(Schedule!$V:$V,MATCH($A93,Schedule!T:T,0))),"",INDEX(Schedule!$V:$V,MATCH($A93,Schedule!T:T,0)))</f>
        <v/>
      </c>
      <c r="F93" s="448"/>
      <c r="G93" s="177"/>
      <c r="H93" s="301"/>
      <c r="I93" s="450"/>
      <c r="J93" s="450"/>
      <c r="K93" s="450"/>
      <c r="L93" s="451"/>
    </row>
    <row r="94" spans="1:12" s="299" customFormat="1" ht="25.15" customHeight="1">
      <c r="A94" s="463" t="str">
        <f>IF('10-08-01'!$H115="","",'10-08-01'!$H115)</f>
        <v/>
      </c>
      <c r="B94" s="464"/>
      <c r="C94" s="449" t="str">
        <f>IF(ISNA(INDEX(Schedule!$O:$O,MATCH($A94,Schedule!T:T,0))),"",INDEX(Schedule!$O:$O,MATCH($A94,Schedule!T:T,0)))</f>
        <v/>
      </c>
      <c r="D94" s="448"/>
      <c r="E94" s="449" t="str">
        <f>IF(ISNA(INDEX(Schedule!$V:$V,MATCH($A94,Schedule!T:T,0))),"",INDEX(Schedule!$V:$V,MATCH($A94,Schedule!T:T,0)))</f>
        <v/>
      </c>
      <c r="F94" s="448"/>
      <c r="G94" s="177"/>
      <c r="H94" s="301"/>
      <c r="I94" s="450"/>
      <c r="J94" s="450"/>
      <c r="K94" s="450"/>
      <c r="L94" s="451"/>
    </row>
    <row r="95" spans="1:12" s="299" customFormat="1" ht="25.15" customHeight="1" thickBot="1">
      <c r="A95" s="463" t="str">
        <f>IF('10-08-01'!$H116="","",'10-08-01'!$H116)</f>
        <v/>
      </c>
      <c r="B95" s="464"/>
      <c r="C95" s="449" t="str">
        <f>IF(ISNA(INDEX(Schedule!$O:$O,MATCH($A95,Schedule!T:T,0))),"",INDEX(Schedule!$O:$O,MATCH($A95,Schedule!T:T,0)))</f>
        <v/>
      </c>
      <c r="D95" s="448"/>
      <c r="E95" s="449" t="str">
        <f>IF(ISNA(INDEX(Schedule!$V:$V,MATCH($A95,Schedule!T:T,0))),"",INDEX(Schedule!$V:$V,MATCH($A95,Schedule!T:T,0)))</f>
        <v/>
      </c>
      <c r="F95" s="448"/>
      <c r="G95" s="177"/>
      <c r="H95" s="302"/>
      <c r="I95" s="454"/>
      <c r="J95" s="454"/>
      <c r="K95" s="454"/>
      <c r="L95" s="455"/>
    </row>
    <row r="96" spans="1:12" s="299" customFormat="1" ht="13.5" thickBot="1">
      <c r="A96" s="456"/>
      <c r="B96" s="457"/>
      <c r="C96" s="457"/>
      <c r="D96" s="457"/>
      <c r="E96" s="457"/>
      <c r="F96" s="457"/>
      <c r="G96" s="457"/>
      <c r="H96" s="457"/>
      <c r="I96" s="457"/>
      <c r="J96" s="457"/>
      <c r="K96" s="457"/>
      <c r="L96" s="458"/>
    </row>
    <row r="97" spans="1:12" s="299" customFormat="1" ht="10.15" customHeight="1">
      <c r="A97" s="300"/>
      <c r="B97" s="300"/>
    </row>
    <row r="98" spans="1:12" s="299" customFormat="1">
      <c r="A98" s="180" t="s">
        <v>12</v>
      </c>
      <c r="B98" s="181" t="s">
        <v>152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3" t="s">
        <v>153</v>
      </c>
    </row>
    <row r="99" spans="1:12" s="299" customFormat="1" ht="10.15" customHeight="1">
      <c r="A99" s="180"/>
      <c r="B99" s="180"/>
      <c r="C99" s="182"/>
      <c r="D99" s="182"/>
      <c r="E99" s="182"/>
      <c r="F99" s="182"/>
      <c r="G99" s="182"/>
      <c r="H99" s="182"/>
      <c r="I99" s="182"/>
      <c r="J99" s="182"/>
      <c r="K99" s="182"/>
      <c r="L99" s="183"/>
    </row>
    <row r="100" spans="1:12" s="299" customFormat="1" ht="15">
      <c r="A100" s="459" t="s">
        <v>154</v>
      </c>
      <c r="B100" s="460"/>
      <c r="C100" s="461"/>
      <c r="D100" s="461"/>
      <c r="E100" s="461"/>
      <c r="F100" s="461"/>
      <c r="G100" s="461"/>
      <c r="H100" s="461"/>
    </row>
    <row r="101" spans="1:12" s="299" customFormat="1">
      <c r="A101" s="300"/>
      <c r="B101" s="300"/>
      <c r="C101" s="462" t="s">
        <v>155</v>
      </c>
      <c r="D101" s="397"/>
      <c r="E101" s="397"/>
      <c r="F101" s="397"/>
      <c r="G101" s="397"/>
      <c r="H101" s="397"/>
    </row>
    <row r="102" spans="1:12" s="299" customFormat="1">
      <c r="A102" s="184" t="s">
        <v>156</v>
      </c>
      <c r="B102" s="300"/>
    </row>
  </sheetData>
  <mergeCells count="279"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7:B7"/>
    <mergeCell ref="C7:D7"/>
    <mergeCell ref="E7:F7"/>
    <mergeCell ref="I7:L7"/>
    <mergeCell ref="A1:C1"/>
    <mergeCell ref="A2:L2"/>
    <mergeCell ref="F4:G4"/>
    <mergeCell ref="A6:F6"/>
    <mergeCell ref="G6:L6"/>
  </mergeCells>
  <printOptions horizontalCentered="1"/>
  <pageMargins left="0.7" right="0.7" top="0.25" bottom="0.25" header="0" footer="0"/>
  <pageSetup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W63"/>
  <sheetViews>
    <sheetView zoomScale="130" zoomScaleNormal="130" workbookViewId="0">
      <selection activeCell="I7" sqref="I7:J7"/>
    </sheetView>
  </sheetViews>
  <sheetFormatPr defaultRowHeight="14.25"/>
  <cols>
    <col min="1" max="1" width="1.75" style="147" customWidth="1"/>
    <col min="2" max="2" width="13.875" style="286" customWidth="1"/>
    <col min="3" max="3" width="8.75" style="286"/>
    <col min="4" max="4" width="11.75" style="286" customWidth="1"/>
    <col min="5" max="5" width="9.875" style="286" customWidth="1"/>
    <col min="6" max="6" width="2.125" style="286" customWidth="1"/>
    <col min="7" max="7" width="10.25" style="286" customWidth="1"/>
    <col min="8" max="8" width="8.75" style="286"/>
    <col min="9" max="9" width="7.75" style="286" customWidth="1"/>
    <col min="10" max="10" width="11.25" style="286" customWidth="1"/>
    <col min="11" max="11" width="1.75" style="147" customWidth="1"/>
    <col min="12" max="19" width="8.75" style="147"/>
    <col min="20" max="20" width="9" style="203"/>
    <col min="21" max="256" width="8.75" style="147"/>
    <col min="257" max="257" width="1.75" style="147" customWidth="1"/>
    <col min="258" max="258" width="13.875" style="147" customWidth="1"/>
    <col min="259" max="259" width="8.75" style="147"/>
    <col min="260" max="260" width="11.75" style="147" customWidth="1"/>
    <col min="261" max="261" width="9.875" style="147" customWidth="1"/>
    <col min="262" max="262" width="2.125" style="147" customWidth="1"/>
    <col min="263" max="263" width="10.25" style="147" customWidth="1"/>
    <col min="264" max="264" width="8.75" style="147"/>
    <col min="265" max="265" width="7.75" style="147" customWidth="1"/>
    <col min="266" max="266" width="11.25" style="147" customWidth="1"/>
    <col min="267" max="267" width="1.75" style="147" customWidth="1"/>
    <col min="268" max="512" width="8.75" style="147"/>
    <col min="513" max="513" width="1.75" style="147" customWidth="1"/>
    <col min="514" max="514" width="13.875" style="147" customWidth="1"/>
    <col min="515" max="515" width="8.75" style="147"/>
    <col min="516" max="516" width="11.75" style="147" customWidth="1"/>
    <col min="517" max="517" width="9.875" style="147" customWidth="1"/>
    <col min="518" max="518" width="2.125" style="147" customWidth="1"/>
    <col min="519" max="519" width="10.25" style="147" customWidth="1"/>
    <col min="520" max="520" width="8.75" style="147"/>
    <col min="521" max="521" width="7.75" style="147" customWidth="1"/>
    <col min="522" max="522" width="11.25" style="147" customWidth="1"/>
    <col min="523" max="523" width="1.75" style="147" customWidth="1"/>
    <col min="524" max="768" width="8.75" style="147"/>
    <col min="769" max="769" width="1.75" style="147" customWidth="1"/>
    <col min="770" max="770" width="13.875" style="147" customWidth="1"/>
    <col min="771" max="771" width="8.75" style="147"/>
    <col min="772" max="772" width="11.75" style="147" customWidth="1"/>
    <col min="773" max="773" width="9.875" style="147" customWidth="1"/>
    <col min="774" max="774" width="2.125" style="147" customWidth="1"/>
    <col min="775" max="775" width="10.25" style="147" customWidth="1"/>
    <col min="776" max="776" width="8.75" style="147"/>
    <col min="777" max="777" width="7.75" style="147" customWidth="1"/>
    <col min="778" max="778" width="11.25" style="147" customWidth="1"/>
    <col min="779" max="779" width="1.75" style="147" customWidth="1"/>
    <col min="780" max="1024" width="8.75" style="147"/>
    <col min="1025" max="1025" width="1.75" style="147" customWidth="1"/>
    <col min="1026" max="1026" width="13.875" style="147" customWidth="1"/>
    <col min="1027" max="1027" width="8.75" style="147"/>
    <col min="1028" max="1028" width="11.75" style="147" customWidth="1"/>
    <col min="1029" max="1029" width="9.875" style="147" customWidth="1"/>
    <col min="1030" max="1030" width="2.125" style="147" customWidth="1"/>
    <col min="1031" max="1031" width="10.25" style="147" customWidth="1"/>
    <col min="1032" max="1032" width="8.75" style="147"/>
    <col min="1033" max="1033" width="7.75" style="147" customWidth="1"/>
    <col min="1034" max="1034" width="11.25" style="147" customWidth="1"/>
    <col min="1035" max="1035" width="1.75" style="147" customWidth="1"/>
    <col min="1036" max="1280" width="8.75" style="147"/>
    <col min="1281" max="1281" width="1.75" style="147" customWidth="1"/>
    <col min="1282" max="1282" width="13.875" style="147" customWidth="1"/>
    <col min="1283" max="1283" width="8.75" style="147"/>
    <col min="1284" max="1284" width="11.75" style="147" customWidth="1"/>
    <col min="1285" max="1285" width="9.875" style="147" customWidth="1"/>
    <col min="1286" max="1286" width="2.125" style="147" customWidth="1"/>
    <col min="1287" max="1287" width="10.25" style="147" customWidth="1"/>
    <col min="1288" max="1288" width="8.75" style="147"/>
    <col min="1289" max="1289" width="7.75" style="147" customWidth="1"/>
    <col min="1290" max="1290" width="11.25" style="147" customWidth="1"/>
    <col min="1291" max="1291" width="1.75" style="147" customWidth="1"/>
    <col min="1292" max="1536" width="8.75" style="147"/>
    <col min="1537" max="1537" width="1.75" style="147" customWidth="1"/>
    <col min="1538" max="1538" width="13.875" style="147" customWidth="1"/>
    <col min="1539" max="1539" width="8.75" style="147"/>
    <col min="1540" max="1540" width="11.75" style="147" customWidth="1"/>
    <col min="1541" max="1541" width="9.875" style="147" customWidth="1"/>
    <col min="1542" max="1542" width="2.125" style="147" customWidth="1"/>
    <col min="1543" max="1543" width="10.25" style="147" customWidth="1"/>
    <col min="1544" max="1544" width="8.75" style="147"/>
    <col min="1545" max="1545" width="7.75" style="147" customWidth="1"/>
    <col min="1546" max="1546" width="11.25" style="147" customWidth="1"/>
    <col min="1547" max="1547" width="1.75" style="147" customWidth="1"/>
    <col min="1548" max="1792" width="8.75" style="147"/>
    <col min="1793" max="1793" width="1.75" style="147" customWidth="1"/>
    <col min="1794" max="1794" width="13.875" style="147" customWidth="1"/>
    <col min="1795" max="1795" width="8.75" style="147"/>
    <col min="1796" max="1796" width="11.75" style="147" customWidth="1"/>
    <col min="1797" max="1797" width="9.875" style="147" customWidth="1"/>
    <col min="1798" max="1798" width="2.125" style="147" customWidth="1"/>
    <col min="1799" max="1799" width="10.25" style="147" customWidth="1"/>
    <col min="1800" max="1800" width="8.75" style="147"/>
    <col min="1801" max="1801" width="7.75" style="147" customWidth="1"/>
    <col min="1802" max="1802" width="11.25" style="147" customWidth="1"/>
    <col min="1803" max="1803" width="1.75" style="147" customWidth="1"/>
    <col min="1804" max="2048" width="8.75" style="147"/>
    <col min="2049" max="2049" width="1.75" style="147" customWidth="1"/>
    <col min="2050" max="2050" width="13.875" style="147" customWidth="1"/>
    <col min="2051" max="2051" width="8.75" style="147"/>
    <col min="2052" max="2052" width="11.75" style="147" customWidth="1"/>
    <col min="2053" max="2053" width="9.875" style="147" customWidth="1"/>
    <col min="2054" max="2054" width="2.125" style="147" customWidth="1"/>
    <col min="2055" max="2055" width="10.25" style="147" customWidth="1"/>
    <col min="2056" max="2056" width="8.75" style="147"/>
    <col min="2057" max="2057" width="7.75" style="147" customWidth="1"/>
    <col min="2058" max="2058" width="11.25" style="147" customWidth="1"/>
    <col min="2059" max="2059" width="1.75" style="147" customWidth="1"/>
    <col min="2060" max="2304" width="8.75" style="147"/>
    <col min="2305" max="2305" width="1.75" style="147" customWidth="1"/>
    <col min="2306" max="2306" width="13.875" style="147" customWidth="1"/>
    <col min="2307" max="2307" width="8.75" style="147"/>
    <col min="2308" max="2308" width="11.75" style="147" customWidth="1"/>
    <col min="2309" max="2309" width="9.875" style="147" customWidth="1"/>
    <col min="2310" max="2310" width="2.125" style="147" customWidth="1"/>
    <col min="2311" max="2311" width="10.25" style="147" customWidth="1"/>
    <col min="2312" max="2312" width="8.75" style="147"/>
    <col min="2313" max="2313" width="7.75" style="147" customWidth="1"/>
    <col min="2314" max="2314" width="11.25" style="147" customWidth="1"/>
    <col min="2315" max="2315" width="1.75" style="147" customWidth="1"/>
    <col min="2316" max="2560" width="8.75" style="147"/>
    <col min="2561" max="2561" width="1.75" style="147" customWidth="1"/>
    <col min="2562" max="2562" width="13.875" style="147" customWidth="1"/>
    <col min="2563" max="2563" width="8.75" style="147"/>
    <col min="2564" max="2564" width="11.75" style="147" customWidth="1"/>
    <col min="2565" max="2565" width="9.875" style="147" customWidth="1"/>
    <col min="2566" max="2566" width="2.125" style="147" customWidth="1"/>
    <col min="2567" max="2567" width="10.25" style="147" customWidth="1"/>
    <col min="2568" max="2568" width="8.75" style="147"/>
    <col min="2569" max="2569" width="7.75" style="147" customWidth="1"/>
    <col min="2570" max="2570" width="11.25" style="147" customWidth="1"/>
    <col min="2571" max="2571" width="1.75" style="147" customWidth="1"/>
    <col min="2572" max="2816" width="8.75" style="147"/>
    <col min="2817" max="2817" width="1.75" style="147" customWidth="1"/>
    <col min="2818" max="2818" width="13.875" style="147" customWidth="1"/>
    <col min="2819" max="2819" width="8.75" style="147"/>
    <col min="2820" max="2820" width="11.75" style="147" customWidth="1"/>
    <col min="2821" max="2821" width="9.875" style="147" customWidth="1"/>
    <col min="2822" max="2822" width="2.125" style="147" customWidth="1"/>
    <col min="2823" max="2823" width="10.25" style="147" customWidth="1"/>
    <col min="2824" max="2824" width="8.75" style="147"/>
    <col min="2825" max="2825" width="7.75" style="147" customWidth="1"/>
    <col min="2826" max="2826" width="11.25" style="147" customWidth="1"/>
    <col min="2827" max="2827" width="1.75" style="147" customWidth="1"/>
    <col min="2828" max="3072" width="8.75" style="147"/>
    <col min="3073" max="3073" width="1.75" style="147" customWidth="1"/>
    <col min="3074" max="3074" width="13.875" style="147" customWidth="1"/>
    <col min="3075" max="3075" width="8.75" style="147"/>
    <col min="3076" max="3076" width="11.75" style="147" customWidth="1"/>
    <col min="3077" max="3077" width="9.875" style="147" customWidth="1"/>
    <col min="3078" max="3078" width="2.125" style="147" customWidth="1"/>
    <col min="3079" max="3079" width="10.25" style="147" customWidth="1"/>
    <col min="3080" max="3080" width="8.75" style="147"/>
    <col min="3081" max="3081" width="7.75" style="147" customWidth="1"/>
    <col min="3082" max="3082" width="11.25" style="147" customWidth="1"/>
    <col min="3083" max="3083" width="1.75" style="147" customWidth="1"/>
    <col min="3084" max="3328" width="8.75" style="147"/>
    <col min="3329" max="3329" width="1.75" style="147" customWidth="1"/>
    <col min="3330" max="3330" width="13.875" style="147" customWidth="1"/>
    <col min="3331" max="3331" width="8.75" style="147"/>
    <col min="3332" max="3332" width="11.75" style="147" customWidth="1"/>
    <col min="3333" max="3333" width="9.875" style="147" customWidth="1"/>
    <col min="3334" max="3334" width="2.125" style="147" customWidth="1"/>
    <col min="3335" max="3335" width="10.25" style="147" customWidth="1"/>
    <col min="3336" max="3336" width="8.75" style="147"/>
    <col min="3337" max="3337" width="7.75" style="147" customWidth="1"/>
    <col min="3338" max="3338" width="11.25" style="147" customWidth="1"/>
    <col min="3339" max="3339" width="1.75" style="147" customWidth="1"/>
    <col min="3340" max="3584" width="8.75" style="147"/>
    <col min="3585" max="3585" width="1.75" style="147" customWidth="1"/>
    <col min="3586" max="3586" width="13.875" style="147" customWidth="1"/>
    <col min="3587" max="3587" width="8.75" style="147"/>
    <col min="3588" max="3588" width="11.75" style="147" customWidth="1"/>
    <col min="3589" max="3589" width="9.875" style="147" customWidth="1"/>
    <col min="3590" max="3590" width="2.125" style="147" customWidth="1"/>
    <col min="3591" max="3591" width="10.25" style="147" customWidth="1"/>
    <col min="3592" max="3592" width="8.75" style="147"/>
    <col min="3593" max="3593" width="7.75" style="147" customWidth="1"/>
    <col min="3594" max="3594" width="11.25" style="147" customWidth="1"/>
    <col min="3595" max="3595" width="1.75" style="147" customWidth="1"/>
    <col min="3596" max="3840" width="8.75" style="147"/>
    <col min="3841" max="3841" width="1.75" style="147" customWidth="1"/>
    <col min="3842" max="3842" width="13.875" style="147" customWidth="1"/>
    <col min="3843" max="3843" width="8.75" style="147"/>
    <col min="3844" max="3844" width="11.75" style="147" customWidth="1"/>
    <col min="3845" max="3845" width="9.875" style="147" customWidth="1"/>
    <col min="3846" max="3846" width="2.125" style="147" customWidth="1"/>
    <col min="3847" max="3847" width="10.25" style="147" customWidth="1"/>
    <col min="3848" max="3848" width="8.75" style="147"/>
    <col min="3849" max="3849" width="7.75" style="147" customWidth="1"/>
    <col min="3850" max="3850" width="11.25" style="147" customWidth="1"/>
    <col min="3851" max="3851" width="1.75" style="147" customWidth="1"/>
    <col min="3852" max="4096" width="8.75" style="147"/>
    <col min="4097" max="4097" width="1.75" style="147" customWidth="1"/>
    <col min="4098" max="4098" width="13.875" style="147" customWidth="1"/>
    <col min="4099" max="4099" width="8.75" style="147"/>
    <col min="4100" max="4100" width="11.75" style="147" customWidth="1"/>
    <col min="4101" max="4101" width="9.875" style="147" customWidth="1"/>
    <col min="4102" max="4102" width="2.125" style="147" customWidth="1"/>
    <col min="4103" max="4103" width="10.25" style="147" customWidth="1"/>
    <col min="4104" max="4104" width="8.75" style="147"/>
    <col min="4105" max="4105" width="7.75" style="147" customWidth="1"/>
    <col min="4106" max="4106" width="11.25" style="147" customWidth="1"/>
    <col min="4107" max="4107" width="1.75" style="147" customWidth="1"/>
    <col min="4108" max="4352" width="8.75" style="147"/>
    <col min="4353" max="4353" width="1.75" style="147" customWidth="1"/>
    <col min="4354" max="4354" width="13.875" style="147" customWidth="1"/>
    <col min="4355" max="4355" width="8.75" style="147"/>
    <col min="4356" max="4356" width="11.75" style="147" customWidth="1"/>
    <col min="4357" max="4357" width="9.875" style="147" customWidth="1"/>
    <col min="4358" max="4358" width="2.125" style="147" customWidth="1"/>
    <col min="4359" max="4359" width="10.25" style="147" customWidth="1"/>
    <col min="4360" max="4360" width="8.75" style="147"/>
    <col min="4361" max="4361" width="7.75" style="147" customWidth="1"/>
    <col min="4362" max="4362" width="11.25" style="147" customWidth="1"/>
    <col min="4363" max="4363" width="1.75" style="147" customWidth="1"/>
    <col min="4364" max="4608" width="8.75" style="147"/>
    <col min="4609" max="4609" width="1.75" style="147" customWidth="1"/>
    <col min="4610" max="4610" width="13.875" style="147" customWidth="1"/>
    <col min="4611" max="4611" width="8.75" style="147"/>
    <col min="4612" max="4612" width="11.75" style="147" customWidth="1"/>
    <col min="4613" max="4613" width="9.875" style="147" customWidth="1"/>
    <col min="4614" max="4614" width="2.125" style="147" customWidth="1"/>
    <col min="4615" max="4615" width="10.25" style="147" customWidth="1"/>
    <col min="4616" max="4616" width="8.75" style="147"/>
    <col min="4617" max="4617" width="7.75" style="147" customWidth="1"/>
    <col min="4618" max="4618" width="11.25" style="147" customWidth="1"/>
    <col min="4619" max="4619" width="1.75" style="147" customWidth="1"/>
    <col min="4620" max="4864" width="8.75" style="147"/>
    <col min="4865" max="4865" width="1.75" style="147" customWidth="1"/>
    <col min="4866" max="4866" width="13.875" style="147" customWidth="1"/>
    <col min="4867" max="4867" width="8.75" style="147"/>
    <col min="4868" max="4868" width="11.75" style="147" customWidth="1"/>
    <col min="4869" max="4869" width="9.875" style="147" customWidth="1"/>
    <col min="4870" max="4870" width="2.125" style="147" customWidth="1"/>
    <col min="4871" max="4871" width="10.25" style="147" customWidth="1"/>
    <col min="4872" max="4872" width="8.75" style="147"/>
    <col min="4873" max="4873" width="7.75" style="147" customWidth="1"/>
    <col min="4874" max="4874" width="11.25" style="147" customWidth="1"/>
    <col min="4875" max="4875" width="1.75" style="147" customWidth="1"/>
    <col min="4876" max="5120" width="8.75" style="147"/>
    <col min="5121" max="5121" width="1.75" style="147" customWidth="1"/>
    <col min="5122" max="5122" width="13.875" style="147" customWidth="1"/>
    <col min="5123" max="5123" width="8.75" style="147"/>
    <col min="5124" max="5124" width="11.75" style="147" customWidth="1"/>
    <col min="5125" max="5125" width="9.875" style="147" customWidth="1"/>
    <col min="5126" max="5126" width="2.125" style="147" customWidth="1"/>
    <col min="5127" max="5127" width="10.25" style="147" customWidth="1"/>
    <col min="5128" max="5128" width="8.75" style="147"/>
    <col min="5129" max="5129" width="7.75" style="147" customWidth="1"/>
    <col min="5130" max="5130" width="11.25" style="147" customWidth="1"/>
    <col min="5131" max="5131" width="1.75" style="147" customWidth="1"/>
    <col min="5132" max="5376" width="8.75" style="147"/>
    <col min="5377" max="5377" width="1.75" style="147" customWidth="1"/>
    <col min="5378" max="5378" width="13.875" style="147" customWidth="1"/>
    <col min="5379" max="5379" width="8.75" style="147"/>
    <col min="5380" max="5380" width="11.75" style="147" customWidth="1"/>
    <col min="5381" max="5381" width="9.875" style="147" customWidth="1"/>
    <col min="5382" max="5382" width="2.125" style="147" customWidth="1"/>
    <col min="5383" max="5383" width="10.25" style="147" customWidth="1"/>
    <col min="5384" max="5384" width="8.75" style="147"/>
    <col min="5385" max="5385" width="7.75" style="147" customWidth="1"/>
    <col min="5386" max="5386" width="11.25" style="147" customWidth="1"/>
    <col min="5387" max="5387" width="1.75" style="147" customWidth="1"/>
    <col min="5388" max="5632" width="8.75" style="147"/>
    <col min="5633" max="5633" width="1.75" style="147" customWidth="1"/>
    <col min="5634" max="5634" width="13.875" style="147" customWidth="1"/>
    <col min="5635" max="5635" width="8.75" style="147"/>
    <col min="5636" max="5636" width="11.75" style="147" customWidth="1"/>
    <col min="5637" max="5637" width="9.875" style="147" customWidth="1"/>
    <col min="5638" max="5638" width="2.125" style="147" customWidth="1"/>
    <col min="5639" max="5639" width="10.25" style="147" customWidth="1"/>
    <col min="5640" max="5640" width="8.75" style="147"/>
    <col min="5641" max="5641" width="7.75" style="147" customWidth="1"/>
    <col min="5642" max="5642" width="11.25" style="147" customWidth="1"/>
    <col min="5643" max="5643" width="1.75" style="147" customWidth="1"/>
    <col min="5644" max="5888" width="8.75" style="147"/>
    <col min="5889" max="5889" width="1.75" style="147" customWidth="1"/>
    <col min="5890" max="5890" width="13.875" style="147" customWidth="1"/>
    <col min="5891" max="5891" width="8.75" style="147"/>
    <col min="5892" max="5892" width="11.75" style="147" customWidth="1"/>
    <col min="5893" max="5893" width="9.875" style="147" customWidth="1"/>
    <col min="5894" max="5894" width="2.125" style="147" customWidth="1"/>
    <col min="5895" max="5895" width="10.25" style="147" customWidth="1"/>
    <col min="5896" max="5896" width="8.75" style="147"/>
    <col min="5897" max="5897" width="7.75" style="147" customWidth="1"/>
    <col min="5898" max="5898" width="11.25" style="147" customWidth="1"/>
    <col min="5899" max="5899" width="1.75" style="147" customWidth="1"/>
    <col min="5900" max="6144" width="8.75" style="147"/>
    <col min="6145" max="6145" width="1.75" style="147" customWidth="1"/>
    <col min="6146" max="6146" width="13.875" style="147" customWidth="1"/>
    <col min="6147" max="6147" width="8.75" style="147"/>
    <col min="6148" max="6148" width="11.75" style="147" customWidth="1"/>
    <col min="6149" max="6149" width="9.875" style="147" customWidth="1"/>
    <col min="6150" max="6150" width="2.125" style="147" customWidth="1"/>
    <col min="6151" max="6151" width="10.25" style="147" customWidth="1"/>
    <col min="6152" max="6152" width="8.75" style="147"/>
    <col min="6153" max="6153" width="7.75" style="147" customWidth="1"/>
    <col min="6154" max="6154" width="11.25" style="147" customWidth="1"/>
    <col min="6155" max="6155" width="1.75" style="147" customWidth="1"/>
    <col min="6156" max="6400" width="8.75" style="147"/>
    <col min="6401" max="6401" width="1.75" style="147" customWidth="1"/>
    <col min="6402" max="6402" width="13.875" style="147" customWidth="1"/>
    <col min="6403" max="6403" width="8.75" style="147"/>
    <col min="6404" max="6404" width="11.75" style="147" customWidth="1"/>
    <col min="6405" max="6405" width="9.875" style="147" customWidth="1"/>
    <col min="6406" max="6406" width="2.125" style="147" customWidth="1"/>
    <col min="6407" max="6407" width="10.25" style="147" customWidth="1"/>
    <col min="6408" max="6408" width="8.75" style="147"/>
    <col min="6409" max="6409" width="7.75" style="147" customWidth="1"/>
    <col min="6410" max="6410" width="11.25" style="147" customWidth="1"/>
    <col min="6411" max="6411" width="1.75" style="147" customWidth="1"/>
    <col min="6412" max="6656" width="8.75" style="147"/>
    <col min="6657" max="6657" width="1.75" style="147" customWidth="1"/>
    <col min="6658" max="6658" width="13.875" style="147" customWidth="1"/>
    <col min="6659" max="6659" width="8.75" style="147"/>
    <col min="6660" max="6660" width="11.75" style="147" customWidth="1"/>
    <col min="6661" max="6661" width="9.875" style="147" customWidth="1"/>
    <col min="6662" max="6662" width="2.125" style="147" customWidth="1"/>
    <col min="6663" max="6663" width="10.25" style="147" customWidth="1"/>
    <col min="6664" max="6664" width="8.75" style="147"/>
    <col min="6665" max="6665" width="7.75" style="147" customWidth="1"/>
    <col min="6666" max="6666" width="11.25" style="147" customWidth="1"/>
    <col min="6667" max="6667" width="1.75" style="147" customWidth="1"/>
    <col min="6668" max="6912" width="8.75" style="147"/>
    <col min="6913" max="6913" width="1.75" style="147" customWidth="1"/>
    <col min="6914" max="6914" width="13.875" style="147" customWidth="1"/>
    <col min="6915" max="6915" width="8.75" style="147"/>
    <col min="6916" max="6916" width="11.75" style="147" customWidth="1"/>
    <col min="6917" max="6917" width="9.875" style="147" customWidth="1"/>
    <col min="6918" max="6918" width="2.125" style="147" customWidth="1"/>
    <col min="6919" max="6919" width="10.25" style="147" customWidth="1"/>
    <col min="6920" max="6920" width="8.75" style="147"/>
    <col min="6921" max="6921" width="7.75" style="147" customWidth="1"/>
    <col min="6922" max="6922" width="11.25" style="147" customWidth="1"/>
    <col min="6923" max="6923" width="1.75" style="147" customWidth="1"/>
    <col min="6924" max="7168" width="8.75" style="147"/>
    <col min="7169" max="7169" width="1.75" style="147" customWidth="1"/>
    <col min="7170" max="7170" width="13.875" style="147" customWidth="1"/>
    <col min="7171" max="7171" width="8.75" style="147"/>
    <col min="7172" max="7172" width="11.75" style="147" customWidth="1"/>
    <col min="7173" max="7173" width="9.875" style="147" customWidth="1"/>
    <col min="7174" max="7174" width="2.125" style="147" customWidth="1"/>
    <col min="7175" max="7175" width="10.25" style="147" customWidth="1"/>
    <col min="7176" max="7176" width="8.75" style="147"/>
    <col min="7177" max="7177" width="7.75" style="147" customWidth="1"/>
    <col min="7178" max="7178" width="11.25" style="147" customWidth="1"/>
    <col min="7179" max="7179" width="1.75" style="147" customWidth="1"/>
    <col min="7180" max="7424" width="8.75" style="147"/>
    <col min="7425" max="7425" width="1.75" style="147" customWidth="1"/>
    <col min="7426" max="7426" width="13.875" style="147" customWidth="1"/>
    <col min="7427" max="7427" width="8.75" style="147"/>
    <col min="7428" max="7428" width="11.75" style="147" customWidth="1"/>
    <col min="7429" max="7429" width="9.875" style="147" customWidth="1"/>
    <col min="7430" max="7430" width="2.125" style="147" customWidth="1"/>
    <col min="7431" max="7431" width="10.25" style="147" customWidth="1"/>
    <col min="7432" max="7432" width="8.75" style="147"/>
    <col min="7433" max="7433" width="7.75" style="147" customWidth="1"/>
    <col min="7434" max="7434" width="11.25" style="147" customWidth="1"/>
    <col min="7435" max="7435" width="1.75" style="147" customWidth="1"/>
    <col min="7436" max="7680" width="8.75" style="147"/>
    <col min="7681" max="7681" width="1.75" style="147" customWidth="1"/>
    <col min="7682" max="7682" width="13.875" style="147" customWidth="1"/>
    <col min="7683" max="7683" width="8.75" style="147"/>
    <col min="7684" max="7684" width="11.75" style="147" customWidth="1"/>
    <col min="7685" max="7685" width="9.875" style="147" customWidth="1"/>
    <col min="7686" max="7686" width="2.125" style="147" customWidth="1"/>
    <col min="7687" max="7687" width="10.25" style="147" customWidth="1"/>
    <col min="7688" max="7688" width="8.75" style="147"/>
    <col min="7689" max="7689" width="7.75" style="147" customWidth="1"/>
    <col min="7690" max="7690" width="11.25" style="147" customWidth="1"/>
    <col min="7691" max="7691" width="1.75" style="147" customWidth="1"/>
    <col min="7692" max="7936" width="8.75" style="147"/>
    <col min="7937" max="7937" width="1.75" style="147" customWidth="1"/>
    <col min="7938" max="7938" width="13.875" style="147" customWidth="1"/>
    <col min="7939" max="7939" width="8.75" style="147"/>
    <col min="7940" max="7940" width="11.75" style="147" customWidth="1"/>
    <col min="7941" max="7941" width="9.875" style="147" customWidth="1"/>
    <col min="7942" max="7942" width="2.125" style="147" customWidth="1"/>
    <col min="7943" max="7943" width="10.25" style="147" customWidth="1"/>
    <col min="7944" max="7944" width="8.75" style="147"/>
    <col min="7945" max="7945" width="7.75" style="147" customWidth="1"/>
    <col min="7946" max="7946" width="11.25" style="147" customWidth="1"/>
    <col min="7947" max="7947" width="1.75" style="147" customWidth="1"/>
    <col min="7948" max="8192" width="8.75" style="147"/>
    <col min="8193" max="8193" width="1.75" style="147" customWidth="1"/>
    <col min="8194" max="8194" width="13.875" style="147" customWidth="1"/>
    <col min="8195" max="8195" width="8.75" style="147"/>
    <col min="8196" max="8196" width="11.75" style="147" customWidth="1"/>
    <col min="8197" max="8197" width="9.875" style="147" customWidth="1"/>
    <col min="8198" max="8198" width="2.125" style="147" customWidth="1"/>
    <col min="8199" max="8199" width="10.25" style="147" customWidth="1"/>
    <col min="8200" max="8200" width="8.75" style="147"/>
    <col min="8201" max="8201" width="7.75" style="147" customWidth="1"/>
    <col min="8202" max="8202" width="11.25" style="147" customWidth="1"/>
    <col min="8203" max="8203" width="1.75" style="147" customWidth="1"/>
    <col min="8204" max="8448" width="8.75" style="147"/>
    <col min="8449" max="8449" width="1.75" style="147" customWidth="1"/>
    <col min="8450" max="8450" width="13.875" style="147" customWidth="1"/>
    <col min="8451" max="8451" width="8.75" style="147"/>
    <col min="8452" max="8452" width="11.75" style="147" customWidth="1"/>
    <col min="8453" max="8453" width="9.875" style="147" customWidth="1"/>
    <col min="8454" max="8454" width="2.125" style="147" customWidth="1"/>
    <col min="8455" max="8455" width="10.25" style="147" customWidth="1"/>
    <col min="8456" max="8456" width="8.75" style="147"/>
    <col min="8457" max="8457" width="7.75" style="147" customWidth="1"/>
    <col min="8458" max="8458" width="11.25" style="147" customWidth="1"/>
    <col min="8459" max="8459" width="1.75" style="147" customWidth="1"/>
    <col min="8460" max="8704" width="8.75" style="147"/>
    <col min="8705" max="8705" width="1.75" style="147" customWidth="1"/>
    <col min="8706" max="8706" width="13.875" style="147" customWidth="1"/>
    <col min="8707" max="8707" width="8.75" style="147"/>
    <col min="8708" max="8708" width="11.75" style="147" customWidth="1"/>
    <col min="8709" max="8709" width="9.875" style="147" customWidth="1"/>
    <col min="8710" max="8710" width="2.125" style="147" customWidth="1"/>
    <col min="8711" max="8711" width="10.25" style="147" customWidth="1"/>
    <col min="8712" max="8712" width="8.75" style="147"/>
    <col min="8713" max="8713" width="7.75" style="147" customWidth="1"/>
    <col min="8714" max="8714" width="11.25" style="147" customWidth="1"/>
    <col min="8715" max="8715" width="1.75" style="147" customWidth="1"/>
    <col min="8716" max="8960" width="8.75" style="147"/>
    <col min="8961" max="8961" width="1.75" style="147" customWidth="1"/>
    <col min="8962" max="8962" width="13.875" style="147" customWidth="1"/>
    <col min="8963" max="8963" width="8.75" style="147"/>
    <col min="8964" max="8964" width="11.75" style="147" customWidth="1"/>
    <col min="8965" max="8965" width="9.875" style="147" customWidth="1"/>
    <col min="8966" max="8966" width="2.125" style="147" customWidth="1"/>
    <col min="8967" max="8967" width="10.25" style="147" customWidth="1"/>
    <col min="8968" max="8968" width="8.75" style="147"/>
    <col min="8969" max="8969" width="7.75" style="147" customWidth="1"/>
    <col min="8970" max="8970" width="11.25" style="147" customWidth="1"/>
    <col min="8971" max="8971" width="1.75" style="147" customWidth="1"/>
    <col min="8972" max="9216" width="8.75" style="147"/>
    <col min="9217" max="9217" width="1.75" style="147" customWidth="1"/>
    <col min="9218" max="9218" width="13.875" style="147" customWidth="1"/>
    <col min="9219" max="9219" width="8.75" style="147"/>
    <col min="9220" max="9220" width="11.75" style="147" customWidth="1"/>
    <col min="9221" max="9221" width="9.875" style="147" customWidth="1"/>
    <col min="9222" max="9222" width="2.125" style="147" customWidth="1"/>
    <col min="9223" max="9223" width="10.25" style="147" customWidth="1"/>
    <col min="9224" max="9224" width="8.75" style="147"/>
    <col min="9225" max="9225" width="7.75" style="147" customWidth="1"/>
    <col min="9226" max="9226" width="11.25" style="147" customWidth="1"/>
    <col min="9227" max="9227" width="1.75" style="147" customWidth="1"/>
    <col min="9228" max="9472" width="8.75" style="147"/>
    <col min="9473" max="9473" width="1.75" style="147" customWidth="1"/>
    <col min="9474" max="9474" width="13.875" style="147" customWidth="1"/>
    <col min="9475" max="9475" width="8.75" style="147"/>
    <col min="9476" max="9476" width="11.75" style="147" customWidth="1"/>
    <col min="9477" max="9477" width="9.875" style="147" customWidth="1"/>
    <col min="9478" max="9478" width="2.125" style="147" customWidth="1"/>
    <col min="9479" max="9479" width="10.25" style="147" customWidth="1"/>
    <col min="9480" max="9480" width="8.75" style="147"/>
    <col min="9481" max="9481" width="7.75" style="147" customWidth="1"/>
    <col min="9482" max="9482" width="11.25" style="147" customWidth="1"/>
    <col min="9483" max="9483" width="1.75" style="147" customWidth="1"/>
    <col min="9484" max="9728" width="8.75" style="147"/>
    <col min="9729" max="9729" width="1.75" style="147" customWidth="1"/>
    <col min="9730" max="9730" width="13.875" style="147" customWidth="1"/>
    <col min="9731" max="9731" width="8.75" style="147"/>
    <col min="9732" max="9732" width="11.75" style="147" customWidth="1"/>
    <col min="9733" max="9733" width="9.875" style="147" customWidth="1"/>
    <col min="9734" max="9734" width="2.125" style="147" customWidth="1"/>
    <col min="9735" max="9735" width="10.25" style="147" customWidth="1"/>
    <col min="9736" max="9736" width="8.75" style="147"/>
    <col min="9737" max="9737" width="7.75" style="147" customWidth="1"/>
    <col min="9738" max="9738" width="11.25" style="147" customWidth="1"/>
    <col min="9739" max="9739" width="1.75" style="147" customWidth="1"/>
    <col min="9740" max="9984" width="8.75" style="147"/>
    <col min="9985" max="9985" width="1.75" style="147" customWidth="1"/>
    <col min="9986" max="9986" width="13.875" style="147" customWidth="1"/>
    <col min="9987" max="9987" width="8.75" style="147"/>
    <col min="9988" max="9988" width="11.75" style="147" customWidth="1"/>
    <col min="9989" max="9989" width="9.875" style="147" customWidth="1"/>
    <col min="9990" max="9990" width="2.125" style="147" customWidth="1"/>
    <col min="9991" max="9991" width="10.25" style="147" customWidth="1"/>
    <col min="9992" max="9992" width="8.75" style="147"/>
    <col min="9993" max="9993" width="7.75" style="147" customWidth="1"/>
    <col min="9994" max="9994" width="11.25" style="147" customWidth="1"/>
    <col min="9995" max="9995" width="1.75" style="147" customWidth="1"/>
    <col min="9996" max="10240" width="8.75" style="147"/>
    <col min="10241" max="10241" width="1.75" style="147" customWidth="1"/>
    <col min="10242" max="10242" width="13.875" style="147" customWidth="1"/>
    <col min="10243" max="10243" width="8.75" style="147"/>
    <col min="10244" max="10244" width="11.75" style="147" customWidth="1"/>
    <col min="10245" max="10245" width="9.875" style="147" customWidth="1"/>
    <col min="10246" max="10246" width="2.125" style="147" customWidth="1"/>
    <col min="10247" max="10247" width="10.25" style="147" customWidth="1"/>
    <col min="10248" max="10248" width="8.75" style="147"/>
    <col min="10249" max="10249" width="7.75" style="147" customWidth="1"/>
    <col min="10250" max="10250" width="11.25" style="147" customWidth="1"/>
    <col min="10251" max="10251" width="1.75" style="147" customWidth="1"/>
    <col min="10252" max="10496" width="8.75" style="147"/>
    <col min="10497" max="10497" width="1.75" style="147" customWidth="1"/>
    <col min="10498" max="10498" width="13.875" style="147" customWidth="1"/>
    <col min="10499" max="10499" width="8.75" style="147"/>
    <col min="10500" max="10500" width="11.75" style="147" customWidth="1"/>
    <col min="10501" max="10501" width="9.875" style="147" customWidth="1"/>
    <col min="10502" max="10502" width="2.125" style="147" customWidth="1"/>
    <col min="10503" max="10503" width="10.25" style="147" customWidth="1"/>
    <col min="10504" max="10504" width="8.75" style="147"/>
    <col min="10505" max="10505" width="7.75" style="147" customWidth="1"/>
    <col min="10506" max="10506" width="11.25" style="147" customWidth="1"/>
    <col min="10507" max="10507" width="1.75" style="147" customWidth="1"/>
    <col min="10508" max="10752" width="8.75" style="147"/>
    <col min="10753" max="10753" width="1.75" style="147" customWidth="1"/>
    <col min="10754" max="10754" width="13.875" style="147" customWidth="1"/>
    <col min="10755" max="10755" width="8.75" style="147"/>
    <col min="10756" max="10756" width="11.75" style="147" customWidth="1"/>
    <col min="10757" max="10757" width="9.875" style="147" customWidth="1"/>
    <col min="10758" max="10758" width="2.125" style="147" customWidth="1"/>
    <col min="10759" max="10759" width="10.25" style="147" customWidth="1"/>
    <col min="10760" max="10760" width="8.75" style="147"/>
    <col min="10761" max="10761" width="7.75" style="147" customWidth="1"/>
    <col min="10762" max="10762" width="11.25" style="147" customWidth="1"/>
    <col min="10763" max="10763" width="1.75" style="147" customWidth="1"/>
    <col min="10764" max="11008" width="8.75" style="147"/>
    <col min="11009" max="11009" width="1.75" style="147" customWidth="1"/>
    <col min="11010" max="11010" width="13.875" style="147" customWidth="1"/>
    <col min="11011" max="11011" width="8.75" style="147"/>
    <col min="11012" max="11012" width="11.75" style="147" customWidth="1"/>
    <col min="11013" max="11013" width="9.875" style="147" customWidth="1"/>
    <col min="11014" max="11014" width="2.125" style="147" customWidth="1"/>
    <col min="11015" max="11015" width="10.25" style="147" customWidth="1"/>
    <col min="11016" max="11016" width="8.75" style="147"/>
    <col min="11017" max="11017" width="7.75" style="147" customWidth="1"/>
    <col min="11018" max="11018" width="11.25" style="147" customWidth="1"/>
    <col min="11019" max="11019" width="1.75" style="147" customWidth="1"/>
    <col min="11020" max="11264" width="8.75" style="147"/>
    <col min="11265" max="11265" width="1.75" style="147" customWidth="1"/>
    <col min="11266" max="11266" width="13.875" style="147" customWidth="1"/>
    <col min="11267" max="11267" width="8.75" style="147"/>
    <col min="11268" max="11268" width="11.75" style="147" customWidth="1"/>
    <col min="11269" max="11269" width="9.875" style="147" customWidth="1"/>
    <col min="11270" max="11270" width="2.125" style="147" customWidth="1"/>
    <col min="11271" max="11271" width="10.25" style="147" customWidth="1"/>
    <col min="11272" max="11272" width="8.75" style="147"/>
    <col min="11273" max="11273" width="7.75" style="147" customWidth="1"/>
    <col min="11274" max="11274" width="11.25" style="147" customWidth="1"/>
    <col min="11275" max="11275" width="1.75" style="147" customWidth="1"/>
    <col min="11276" max="11520" width="8.75" style="147"/>
    <col min="11521" max="11521" width="1.75" style="147" customWidth="1"/>
    <col min="11522" max="11522" width="13.875" style="147" customWidth="1"/>
    <col min="11523" max="11523" width="8.75" style="147"/>
    <col min="11524" max="11524" width="11.75" style="147" customWidth="1"/>
    <col min="11525" max="11525" width="9.875" style="147" customWidth="1"/>
    <col min="11526" max="11526" width="2.125" style="147" customWidth="1"/>
    <col min="11527" max="11527" width="10.25" style="147" customWidth="1"/>
    <col min="11528" max="11528" width="8.75" style="147"/>
    <col min="11529" max="11529" width="7.75" style="147" customWidth="1"/>
    <col min="11530" max="11530" width="11.25" style="147" customWidth="1"/>
    <col min="11531" max="11531" width="1.75" style="147" customWidth="1"/>
    <col min="11532" max="11776" width="8.75" style="147"/>
    <col min="11777" max="11777" width="1.75" style="147" customWidth="1"/>
    <col min="11778" max="11778" width="13.875" style="147" customWidth="1"/>
    <col min="11779" max="11779" width="8.75" style="147"/>
    <col min="11780" max="11780" width="11.75" style="147" customWidth="1"/>
    <col min="11781" max="11781" width="9.875" style="147" customWidth="1"/>
    <col min="11782" max="11782" width="2.125" style="147" customWidth="1"/>
    <col min="11783" max="11783" width="10.25" style="147" customWidth="1"/>
    <col min="11784" max="11784" width="8.75" style="147"/>
    <col min="11785" max="11785" width="7.75" style="147" customWidth="1"/>
    <col min="11786" max="11786" width="11.25" style="147" customWidth="1"/>
    <col min="11787" max="11787" width="1.75" style="147" customWidth="1"/>
    <col min="11788" max="12032" width="8.75" style="147"/>
    <col min="12033" max="12033" width="1.75" style="147" customWidth="1"/>
    <col min="12034" max="12034" width="13.875" style="147" customWidth="1"/>
    <col min="12035" max="12035" width="8.75" style="147"/>
    <col min="12036" max="12036" width="11.75" style="147" customWidth="1"/>
    <col min="12037" max="12037" width="9.875" style="147" customWidth="1"/>
    <col min="12038" max="12038" width="2.125" style="147" customWidth="1"/>
    <col min="12039" max="12039" width="10.25" style="147" customWidth="1"/>
    <col min="12040" max="12040" width="8.75" style="147"/>
    <col min="12041" max="12041" width="7.75" style="147" customWidth="1"/>
    <col min="12042" max="12042" width="11.25" style="147" customWidth="1"/>
    <col min="12043" max="12043" width="1.75" style="147" customWidth="1"/>
    <col min="12044" max="12288" width="8.75" style="147"/>
    <col min="12289" max="12289" width="1.75" style="147" customWidth="1"/>
    <col min="12290" max="12290" width="13.875" style="147" customWidth="1"/>
    <col min="12291" max="12291" width="8.75" style="147"/>
    <col min="12292" max="12292" width="11.75" style="147" customWidth="1"/>
    <col min="12293" max="12293" width="9.875" style="147" customWidth="1"/>
    <col min="12294" max="12294" width="2.125" style="147" customWidth="1"/>
    <col min="12295" max="12295" width="10.25" style="147" customWidth="1"/>
    <col min="12296" max="12296" width="8.75" style="147"/>
    <col min="12297" max="12297" width="7.75" style="147" customWidth="1"/>
    <col min="12298" max="12298" width="11.25" style="147" customWidth="1"/>
    <col min="12299" max="12299" width="1.75" style="147" customWidth="1"/>
    <col min="12300" max="12544" width="8.75" style="147"/>
    <col min="12545" max="12545" width="1.75" style="147" customWidth="1"/>
    <col min="12546" max="12546" width="13.875" style="147" customWidth="1"/>
    <col min="12547" max="12547" width="8.75" style="147"/>
    <col min="12548" max="12548" width="11.75" style="147" customWidth="1"/>
    <col min="12549" max="12549" width="9.875" style="147" customWidth="1"/>
    <col min="12550" max="12550" width="2.125" style="147" customWidth="1"/>
    <col min="12551" max="12551" width="10.25" style="147" customWidth="1"/>
    <col min="12552" max="12552" width="8.75" style="147"/>
    <col min="12553" max="12553" width="7.75" style="147" customWidth="1"/>
    <col min="12554" max="12554" width="11.25" style="147" customWidth="1"/>
    <col min="12555" max="12555" width="1.75" style="147" customWidth="1"/>
    <col min="12556" max="12800" width="8.75" style="147"/>
    <col min="12801" max="12801" width="1.75" style="147" customWidth="1"/>
    <col min="12802" max="12802" width="13.875" style="147" customWidth="1"/>
    <col min="12803" max="12803" width="8.75" style="147"/>
    <col min="12804" max="12804" width="11.75" style="147" customWidth="1"/>
    <col min="12805" max="12805" width="9.875" style="147" customWidth="1"/>
    <col min="12806" max="12806" width="2.125" style="147" customWidth="1"/>
    <col min="12807" max="12807" width="10.25" style="147" customWidth="1"/>
    <col min="12808" max="12808" width="8.75" style="147"/>
    <col min="12809" max="12809" width="7.75" style="147" customWidth="1"/>
    <col min="12810" max="12810" width="11.25" style="147" customWidth="1"/>
    <col min="12811" max="12811" width="1.75" style="147" customWidth="1"/>
    <col min="12812" max="13056" width="8.75" style="147"/>
    <col min="13057" max="13057" width="1.75" style="147" customWidth="1"/>
    <col min="13058" max="13058" width="13.875" style="147" customWidth="1"/>
    <col min="13059" max="13059" width="8.75" style="147"/>
    <col min="13060" max="13060" width="11.75" style="147" customWidth="1"/>
    <col min="13061" max="13061" width="9.875" style="147" customWidth="1"/>
    <col min="13062" max="13062" width="2.125" style="147" customWidth="1"/>
    <col min="13063" max="13063" width="10.25" style="147" customWidth="1"/>
    <col min="13064" max="13064" width="8.75" style="147"/>
    <col min="13065" max="13065" width="7.75" style="147" customWidth="1"/>
    <col min="13066" max="13066" width="11.25" style="147" customWidth="1"/>
    <col min="13067" max="13067" width="1.75" style="147" customWidth="1"/>
    <col min="13068" max="13312" width="8.75" style="147"/>
    <col min="13313" max="13313" width="1.75" style="147" customWidth="1"/>
    <col min="13314" max="13314" width="13.875" style="147" customWidth="1"/>
    <col min="13315" max="13315" width="8.75" style="147"/>
    <col min="13316" max="13316" width="11.75" style="147" customWidth="1"/>
    <col min="13317" max="13317" width="9.875" style="147" customWidth="1"/>
    <col min="13318" max="13318" width="2.125" style="147" customWidth="1"/>
    <col min="13319" max="13319" width="10.25" style="147" customWidth="1"/>
    <col min="13320" max="13320" width="8.75" style="147"/>
    <col min="13321" max="13321" width="7.75" style="147" customWidth="1"/>
    <col min="13322" max="13322" width="11.25" style="147" customWidth="1"/>
    <col min="13323" max="13323" width="1.75" style="147" customWidth="1"/>
    <col min="13324" max="13568" width="8.75" style="147"/>
    <col min="13569" max="13569" width="1.75" style="147" customWidth="1"/>
    <col min="13570" max="13570" width="13.875" style="147" customWidth="1"/>
    <col min="13571" max="13571" width="8.75" style="147"/>
    <col min="13572" max="13572" width="11.75" style="147" customWidth="1"/>
    <col min="13573" max="13573" width="9.875" style="147" customWidth="1"/>
    <col min="13574" max="13574" width="2.125" style="147" customWidth="1"/>
    <col min="13575" max="13575" width="10.25" style="147" customWidth="1"/>
    <col min="13576" max="13576" width="8.75" style="147"/>
    <col min="13577" max="13577" width="7.75" style="147" customWidth="1"/>
    <col min="13578" max="13578" width="11.25" style="147" customWidth="1"/>
    <col min="13579" max="13579" width="1.75" style="147" customWidth="1"/>
    <col min="13580" max="13824" width="8.75" style="147"/>
    <col min="13825" max="13825" width="1.75" style="147" customWidth="1"/>
    <col min="13826" max="13826" width="13.875" style="147" customWidth="1"/>
    <col min="13827" max="13827" width="8.75" style="147"/>
    <col min="13828" max="13828" width="11.75" style="147" customWidth="1"/>
    <col min="13829" max="13829" width="9.875" style="147" customWidth="1"/>
    <col min="13830" max="13830" width="2.125" style="147" customWidth="1"/>
    <col min="13831" max="13831" width="10.25" style="147" customWidth="1"/>
    <col min="13832" max="13832" width="8.75" style="147"/>
    <col min="13833" max="13833" width="7.75" style="147" customWidth="1"/>
    <col min="13834" max="13834" width="11.25" style="147" customWidth="1"/>
    <col min="13835" max="13835" width="1.75" style="147" customWidth="1"/>
    <col min="13836" max="14080" width="8.75" style="147"/>
    <col min="14081" max="14081" width="1.75" style="147" customWidth="1"/>
    <col min="14082" max="14082" width="13.875" style="147" customWidth="1"/>
    <col min="14083" max="14083" width="8.75" style="147"/>
    <col min="14084" max="14084" width="11.75" style="147" customWidth="1"/>
    <col min="14085" max="14085" width="9.875" style="147" customWidth="1"/>
    <col min="14086" max="14086" width="2.125" style="147" customWidth="1"/>
    <col min="14087" max="14087" width="10.25" style="147" customWidth="1"/>
    <col min="14088" max="14088" width="8.75" style="147"/>
    <col min="14089" max="14089" width="7.75" style="147" customWidth="1"/>
    <col min="14090" max="14090" width="11.25" style="147" customWidth="1"/>
    <col min="14091" max="14091" width="1.75" style="147" customWidth="1"/>
    <col min="14092" max="14336" width="8.75" style="147"/>
    <col min="14337" max="14337" width="1.75" style="147" customWidth="1"/>
    <col min="14338" max="14338" width="13.875" style="147" customWidth="1"/>
    <col min="14339" max="14339" width="8.75" style="147"/>
    <col min="14340" max="14340" width="11.75" style="147" customWidth="1"/>
    <col min="14341" max="14341" width="9.875" style="147" customWidth="1"/>
    <col min="14342" max="14342" width="2.125" style="147" customWidth="1"/>
    <col min="14343" max="14343" width="10.25" style="147" customWidth="1"/>
    <col min="14344" max="14344" width="8.75" style="147"/>
    <col min="14345" max="14345" width="7.75" style="147" customWidth="1"/>
    <col min="14346" max="14346" width="11.25" style="147" customWidth="1"/>
    <col min="14347" max="14347" width="1.75" style="147" customWidth="1"/>
    <col min="14348" max="14592" width="8.75" style="147"/>
    <col min="14593" max="14593" width="1.75" style="147" customWidth="1"/>
    <col min="14594" max="14594" width="13.875" style="147" customWidth="1"/>
    <col min="14595" max="14595" width="8.75" style="147"/>
    <col min="14596" max="14596" width="11.75" style="147" customWidth="1"/>
    <col min="14597" max="14597" width="9.875" style="147" customWidth="1"/>
    <col min="14598" max="14598" width="2.125" style="147" customWidth="1"/>
    <col min="14599" max="14599" width="10.25" style="147" customWidth="1"/>
    <col min="14600" max="14600" width="8.75" style="147"/>
    <col min="14601" max="14601" width="7.75" style="147" customWidth="1"/>
    <col min="14602" max="14602" width="11.25" style="147" customWidth="1"/>
    <col min="14603" max="14603" width="1.75" style="147" customWidth="1"/>
    <col min="14604" max="14848" width="8.75" style="147"/>
    <col min="14849" max="14849" width="1.75" style="147" customWidth="1"/>
    <col min="14850" max="14850" width="13.875" style="147" customWidth="1"/>
    <col min="14851" max="14851" width="8.75" style="147"/>
    <col min="14852" max="14852" width="11.75" style="147" customWidth="1"/>
    <col min="14853" max="14853" width="9.875" style="147" customWidth="1"/>
    <col min="14854" max="14854" width="2.125" style="147" customWidth="1"/>
    <col min="14855" max="14855" width="10.25" style="147" customWidth="1"/>
    <col min="14856" max="14856" width="8.75" style="147"/>
    <col min="14857" max="14857" width="7.75" style="147" customWidth="1"/>
    <col min="14858" max="14858" width="11.25" style="147" customWidth="1"/>
    <col min="14859" max="14859" width="1.75" style="147" customWidth="1"/>
    <col min="14860" max="15104" width="8.75" style="147"/>
    <col min="15105" max="15105" width="1.75" style="147" customWidth="1"/>
    <col min="15106" max="15106" width="13.875" style="147" customWidth="1"/>
    <col min="15107" max="15107" width="8.75" style="147"/>
    <col min="15108" max="15108" width="11.75" style="147" customWidth="1"/>
    <col min="15109" max="15109" width="9.875" style="147" customWidth="1"/>
    <col min="15110" max="15110" width="2.125" style="147" customWidth="1"/>
    <col min="15111" max="15111" width="10.25" style="147" customWidth="1"/>
    <col min="15112" max="15112" width="8.75" style="147"/>
    <col min="15113" max="15113" width="7.75" style="147" customWidth="1"/>
    <col min="15114" max="15114" width="11.25" style="147" customWidth="1"/>
    <col min="15115" max="15115" width="1.75" style="147" customWidth="1"/>
    <col min="15116" max="15360" width="8.75" style="147"/>
    <col min="15361" max="15361" width="1.75" style="147" customWidth="1"/>
    <col min="15362" max="15362" width="13.875" style="147" customWidth="1"/>
    <col min="15363" max="15363" width="8.75" style="147"/>
    <col min="15364" max="15364" width="11.75" style="147" customWidth="1"/>
    <col min="15365" max="15365" width="9.875" style="147" customWidth="1"/>
    <col min="15366" max="15366" width="2.125" style="147" customWidth="1"/>
    <col min="15367" max="15367" width="10.25" style="147" customWidth="1"/>
    <col min="15368" max="15368" width="8.75" style="147"/>
    <col min="15369" max="15369" width="7.75" style="147" customWidth="1"/>
    <col min="15370" max="15370" width="11.25" style="147" customWidth="1"/>
    <col min="15371" max="15371" width="1.75" style="147" customWidth="1"/>
    <col min="15372" max="15616" width="8.75" style="147"/>
    <col min="15617" max="15617" width="1.75" style="147" customWidth="1"/>
    <col min="15618" max="15618" width="13.875" style="147" customWidth="1"/>
    <col min="15619" max="15619" width="8.75" style="147"/>
    <col min="15620" max="15620" width="11.75" style="147" customWidth="1"/>
    <col min="15621" max="15621" width="9.875" style="147" customWidth="1"/>
    <col min="15622" max="15622" width="2.125" style="147" customWidth="1"/>
    <col min="15623" max="15623" width="10.25" style="147" customWidth="1"/>
    <col min="15624" max="15624" width="8.75" style="147"/>
    <col min="15625" max="15625" width="7.75" style="147" customWidth="1"/>
    <col min="15626" max="15626" width="11.25" style="147" customWidth="1"/>
    <col min="15627" max="15627" width="1.75" style="147" customWidth="1"/>
    <col min="15628" max="15872" width="8.75" style="147"/>
    <col min="15873" max="15873" width="1.75" style="147" customWidth="1"/>
    <col min="15874" max="15874" width="13.875" style="147" customWidth="1"/>
    <col min="15875" max="15875" width="8.75" style="147"/>
    <col min="15876" max="15876" width="11.75" style="147" customWidth="1"/>
    <col min="15877" max="15877" width="9.875" style="147" customWidth="1"/>
    <col min="15878" max="15878" width="2.125" style="147" customWidth="1"/>
    <col min="15879" max="15879" width="10.25" style="147" customWidth="1"/>
    <col min="15880" max="15880" width="8.75" style="147"/>
    <col min="15881" max="15881" width="7.75" style="147" customWidth="1"/>
    <col min="15882" max="15882" width="11.25" style="147" customWidth="1"/>
    <col min="15883" max="15883" width="1.75" style="147" customWidth="1"/>
    <col min="15884" max="16128" width="8.75" style="147"/>
    <col min="16129" max="16129" width="1.75" style="147" customWidth="1"/>
    <col min="16130" max="16130" width="13.875" style="147" customWidth="1"/>
    <col min="16131" max="16131" width="8.75" style="147"/>
    <col min="16132" max="16132" width="11.75" style="147" customWidth="1"/>
    <col min="16133" max="16133" width="9.875" style="147" customWidth="1"/>
    <col min="16134" max="16134" width="2.125" style="147" customWidth="1"/>
    <col min="16135" max="16135" width="10.25" style="147" customWidth="1"/>
    <col min="16136" max="16136" width="8.75" style="147"/>
    <col min="16137" max="16137" width="7.75" style="147" customWidth="1"/>
    <col min="16138" max="16138" width="11.25" style="147" customWidth="1"/>
    <col min="16139" max="16139" width="1.75" style="147" customWidth="1"/>
    <col min="16140" max="16384" width="8.75" style="147"/>
  </cols>
  <sheetData>
    <row r="1" spans="1:23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29"/>
      <c r="T1" s="306"/>
    </row>
    <row r="2" spans="1:23" ht="59.25">
      <c r="A2" s="231"/>
      <c r="B2" s="232" t="s">
        <v>20</v>
      </c>
      <c r="C2" s="233"/>
      <c r="D2" s="234" t="s">
        <v>199</v>
      </c>
      <c r="E2" s="233"/>
      <c r="F2" s="233"/>
      <c r="G2" s="235"/>
      <c r="H2" s="236"/>
      <c r="I2" s="236"/>
      <c r="J2" s="236"/>
      <c r="K2" s="237"/>
    </row>
    <row r="3" spans="1:23">
      <c r="A3" s="231"/>
      <c r="B3" s="233"/>
      <c r="C3" s="233"/>
      <c r="D3" s="238"/>
      <c r="E3" s="238"/>
      <c r="F3" s="238"/>
      <c r="G3" s="238"/>
      <c r="H3" s="235"/>
      <c r="I3" s="236"/>
      <c r="J3" s="236"/>
      <c r="K3" s="237"/>
    </row>
    <row r="4" spans="1:23">
      <c r="A4" s="231"/>
      <c r="B4" s="239"/>
      <c r="C4" s="240"/>
      <c r="D4" s="240"/>
      <c r="E4" s="239"/>
      <c r="F4" s="239"/>
      <c r="G4" s="235"/>
      <c r="H4" s="235"/>
      <c r="I4" s="236"/>
      <c r="J4" s="236"/>
      <c r="K4" s="237"/>
    </row>
    <row r="5" spans="1:23" ht="16.5">
      <c r="A5" s="231"/>
      <c r="B5" s="241" t="s">
        <v>10</v>
      </c>
      <c r="C5" s="466"/>
      <c r="D5" s="466"/>
      <c r="E5" s="241"/>
      <c r="F5" s="241"/>
      <c r="G5" s="241" t="s">
        <v>200</v>
      </c>
      <c r="H5" s="235"/>
      <c r="I5" s="467"/>
      <c r="J5" s="467"/>
      <c r="K5" s="237"/>
    </row>
    <row r="6" spans="1:23">
      <c r="A6" s="231"/>
      <c r="B6" s="241"/>
      <c r="C6" s="241"/>
      <c r="D6" s="241"/>
      <c r="E6" s="241"/>
      <c r="F6" s="241"/>
      <c r="G6" s="235"/>
      <c r="H6" s="235"/>
      <c r="I6" s="236"/>
      <c r="J6" s="236"/>
      <c r="K6" s="237"/>
    </row>
    <row r="7" spans="1:23">
      <c r="A7" s="231"/>
      <c r="B7" s="241" t="s">
        <v>201</v>
      </c>
      <c r="C7" s="468">
        <f>INDEX(Schedule!$O:$O,MATCH('100-01'!$I$7,Schedule!$T:$T,0))</f>
        <v>8992</v>
      </c>
      <c r="D7" s="468"/>
      <c r="E7" s="241"/>
      <c r="F7" s="241"/>
      <c r="G7" s="241" t="s">
        <v>202</v>
      </c>
      <c r="H7" s="235"/>
      <c r="I7" s="468">
        <v>1920901</v>
      </c>
      <c r="J7" s="468"/>
      <c r="K7" s="237"/>
    </row>
    <row r="8" spans="1:23">
      <c r="A8" s="231"/>
      <c r="B8" s="233"/>
      <c r="C8" s="241"/>
      <c r="D8" s="241"/>
      <c r="E8" s="241"/>
      <c r="F8" s="241"/>
      <c r="G8" s="236"/>
      <c r="H8" s="235"/>
      <c r="I8" s="236"/>
      <c r="J8" s="236"/>
      <c r="K8" s="237"/>
    </row>
    <row r="9" spans="1:23">
      <c r="A9" s="231"/>
      <c r="B9" s="241" t="s">
        <v>203</v>
      </c>
      <c r="C9" s="468" t="str">
        <f>INDEX(Schedule!$S:$S,MATCH('100-01'!$I$7,Schedule!$T:$T,0))</f>
        <v>Ster Gen Purp/Instr/T 20C</v>
      </c>
      <c r="D9" s="468"/>
      <c r="E9" s="468"/>
      <c r="F9" s="241"/>
      <c r="G9" s="241" t="s">
        <v>204</v>
      </c>
      <c r="H9" s="235"/>
      <c r="I9" s="468" t="s">
        <v>250</v>
      </c>
      <c r="J9" s="468"/>
      <c r="K9" s="237"/>
    </row>
    <row r="10" spans="1:23">
      <c r="A10" s="231"/>
      <c r="B10" s="233"/>
      <c r="C10" s="241"/>
      <c r="D10" s="233"/>
      <c r="E10" s="241"/>
      <c r="F10" s="241"/>
      <c r="G10" s="236"/>
      <c r="H10" s="235"/>
      <c r="I10" s="236"/>
      <c r="J10" s="236"/>
      <c r="K10" s="237"/>
    </row>
    <row r="11" spans="1:23" ht="18">
      <c r="A11" s="231"/>
      <c r="B11" s="233"/>
      <c r="C11" s="233"/>
      <c r="D11" s="234" t="s">
        <v>205</v>
      </c>
      <c r="E11" s="233"/>
      <c r="F11" s="233"/>
      <c r="G11" s="235"/>
      <c r="H11" s="235"/>
      <c r="I11" s="236"/>
      <c r="J11" s="236"/>
      <c r="K11" s="237"/>
    </row>
    <row r="12" spans="1:23">
      <c r="A12" s="231"/>
      <c r="B12" s="242"/>
      <c r="C12" s="233"/>
      <c r="D12" s="233"/>
      <c r="E12" s="242"/>
      <c r="F12" s="242"/>
      <c r="G12" s="235"/>
      <c r="H12" s="235"/>
      <c r="I12" s="236"/>
      <c r="J12" s="236"/>
      <c r="K12" s="237"/>
    </row>
    <row r="13" spans="1:23" ht="15.75">
      <c r="A13" s="231"/>
      <c r="B13" s="242" t="s">
        <v>206</v>
      </c>
      <c r="C13" s="258">
        <f>INDEX(Schedule!$V:$V,MATCH('100-01'!$I$7,Schedule!$T:$T,0))</f>
        <v>50</v>
      </c>
      <c r="D13" s="243" t="s">
        <v>207</v>
      </c>
      <c r="E13" s="258">
        <f>IF(C13="","",C13)</f>
        <v>50</v>
      </c>
      <c r="F13" s="244"/>
      <c r="G13" s="242" t="s">
        <v>208</v>
      </c>
      <c r="H13" s="258"/>
      <c r="I13" s="245" t="s">
        <v>209</v>
      </c>
      <c r="J13" s="258"/>
      <c r="K13" s="246"/>
    </row>
    <row r="14" spans="1:23">
      <c r="A14" s="231"/>
      <c r="B14" s="236"/>
      <c r="C14" s="236"/>
      <c r="D14" s="233"/>
      <c r="E14" s="233"/>
      <c r="F14" s="233"/>
      <c r="G14" s="236"/>
      <c r="H14" s="236"/>
      <c r="I14" s="236"/>
      <c r="J14" s="236"/>
      <c r="K14" s="237"/>
    </row>
    <row r="15" spans="1:23" ht="18.75">
      <c r="A15" s="231"/>
      <c r="B15" s="247"/>
      <c r="C15" s="247"/>
      <c r="D15" s="247"/>
      <c r="E15" s="233"/>
      <c r="F15" s="233"/>
      <c r="G15" s="235"/>
      <c r="H15" s="235"/>
      <c r="I15" s="236"/>
      <c r="J15" s="236"/>
      <c r="K15" s="237"/>
      <c r="W15" s="147">
        <v>1920901</v>
      </c>
    </row>
    <row r="16" spans="1:23" ht="18">
      <c r="A16" s="231"/>
      <c r="B16" s="233"/>
      <c r="C16" s="233"/>
      <c r="D16" s="234" t="s">
        <v>210</v>
      </c>
      <c r="E16" s="233"/>
      <c r="F16" s="233"/>
      <c r="G16" s="236"/>
      <c r="H16" s="235"/>
      <c r="I16" s="236"/>
      <c r="J16" s="236"/>
      <c r="K16" s="237"/>
      <c r="T16" s="203">
        <f>'09-54-01 BIC'!$B$12</f>
        <v>0</v>
      </c>
      <c r="W16" s="299">
        <v>0</v>
      </c>
    </row>
    <row r="17" spans="1:23">
      <c r="A17" s="231"/>
      <c r="B17" s="239"/>
      <c r="C17" s="233"/>
      <c r="D17" s="233"/>
      <c r="E17" s="233"/>
      <c r="F17" s="233"/>
      <c r="G17" s="235"/>
      <c r="H17" s="235"/>
      <c r="I17" s="236"/>
      <c r="J17" s="236"/>
      <c r="K17" s="237"/>
      <c r="T17" s="203">
        <f>'09-54-01 BIC'!$B$16</f>
        <v>0</v>
      </c>
      <c r="W17"/>
    </row>
    <row r="18" spans="1:23">
      <c r="A18" s="231"/>
      <c r="B18" s="236"/>
      <c r="C18" s="248" t="s">
        <v>211</v>
      </c>
      <c r="D18" s="258"/>
      <c r="E18" s="236"/>
      <c r="F18" s="242"/>
      <c r="G18" s="245" t="s">
        <v>212</v>
      </c>
      <c r="H18" s="258"/>
      <c r="I18" s="236"/>
      <c r="J18" s="236"/>
      <c r="K18" s="237"/>
      <c r="T18" s="203">
        <f>'09-54-01 BIC'!$B$20</f>
        <v>0</v>
      </c>
      <c r="W18"/>
    </row>
    <row r="19" spans="1:23">
      <c r="A19" s="231"/>
      <c r="B19" s="239"/>
      <c r="C19" s="233"/>
      <c r="D19" s="249"/>
      <c r="E19" s="242"/>
      <c r="F19" s="242"/>
      <c r="G19" s="236"/>
      <c r="H19" s="250"/>
      <c r="I19" s="236"/>
      <c r="J19" s="236"/>
      <c r="K19" s="237"/>
      <c r="T19" s="203">
        <f>'09-54-01 BIC'!$B$24</f>
        <v>0</v>
      </c>
      <c r="W19"/>
    </row>
    <row r="20" spans="1:23" ht="18">
      <c r="A20" s="231"/>
      <c r="B20" s="240"/>
      <c r="C20" s="240"/>
      <c r="D20" s="234" t="s">
        <v>213</v>
      </c>
      <c r="E20" s="233"/>
      <c r="F20" s="233"/>
      <c r="G20" s="251"/>
      <c r="H20" s="251"/>
      <c r="I20" s="236"/>
      <c r="J20" s="236"/>
      <c r="K20" s="237"/>
      <c r="T20" s="203">
        <f>'09-54-01 BIC'!$C$12</f>
        <v>0</v>
      </c>
      <c r="W20"/>
    </row>
    <row r="21" spans="1:23">
      <c r="A21" s="231"/>
      <c r="B21" s="233"/>
      <c r="C21" s="233"/>
      <c r="D21" s="233"/>
      <c r="E21" s="233"/>
      <c r="F21" s="233"/>
      <c r="G21" s="252"/>
      <c r="H21" s="252"/>
      <c r="I21" s="236"/>
      <c r="J21" s="236"/>
      <c r="K21" s="237"/>
      <c r="T21" s="203">
        <f>'09-54-01 BIC'!$C$16</f>
        <v>0</v>
      </c>
      <c r="W21"/>
    </row>
    <row r="22" spans="1:23" ht="15">
      <c r="A22" s="231"/>
      <c r="B22" s="253" t="s">
        <v>214</v>
      </c>
      <c r="C22" s="258">
        <f>ROUND(SQRT(C13)+1, 0)</f>
        <v>8</v>
      </c>
      <c r="D22" s="254" t="s">
        <v>215</v>
      </c>
      <c r="E22" s="255" t="s">
        <v>184</v>
      </c>
      <c r="F22" s="245"/>
      <c r="G22" s="230"/>
      <c r="H22" s="256" t="s">
        <v>216</v>
      </c>
      <c r="I22" s="230"/>
      <c r="J22" s="230"/>
      <c r="K22" s="237"/>
      <c r="T22" s="203">
        <f>'09-54-01 BIC'!$C$20</f>
        <v>0</v>
      </c>
      <c r="W22"/>
    </row>
    <row r="23" spans="1:23" ht="15">
      <c r="A23" s="231"/>
      <c r="B23" s="257" t="s">
        <v>217</v>
      </c>
      <c r="C23" s="258">
        <v>80</v>
      </c>
      <c r="D23" s="259" t="s">
        <v>218</v>
      </c>
      <c r="E23" s="260"/>
      <c r="F23" s="261"/>
      <c r="G23" s="469"/>
      <c r="H23" s="469"/>
      <c r="I23" s="469"/>
      <c r="J23" s="469"/>
      <c r="K23" s="237"/>
      <c r="T23" s="203">
        <f>'09-54-01 BIC'!$C$24</f>
        <v>0</v>
      </c>
      <c r="W23"/>
    </row>
    <row r="24" spans="1:23">
      <c r="A24" s="231"/>
      <c r="B24" s="262"/>
      <c r="C24" s="262"/>
      <c r="D24" s="262"/>
      <c r="E24" s="263"/>
      <c r="F24" s="261"/>
      <c r="G24" s="469"/>
      <c r="H24" s="469"/>
      <c r="I24" s="469"/>
      <c r="J24" s="469"/>
      <c r="K24" s="237"/>
      <c r="T24" s="203">
        <f>'09-54-01 BIC'!$D$12</f>
        <v>0</v>
      </c>
      <c r="W24"/>
    </row>
    <row r="25" spans="1:23">
      <c r="A25" s="231"/>
      <c r="B25" s="239"/>
      <c r="C25" s="233"/>
      <c r="D25" s="233"/>
      <c r="E25" s="235"/>
      <c r="F25" s="235"/>
      <c r="G25" s="235"/>
      <c r="H25" s="235"/>
      <c r="I25" s="236"/>
      <c r="J25" s="236"/>
      <c r="K25" s="237"/>
      <c r="T25" s="203">
        <f>'09-54-01 BIC'!$D$16</f>
        <v>0</v>
      </c>
      <c r="W25"/>
    </row>
    <row r="26" spans="1:23">
      <c r="A26" s="231"/>
      <c r="B26" s="253" t="s">
        <v>219</v>
      </c>
      <c r="C26" s="264"/>
      <c r="D26" s="265"/>
      <c r="E26" s="255" t="s">
        <v>184</v>
      </c>
      <c r="F26" s="245"/>
      <c r="G26" s="236"/>
      <c r="H26" s="266" t="s">
        <v>216</v>
      </c>
      <c r="I26" s="230"/>
      <c r="J26" s="230"/>
      <c r="K26" s="237"/>
      <c r="T26" s="203">
        <f>'09-54-01 BIC'!$D$20</f>
        <v>0</v>
      </c>
      <c r="W26"/>
    </row>
    <row r="27" spans="1:23">
      <c r="A27" s="231"/>
      <c r="B27" s="239"/>
      <c r="C27" s="240"/>
      <c r="D27" s="233"/>
      <c r="E27" s="263"/>
      <c r="F27" s="261"/>
      <c r="G27" s="469"/>
      <c r="H27" s="469"/>
      <c r="I27" s="469"/>
      <c r="J27" s="469"/>
      <c r="K27" s="267"/>
      <c r="T27" s="203">
        <f>'09-54-01 BIC'!$D$24</f>
        <v>0</v>
      </c>
      <c r="W27"/>
    </row>
    <row r="28" spans="1:23">
      <c r="A28" s="231"/>
      <c r="B28" s="262"/>
      <c r="C28" s="262"/>
      <c r="D28" s="262"/>
      <c r="E28" s="263"/>
      <c r="F28" s="261"/>
      <c r="G28" s="469"/>
      <c r="H28" s="469"/>
      <c r="I28" s="469"/>
      <c r="J28" s="469"/>
      <c r="K28" s="267"/>
      <c r="T28" s="203">
        <f>'09-54-01 BIC'!$E$12</f>
        <v>0</v>
      </c>
      <c r="W28"/>
    </row>
    <row r="29" spans="1:23">
      <c r="A29" s="231"/>
      <c r="B29" s="240"/>
      <c r="C29" s="240"/>
      <c r="D29" s="240"/>
      <c r="E29" s="268"/>
      <c r="F29" s="268"/>
      <c r="G29" s="235"/>
      <c r="H29" s="235"/>
      <c r="I29" s="236"/>
      <c r="J29" s="236"/>
      <c r="K29" s="237"/>
      <c r="T29" s="203">
        <f>'09-54-01 BIC'!$E$16</f>
        <v>0</v>
      </c>
      <c r="W29"/>
    </row>
    <row r="30" spans="1:23">
      <c r="A30" s="231"/>
      <c r="B30" s="239"/>
      <c r="C30" s="240"/>
      <c r="D30" s="233"/>
      <c r="E30" s="235"/>
      <c r="F30" s="235"/>
      <c r="G30" s="235"/>
      <c r="H30" s="235"/>
      <c r="I30" s="236"/>
      <c r="J30" s="236"/>
      <c r="K30" s="237"/>
      <c r="T30" s="203">
        <f>'09-54-01 BIC'!$E$20</f>
        <v>0</v>
      </c>
      <c r="W30"/>
    </row>
    <row r="31" spans="1:23">
      <c r="A31" s="231"/>
      <c r="B31" s="253" t="s">
        <v>220</v>
      </c>
      <c r="C31" s="240"/>
      <c r="D31" s="233"/>
      <c r="E31" s="255" t="s">
        <v>184</v>
      </c>
      <c r="F31" s="245"/>
      <c r="G31" s="230"/>
      <c r="H31" s="266" t="s">
        <v>216</v>
      </c>
      <c r="I31" s="230"/>
      <c r="J31" s="230"/>
      <c r="K31" s="237"/>
      <c r="T31" s="203">
        <f>'09-54-01 BIC'!$E$24</f>
        <v>0</v>
      </c>
      <c r="W31"/>
    </row>
    <row r="32" spans="1:23">
      <c r="A32" s="231"/>
      <c r="B32" s="240"/>
      <c r="C32" s="240"/>
      <c r="D32" s="262"/>
      <c r="E32" s="262"/>
      <c r="F32" s="262"/>
      <c r="G32" s="235"/>
      <c r="H32" s="235"/>
      <c r="I32" s="236"/>
      <c r="J32" s="236"/>
      <c r="K32" s="237"/>
      <c r="T32" s="203">
        <f>'09-54-01 BIC'!$F$12</f>
        <v>0</v>
      </c>
      <c r="W32"/>
    </row>
    <row r="33" spans="1:23">
      <c r="A33" s="231"/>
      <c r="B33" s="242" t="s">
        <v>221</v>
      </c>
      <c r="C33" s="233"/>
      <c r="D33" s="233"/>
      <c r="E33" s="269"/>
      <c r="F33" s="233"/>
      <c r="G33" s="470"/>
      <c r="H33" s="470"/>
      <c r="I33" s="470"/>
      <c r="J33" s="470"/>
      <c r="K33" s="237"/>
      <c r="T33" s="203">
        <f>'09-54-01 BIC'!$F$16</f>
        <v>0</v>
      </c>
      <c r="W33"/>
    </row>
    <row r="34" spans="1:23">
      <c r="A34" s="231"/>
      <c r="B34" s="270" t="s">
        <v>222</v>
      </c>
      <c r="C34" s="271"/>
      <c r="D34" s="240"/>
      <c r="E34" s="272"/>
      <c r="F34" s="233"/>
      <c r="G34" s="465"/>
      <c r="H34" s="465"/>
      <c r="I34" s="465"/>
      <c r="J34" s="465"/>
      <c r="K34" s="267"/>
      <c r="T34" s="203">
        <f>'09-54-01 BIC'!$F$20</f>
        <v>0</v>
      </c>
      <c r="W34"/>
    </row>
    <row r="35" spans="1:23">
      <c r="A35" s="231"/>
      <c r="B35" s="270" t="s">
        <v>223</v>
      </c>
      <c r="C35" s="273"/>
      <c r="D35" s="242"/>
      <c r="E35" s="273"/>
      <c r="F35" s="233"/>
      <c r="G35" s="465"/>
      <c r="H35" s="465"/>
      <c r="I35" s="465"/>
      <c r="J35" s="465"/>
      <c r="K35" s="267"/>
      <c r="T35" s="203">
        <f>'09-54-01 BIC'!$F$24</f>
        <v>0</v>
      </c>
      <c r="W35"/>
    </row>
    <row r="36" spans="1:23">
      <c r="A36" s="231"/>
      <c r="B36" s="270" t="s">
        <v>224</v>
      </c>
      <c r="C36" s="273"/>
      <c r="D36" s="274"/>
      <c r="E36" s="271"/>
      <c r="F36" s="240"/>
      <c r="G36" s="465"/>
      <c r="H36" s="465"/>
      <c r="I36" s="465"/>
      <c r="J36" s="465"/>
      <c r="K36" s="267"/>
      <c r="T36" s="203">
        <f>'09-54-01 BIC'!$G$12</f>
        <v>0</v>
      </c>
      <c r="W36"/>
    </row>
    <row r="37" spans="1:23">
      <c r="A37" s="231"/>
      <c r="B37" s="239"/>
      <c r="C37" s="233"/>
      <c r="D37" s="274"/>
      <c r="E37" s="274"/>
      <c r="F37" s="274"/>
      <c r="G37" s="235"/>
      <c r="H37" s="235"/>
      <c r="I37" s="236"/>
      <c r="J37" s="236"/>
      <c r="K37" s="237"/>
      <c r="T37" s="203">
        <f>'09-54-01 BIC'!$G$16</f>
        <v>0</v>
      </c>
      <c r="W37"/>
    </row>
    <row r="38" spans="1:23">
      <c r="A38" s="231"/>
      <c r="B38" s="239"/>
      <c r="C38" s="233"/>
      <c r="D38" s="274"/>
      <c r="E38" s="274"/>
      <c r="F38" s="274"/>
      <c r="G38" s="235"/>
      <c r="H38" s="235"/>
      <c r="I38" s="236"/>
      <c r="J38" s="236"/>
      <c r="K38" s="237"/>
      <c r="T38" s="203">
        <f>'09-54-01 BIC'!$G$20</f>
        <v>0</v>
      </c>
      <c r="W38"/>
    </row>
    <row r="39" spans="1:23" ht="15">
      <c r="A39" s="231"/>
      <c r="B39" s="275" t="s">
        <v>225</v>
      </c>
      <c r="C39" s="276"/>
      <c r="D39" s="236"/>
      <c r="E39" s="275" t="s">
        <v>226</v>
      </c>
      <c r="F39" s="275"/>
      <c r="G39" s="276"/>
      <c r="H39" s="275" t="s">
        <v>227</v>
      </c>
      <c r="I39" s="236"/>
      <c r="J39" s="277"/>
      <c r="K39" s="278"/>
      <c r="T39" s="203">
        <f>'09-54-01 BIC'!$G$24</f>
        <v>0</v>
      </c>
      <c r="W39"/>
    </row>
    <row r="40" spans="1:23">
      <c r="A40" s="231"/>
      <c r="B40" s="239"/>
      <c r="C40" s="233"/>
      <c r="D40" s="233"/>
      <c r="E40" s="233"/>
      <c r="F40" s="233"/>
      <c r="G40" s="235"/>
      <c r="H40" s="235"/>
      <c r="I40" s="236"/>
      <c r="J40" s="236"/>
      <c r="K40" s="237"/>
      <c r="T40" s="203">
        <f>'09-54-01 BIC'!$H$12</f>
        <v>0</v>
      </c>
      <c r="W40"/>
    </row>
    <row r="41" spans="1:23" ht="16.5">
      <c r="A41" s="231"/>
      <c r="B41" s="279" t="s">
        <v>228</v>
      </c>
      <c r="C41" s="471"/>
      <c r="D41" s="471"/>
      <c r="E41" s="471"/>
      <c r="F41" s="471"/>
      <c r="G41" s="471"/>
      <c r="H41" s="471"/>
      <c r="I41" s="471"/>
      <c r="J41" s="471"/>
      <c r="K41" s="237"/>
      <c r="T41" s="203">
        <f>'09-54-01 BIC'!$H$16</f>
        <v>0</v>
      </c>
      <c r="W41"/>
    </row>
    <row r="42" spans="1:23" ht="15.75">
      <c r="A42" s="231"/>
      <c r="B42" s="472"/>
      <c r="C42" s="472"/>
      <c r="D42" s="472"/>
      <c r="E42" s="472"/>
      <c r="F42" s="472"/>
      <c r="G42" s="472"/>
      <c r="H42" s="472"/>
      <c r="I42" s="472"/>
      <c r="J42" s="472"/>
      <c r="K42" s="237"/>
      <c r="T42" s="203">
        <f>'09-54-01 BIC'!$H$20</f>
        <v>0</v>
      </c>
      <c r="W42"/>
    </row>
    <row r="43" spans="1:23" ht="15.75">
      <c r="A43" s="231"/>
      <c r="B43" s="473"/>
      <c r="C43" s="473"/>
      <c r="D43" s="473"/>
      <c r="E43" s="473"/>
      <c r="F43" s="473"/>
      <c r="G43" s="473"/>
      <c r="H43" s="473"/>
      <c r="I43" s="473"/>
      <c r="J43" s="473"/>
      <c r="K43" s="237"/>
      <c r="T43" s="203">
        <f>'09-54-01 BIC'!$H$24</f>
        <v>0</v>
      </c>
      <c r="W43"/>
    </row>
    <row r="44" spans="1:23">
      <c r="A44" s="231"/>
      <c r="B44" s="233"/>
      <c r="C44" s="233"/>
      <c r="D44" s="233"/>
      <c r="E44" s="233"/>
      <c r="F44" s="233"/>
      <c r="G44" s="235"/>
      <c r="H44" s="235"/>
      <c r="I44" s="236"/>
      <c r="J44" s="236"/>
      <c r="K44" s="237"/>
      <c r="T44" s="203">
        <f>'09-54-01 BIC'!$I$12</f>
        <v>0</v>
      </c>
      <c r="W44"/>
    </row>
    <row r="45" spans="1:23" s="151" customFormat="1" ht="12.75">
      <c r="A45" s="280"/>
      <c r="B45" s="281" t="s">
        <v>229</v>
      </c>
      <c r="C45" s="281"/>
      <c r="D45" s="281"/>
      <c r="E45" s="281"/>
      <c r="F45" s="281"/>
      <c r="G45" s="282"/>
      <c r="H45" s="282"/>
      <c r="I45" s="283"/>
      <c r="J45" s="284" t="s">
        <v>230</v>
      </c>
      <c r="K45" s="285"/>
      <c r="T45" s="203">
        <f>'09-54-01 BIC'!$I$16</f>
        <v>0</v>
      </c>
      <c r="W45"/>
    </row>
    <row r="46" spans="1:23">
      <c r="T46" s="203">
        <f>'09-54-01 BIC'!$I$20</f>
        <v>0</v>
      </c>
      <c r="W46"/>
    </row>
    <row r="47" spans="1:23">
      <c r="T47" s="203">
        <f>'09-54-01 BIC'!$I$24</f>
        <v>0</v>
      </c>
      <c r="W47"/>
    </row>
    <row r="48" spans="1:23">
      <c r="T48" s="203">
        <f>'09-54-01 BIC'!$J$12</f>
        <v>0</v>
      </c>
      <c r="W48"/>
    </row>
    <row r="49" spans="20:23">
      <c r="T49" s="203">
        <f>'09-54-01 BIC'!$J$16</f>
        <v>0</v>
      </c>
      <c r="W49"/>
    </row>
    <row r="50" spans="20:23">
      <c r="T50" s="203">
        <f>'09-54-01 BIC'!$J$20</f>
        <v>0</v>
      </c>
      <c r="W50"/>
    </row>
    <row r="51" spans="20:23">
      <c r="T51" s="203">
        <f>'09-54-01 BIC'!$J$24</f>
        <v>0</v>
      </c>
      <c r="W51"/>
    </row>
    <row r="52" spans="20:23">
      <c r="T52" s="203">
        <f>'09-54-01 BIC'!$K$12</f>
        <v>0</v>
      </c>
      <c r="W52"/>
    </row>
    <row r="53" spans="20:23">
      <c r="T53" s="203">
        <f>'09-54-01 BIC'!$K$16</f>
        <v>0</v>
      </c>
      <c r="W53"/>
    </row>
    <row r="54" spans="20:23">
      <c r="T54" s="203">
        <f>'09-54-01 BIC'!$K$20</f>
        <v>0</v>
      </c>
      <c r="W54"/>
    </row>
    <row r="55" spans="20:23">
      <c r="T55" s="203">
        <f>'09-54-01 BIC'!$K$24</f>
        <v>0</v>
      </c>
      <c r="W55"/>
    </row>
    <row r="56" spans="20:23">
      <c r="T56" s="203">
        <f>'09-54-01 BIC'!$L$12</f>
        <v>0</v>
      </c>
      <c r="W56"/>
    </row>
    <row r="57" spans="20:23">
      <c r="T57" s="203">
        <f>'09-54-01 BIC'!$L$16</f>
        <v>0</v>
      </c>
      <c r="W57"/>
    </row>
    <row r="58" spans="20:23">
      <c r="T58" s="203">
        <f>'09-54-01 BIC'!$L$20</f>
        <v>0</v>
      </c>
      <c r="W58"/>
    </row>
    <row r="59" spans="20:23">
      <c r="T59" s="203">
        <f>'09-54-01 BIC'!$L$24</f>
        <v>0</v>
      </c>
      <c r="W59"/>
    </row>
    <row r="60" spans="20:23">
      <c r="T60" s="203">
        <f>'09-54-01 BIC'!$M$12</f>
        <v>0</v>
      </c>
      <c r="W60"/>
    </row>
    <row r="61" spans="20:23">
      <c r="T61" s="203">
        <f>'09-54-01 BIC'!$M$16</f>
        <v>0</v>
      </c>
      <c r="W61"/>
    </row>
    <row r="62" spans="20:23">
      <c r="T62" s="203">
        <f>'09-54-01 BIC'!$M$20</f>
        <v>0</v>
      </c>
      <c r="W62"/>
    </row>
    <row r="63" spans="20:23">
      <c r="T63" s="203">
        <f>'09-54-01 BIC'!$M$24</f>
        <v>0</v>
      </c>
    </row>
  </sheetData>
  <sortState ref="W15:W62">
    <sortCondition descending="1" ref="W15:W62"/>
  </sortState>
  <mergeCells count="17">
    <mergeCell ref="G35:J35"/>
    <mergeCell ref="G36:J36"/>
    <mergeCell ref="C41:J41"/>
    <mergeCell ref="B42:J42"/>
    <mergeCell ref="B43:J43"/>
    <mergeCell ref="G34:J34"/>
    <mergeCell ref="C5:D5"/>
    <mergeCell ref="I5:J5"/>
    <mergeCell ref="C7:D7"/>
    <mergeCell ref="I7:J7"/>
    <mergeCell ref="C9:E9"/>
    <mergeCell ref="I9:J9"/>
    <mergeCell ref="G23:J23"/>
    <mergeCell ref="G24:J24"/>
    <mergeCell ref="G27:J27"/>
    <mergeCell ref="G28:J28"/>
    <mergeCell ref="G33:J33"/>
  </mergeCells>
  <dataValidations count="1">
    <dataValidation type="list" showInputMessage="1" showErrorMessage="1" sqref="I7:J7" xr:uid="{4A34938C-B438-40FD-B643-9294A3A61184}">
      <formula1>$W$15:$W$15</formula1>
    </dataValidation>
  </dataValidations>
  <printOptions horizontalCentered="1"/>
  <pageMargins left="0.5" right="0.5" top="0.5" bottom="0.5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loop_through_list_two">
                <anchor moveWithCells="1" sizeWithCells="1">
                  <from>
                    <xdr:col>12</xdr:col>
                    <xdr:colOff>295275</xdr:colOff>
                    <xdr:row>4</xdr:row>
                    <xdr:rowOff>57150</xdr:rowOff>
                  </from>
                  <to>
                    <xdr:col>13</xdr:col>
                    <xdr:colOff>657225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Z130"/>
  <sheetViews>
    <sheetView topLeftCell="A55" workbookViewId="0">
      <selection activeCell="A112" sqref="A112:XFD112"/>
    </sheetView>
  </sheetViews>
  <sheetFormatPr defaultRowHeight="12.75"/>
  <cols>
    <col min="1" max="1" width="9.625" bestFit="1" customWidth="1"/>
    <col min="2" max="2" width="12.5" style="198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98" bestFit="1" customWidth="1"/>
    <col min="11" max="11" width="14.875" style="198" bestFit="1" customWidth="1"/>
    <col min="12" max="12" width="8.375" bestFit="1" customWidth="1"/>
    <col min="13" max="13" width="12.75" style="198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3.62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167</v>
      </c>
      <c r="B1" s="198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s="198" t="s">
        <v>176</v>
      </c>
      <c r="K1" s="198" t="s">
        <v>177</v>
      </c>
      <c r="M1" s="198" t="s">
        <v>178</v>
      </c>
      <c r="O1" t="s">
        <v>179</v>
      </c>
      <c r="P1" t="s">
        <v>180</v>
      </c>
      <c r="Q1" t="s">
        <v>181</v>
      </c>
      <c r="S1" t="s">
        <v>182</v>
      </c>
      <c r="U1" t="s">
        <v>183</v>
      </c>
      <c r="V1" t="s">
        <v>184</v>
      </c>
      <c r="W1" t="s">
        <v>185</v>
      </c>
      <c r="X1" t="s">
        <v>180</v>
      </c>
      <c r="Y1" t="s">
        <v>186</v>
      </c>
    </row>
    <row r="2" spans="1:26">
      <c r="A2" t="s">
        <v>235</v>
      </c>
      <c r="B2" s="198">
        <v>43768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43768</v>
      </c>
      <c r="K2" s="198">
        <v>43769</v>
      </c>
      <c r="L2" t="s">
        <v>188</v>
      </c>
      <c r="M2" s="198">
        <v>43773</v>
      </c>
      <c r="N2">
        <v>0.54214120370370367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1920883</v>
      </c>
      <c r="U2">
        <v>13</v>
      </c>
      <c r="V2">
        <v>40</v>
      </c>
      <c r="W2" t="s">
        <v>238</v>
      </c>
      <c r="X2" s="198">
        <v>43760</v>
      </c>
      <c r="Y2">
        <v>5</v>
      </c>
      <c r="Z2">
        <v>0.22346368715083798</v>
      </c>
    </row>
    <row r="3" spans="1:26">
      <c r="A3" t="s">
        <v>239</v>
      </c>
      <c r="B3" s="198">
        <v>43768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43768</v>
      </c>
      <c r="K3" s="198">
        <v>43769</v>
      </c>
      <c r="L3" t="s">
        <v>189</v>
      </c>
      <c r="M3" s="198">
        <v>43773</v>
      </c>
      <c r="N3">
        <v>0.2711574074074074</v>
      </c>
      <c r="O3">
        <v>281</v>
      </c>
      <c r="P3" t="s">
        <v>134</v>
      </c>
      <c r="Q3" t="s">
        <v>240</v>
      </c>
      <c r="R3">
        <v>10.5</v>
      </c>
      <c r="S3" t="s">
        <v>241</v>
      </c>
      <c r="T3">
        <v>1920915</v>
      </c>
      <c r="U3">
        <v>13</v>
      </c>
      <c r="V3">
        <v>58</v>
      </c>
      <c r="X3" s="198">
        <v>43809</v>
      </c>
      <c r="Y3">
        <v>2</v>
      </c>
      <c r="Z3">
        <v>0.11764705882352941</v>
      </c>
    </row>
    <row r="4" spans="1:26">
      <c r="A4" t="s">
        <v>242</v>
      </c>
      <c r="B4" s="198">
        <v>43768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H4" t="s">
        <v>187</v>
      </c>
      <c r="I4" t="s">
        <v>187</v>
      </c>
      <c r="J4" s="198">
        <v>43768</v>
      </c>
      <c r="K4" s="198">
        <v>43769</v>
      </c>
      <c r="L4" t="s">
        <v>189</v>
      </c>
      <c r="M4" s="198">
        <v>43773</v>
      </c>
      <c r="N4">
        <v>0.29564814814814816</v>
      </c>
      <c r="O4">
        <v>282</v>
      </c>
      <c r="P4" t="s">
        <v>134</v>
      </c>
      <c r="Q4" t="s">
        <v>240</v>
      </c>
      <c r="R4">
        <v>10.5</v>
      </c>
      <c r="S4" t="s">
        <v>243</v>
      </c>
      <c r="T4">
        <v>1920917</v>
      </c>
      <c r="U4">
        <v>13</v>
      </c>
      <c r="V4">
        <v>58</v>
      </c>
      <c r="X4" s="198">
        <v>43826</v>
      </c>
      <c r="Y4">
        <v>2</v>
      </c>
      <c r="Z4">
        <v>0.11764705882352941</v>
      </c>
    </row>
    <row r="5" spans="1:26">
      <c r="A5" t="s">
        <v>244</v>
      </c>
      <c r="B5" s="198">
        <v>43768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I5" t="s">
        <v>187</v>
      </c>
      <c r="J5" s="198">
        <v>43768</v>
      </c>
      <c r="K5" s="198">
        <v>43769</v>
      </c>
      <c r="L5" t="s">
        <v>189</v>
      </c>
      <c r="M5" s="198">
        <v>43773</v>
      </c>
      <c r="N5">
        <v>0.32708333333333334</v>
      </c>
      <c r="O5">
        <v>283</v>
      </c>
      <c r="P5" t="s">
        <v>134</v>
      </c>
      <c r="Q5" t="s">
        <v>240</v>
      </c>
      <c r="R5">
        <v>10.5</v>
      </c>
      <c r="S5" t="s">
        <v>245</v>
      </c>
      <c r="T5">
        <v>1920913</v>
      </c>
      <c r="U5">
        <v>13</v>
      </c>
      <c r="V5">
        <v>29</v>
      </c>
      <c r="X5" s="198">
        <v>43817</v>
      </c>
      <c r="Y5">
        <v>2</v>
      </c>
      <c r="Z5">
        <v>5.8823529411764705E-2</v>
      </c>
    </row>
    <row r="6" spans="1:26">
      <c r="A6" t="s">
        <v>246</v>
      </c>
      <c r="B6" s="198">
        <v>43761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s="198">
        <v>43767</v>
      </c>
      <c r="K6" s="198">
        <v>43768</v>
      </c>
      <c r="L6" t="s">
        <v>189</v>
      </c>
      <c r="M6" s="198">
        <v>43773</v>
      </c>
      <c r="N6">
        <v>0.38105324074074076</v>
      </c>
      <c r="O6">
        <v>8476</v>
      </c>
      <c r="P6" t="s">
        <v>138</v>
      </c>
      <c r="Q6" t="s">
        <v>247</v>
      </c>
      <c r="R6">
        <v>0</v>
      </c>
      <c r="S6" t="s">
        <v>248</v>
      </c>
      <c r="T6">
        <v>1931239</v>
      </c>
      <c r="U6">
        <v>3</v>
      </c>
      <c r="V6">
        <v>120</v>
      </c>
      <c r="X6" s="198">
        <v>43759</v>
      </c>
      <c r="Y6">
        <v>8</v>
      </c>
      <c r="Z6">
        <v>1.5384615384615385</v>
      </c>
    </row>
    <row r="7" spans="1:26">
      <c r="A7" t="s">
        <v>251</v>
      </c>
      <c r="B7">
        <v>43773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I7" t="s">
        <v>187</v>
      </c>
      <c r="J7">
        <v>43773</v>
      </c>
      <c r="K7">
        <v>43774</v>
      </c>
      <c r="L7" t="s">
        <v>189</v>
      </c>
      <c r="M7">
        <v>43775</v>
      </c>
      <c r="N7">
        <v>0.27630787037037036</v>
      </c>
      <c r="O7">
        <v>750</v>
      </c>
      <c r="P7" t="s">
        <v>133</v>
      </c>
      <c r="Q7" t="s">
        <v>252</v>
      </c>
      <c r="R7">
        <v>8.5</v>
      </c>
      <c r="S7" t="s">
        <v>253</v>
      </c>
      <c r="T7">
        <v>1920867</v>
      </c>
      <c r="U7">
        <v>13</v>
      </c>
      <c r="V7">
        <v>60</v>
      </c>
      <c r="X7">
        <v>43780</v>
      </c>
      <c r="Y7">
        <v>4</v>
      </c>
      <c r="Z7">
        <v>0.5</v>
      </c>
    </row>
    <row r="8" spans="1:26">
      <c r="A8" t="s">
        <v>254</v>
      </c>
      <c r="B8">
        <v>43773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I8" t="s">
        <v>187</v>
      </c>
      <c r="J8">
        <v>43773</v>
      </c>
      <c r="K8">
        <v>43774</v>
      </c>
      <c r="L8" t="s">
        <v>189</v>
      </c>
      <c r="M8">
        <v>43775</v>
      </c>
      <c r="N8">
        <v>0.34327546296296302</v>
      </c>
      <c r="O8">
        <v>8992</v>
      </c>
      <c r="P8" t="s">
        <v>133</v>
      </c>
      <c r="Q8" t="s">
        <v>255</v>
      </c>
      <c r="R8">
        <v>7.9</v>
      </c>
      <c r="S8" t="s">
        <v>256</v>
      </c>
      <c r="T8">
        <v>1920901</v>
      </c>
      <c r="U8">
        <v>3</v>
      </c>
      <c r="V8">
        <v>50</v>
      </c>
      <c r="X8">
        <v>43783</v>
      </c>
      <c r="Y8">
        <v>6</v>
      </c>
      <c r="Z8">
        <v>0.27777777777777779</v>
      </c>
    </row>
    <row r="9" spans="1:26">
      <c r="A9" t="s">
        <v>257</v>
      </c>
      <c r="B9">
        <v>43768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H9" t="s">
        <v>187</v>
      </c>
      <c r="I9" t="s">
        <v>187</v>
      </c>
      <c r="J9">
        <v>43773</v>
      </c>
      <c r="K9">
        <v>43774</v>
      </c>
      <c r="L9" t="s">
        <v>189</v>
      </c>
      <c r="M9">
        <v>43775</v>
      </c>
      <c r="N9">
        <v>0.27630787037037036</v>
      </c>
      <c r="O9">
        <v>298</v>
      </c>
      <c r="P9" t="s">
        <v>134</v>
      </c>
      <c r="Q9" t="s">
        <v>240</v>
      </c>
      <c r="R9">
        <v>11</v>
      </c>
      <c r="S9" t="s">
        <v>258</v>
      </c>
      <c r="T9">
        <v>1920874</v>
      </c>
      <c r="U9">
        <v>13</v>
      </c>
      <c r="V9">
        <v>29</v>
      </c>
      <c r="X9">
        <v>43797</v>
      </c>
      <c r="Y9">
        <v>2</v>
      </c>
      <c r="Z9">
        <v>0.11153846153846154</v>
      </c>
    </row>
    <row r="10" spans="1:26">
      <c r="A10" t="s">
        <v>304</v>
      </c>
      <c r="B10">
        <v>43773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H10" t="s">
        <v>187</v>
      </c>
      <c r="I10" t="s">
        <v>187</v>
      </c>
      <c r="J10">
        <v>43773</v>
      </c>
      <c r="K10">
        <v>43774</v>
      </c>
      <c r="L10" t="s">
        <v>189</v>
      </c>
      <c r="M10">
        <v>43775</v>
      </c>
      <c r="N10">
        <v>0.29518518518518516</v>
      </c>
      <c r="O10">
        <v>296</v>
      </c>
      <c r="P10" t="s">
        <v>134</v>
      </c>
      <c r="Q10" t="s">
        <v>240</v>
      </c>
      <c r="R10">
        <v>11</v>
      </c>
      <c r="S10" t="s">
        <v>305</v>
      </c>
      <c r="T10">
        <v>1920908</v>
      </c>
      <c r="U10">
        <v>13</v>
      </c>
      <c r="V10">
        <v>520</v>
      </c>
      <c r="X10">
        <v>43808</v>
      </c>
      <c r="Y10">
        <v>2</v>
      </c>
      <c r="Z10">
        <v>2</v>
      </c>
    </row>
    <row r="11" spans="1:26">
      <c r="A11" t="s">
        <v>306</v>
      </c>
      <c r="B11">
        <v>43773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H11" t="s">
        <v>187</v>
      </c>
      <c r="I11" t="s">
        <v>187</v>
      </c>
      <c r="J11">
        <v>43773</v>
      </c>
      <c r="K11">
        <v>43774</v>
      </c>
      <c r="L11" t="s">
        <v>188</v>
      </c>
      <c r="M11">
        <v>43775</v>
      </c>
      <c r="N11">
        <v>0.68233796296296301</v>
      </c>
      <c r="O11">
        <v>299</v>
      </c>
      <c r="P11" t="s">
        <v>134</v>
      </c>
      <c r="Q11" t="s">
        <v>240</v>
      </c>
      <c r="R11">
        <v>11</v>
      </c>
      <c r="S11" t="s">
        <v>307</v>
      </c>
      <c r="T11">
        <v>1920918</v>
      </c>
      <c r="U11">
        <v>13</v>
      </c>
      <c r="V11">
        <v>254</v>
      </c>
      <c r="X11">
        <v>43815</v>
      </c>
      <c r="Y11">
        <v>2</v>
      </c>
      <c r="Z11">
        <v>0.97692307692307689</v>
      </c>
    </row>
    <row r="12" spans="1:26">
      <c r="A12" t="s">
        <v>308</v>
      </c>
      <c r="B12">
        <v>43774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H12" t="s">
        <v>187</v>
      </c>
      <c r="I12" t="s">
        <v>187</v>
      </c>
      <c r="J12">
        <v>43773</v>
      </c>
      <c r="K12">
        <v>43774</v>
      </c>
      <c r="L12" t="s">
        <v>188</v>
      </c>
      <c r="M12">
        <v>43775</v>
      </c>
      <c r="N12">
        <v>0.85465277777777782</v>
      </c>
      <c r="O12">
        <v>134</v>
      </c>
      <c r="P12" t="s">
        <v>134</v>
      </c>
      <c r="Q12" t="s">
        <v>240</v>
      </c>
      <c r="R12">
        <v>10.5</v>
      </c>
      <c r="S12" t="s">
        <v>309</v>
      </c>
      <c r="T12">
        <v>1920937</v>
      </c>
      <c r="U12">
        <v>13</v>
      </c>
      <c r="V12">
        <v>29</v>
      </c>
      <c r="W12" t="s">
        <v>310</v>
      </c>
      <c r="X12">
        <v>43766</v>
      </c>
      <c r="Y12">
        <v>2</v>
      </c>
      <c r="Z12">
        <v>5.8823529411764705E-2</v>
      </c>
    </row>
    <row r="13" spans="1:26">
      <c r="A13" t="s">
        <v>311</v>
      </c>
      <c r="B13">
        <v>43774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H13" t="s">
        <v>187</v>
      </c>
      <c r="I13" t="s">
        <v>187</v>
      </c>
      <c r="J13">
        <v>43773</v>
      </c>
      <c r="K13">
        <v>43774</v>
      </c>
      <c r="L13" t="s">
        <v>188</v>
      </c>
      <c r="M13">
        <v>43775</v>
      </c>
      <c r="N13">
        <v>0.87384259259259256</v>
      </c>
      <c r="O13">
        <v>565</v>
      </c>
      <c r="P13" t="s">
        <v>134</v>
      </c>
      <c r="Q13" t="s">
        <v>312</v>
      </c>
      <c r="R13">
        <v>11</v>
      </c>
      <c r="S13" t="s">
        <v>313</v>
      </c>
      <c r="T13">
        <v>1920916</v>
      </c>
      <c r="U13">
        <v>13</v>
      </c>
      <c r="V13">
        <v>60</v>
      </c>
      <c r="W13" t="s">
        <v>314</v>
      </c>
      <c r="X13">
        <v>43839</v>
      </c>
      <c r="Y13">
        <v>4</v>
      </c>
      <c r="Z13">
        <v>0.3125</v>
      </c>
    </row>
    <row r="14" spans="1:26">
      <c r="A14" t="s">
        <v>259</v>
      </c>
      <c r="B14">
        <v>43769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H14" t="s">
        <v>187</v>
      </c>
      <c r="I14" t="s">
        <v>187</v>
      </c>
      <c r="J14">
        <v>43773</v>
      </c>
      <c r="K14">
        <v>43774</v>
      </c>
      <c r="L14" t="s">
        <v>189</v>
      </c>
      <c r="M14">
        <v>43775</v>
      </c>
      <c r="N14">
        <v>0.27630787037037036</v>
      </c>
      <c r="O14">
        <v>726</v>
      </c>
      <c r="P14" t="s">
        <v>135</v>
      </c>
      <c r="Q14" t="s">
        <v>260</v>
      </c>
      <c r="R14">
        <v>11.5</v>
      </c>
      <c r="S14" t="s">
        <v>261</v>
      </c>
      <c r="T14">
        <v>1920835</v>
      </c>
      <c r="U14">
        <v>3</v>
      </c>
      <c r="V14">
        <v>97</v>
      </c>
      <c r="W14" t="s">
        <v>262</v>
      </c>
      <c r="X14">
        <v>43787</v>
      </c>
      <c r="Y14">
        <v>6</v>
      </c>
      <c r="Z14">
        <v>0.44907407407407407</v>
      </c>
    </row>
    <row r="15" spans="1:26">
      <c r="A15" t="s">
        <v>263</v>
      </c>
      <c r="B15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I15" t="s">
        <v>187</v>
      </c>
      <c r="J15">
        <v>43773</v>
      </c>
      <c r="K15">
        <v>43774</v>
      </c>
      <c r="L15" t="s">
        <v>189</v>
      </c>
      <c r="M15">
        <v>43775</v>
      </c>
      <c r="N15">
        <v>0.36168981481481483</v>
      </c>
      <c r="O15">
        <v>732</v>
      </c>
      <c r="P15" t="s">
        <v>135</v>
      </c>
      <c r="Q15" t="s">
        <v>260</v>
      </c>
      <c r="R15">
        <v>12</v>
      </c>
      <c r="S15" t="s">
        <v>261</v>
      </c>
      <c r="T15">
        <v>1920834</v>
      </c>
      <c r="U15">
        <v>13</v>
      </c>
      <c r="V15">
        <v>50</v>
      </c>
      <c r="X15">
        <v>43796</v>
      </c>
      <c r="Y15">
        <v>5</v>
      </c>
      <c r="Z15">
        <v>0.23148148148148148</v>
      </c>
    </row>
    <row r="16" spans="1:26">
      <c r="A16" t="s">
        <v>315</v>
      </c>
      <c r="B16">
        <v>43773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H16" t="s">
        <v>187</v>
      </c>
      <c r="I16" t="s">
        <v>187</v>
      </c>
      <c r="J16">
        <v>43773</v>
      </c>
      <c r="K16">
        <v>43774</v>
      </c>
      <c r="L16" t="s">
        <v>189</v>
      </c>
      <c r="M16">
        <v>43775</v>
      </c>
      <c r="N16">
        <v>0.41903935185185182</v>
      </c>
      <c r="O16">
        <v>5822</v>
      </c>
      <c r="P16" t="s">
        <v>135</v>
      </c>
      <c r="Q16" t="s">
        <v>260</v>
      </c>
      <c r="R16">
        <v>11.5</v>
      </c>
      <c r="S16" t="s">
        <v>316</v>
      </c>
      <c r="T16">
        <v>1920860</v>
      </c>
      <c r="U16">
        <v>3</v>
      </c>
      <c r="V16">
        <v>432</v>
      </c>
      <c r="X16">
        <v>43781</v>
      </c>
      <c r="Y16">
        <v>6</v>
      </c>
      <c r="Z16">
        <v>2</v>
      </c>
    </row>
    <row r="17" spans="1:26">
      <c r="A17" t="s">
        <v>264</v>
      </c>
      <c r="B17">
        <v>43769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H17" t="s">
        <v>187</v>
      </c>
      <c r="I17" t="s">
        <v>187</v>
      </c>
      <c r="J17">
        <v>43769</v>
      </c>
      <c r="K17">
        <v>43773</v>
      </c>
      <c r="L17" t="s">
        <v>189</v>
      </c>
      <c r="M17">
        <v>43775</v>
      </c>
      <c r="N17">
        <v>0.27567129629629633</v>
      </c>
      <c r="O17">
        <v>9267</v>
      </c>
      <c r="P17" t="s">
        <v>138</v>
      </c>
      <c r="Q17" t="s">
        <v>265</v>
      </c>
      <c r="R17">
        <v>0</v>
      </c>
      <c r="S17" t="s">
        <v>266</v>
      </c>
      <c r="T17">
        <v>1931252</v>
      </c>
      <c r="U17">
        <v>3</v>
      </c>
      <c r="V17">
        <v>20</v>
      </c>
      <c r="X17">
        <v>43760</v>
      </c>
      <c r="Y17">
        <v>12</v>
      </c>
      <c r="Z17">
        <v>0.37037037037037035</v>
      </c>
    </row>
    <row r="18" spans="1:26">
      <c r="A18" t="s">
        <v>267</v>
      </c>
      <c r="B18">
        <v>43767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I18" t="s">
        <v>187</v>
      </c>
      <c r="J18">
        <v>43769</v>
      </c>
      <c r="K18">
        <v>43773</v>
      </c>
      <c r="L18" t="s">
        <v>189</v>
      </c>
      <c r="M18">
        <v>43775</v>
      </c>
      <c r="N18">
        <v>0.30692129629629633</v>
      </c>
      <c r="O18">
        <v>5535</v>
      </c>
      <c r="P18" t="s">
        <v>138</v>
      </c>
      <c r="Q18" t="s">
        <v>268</v>
      </c>
      <c r="R18">
        <v>0</v>
      </c>
      <c r="S18" t="s">
        <v>269</v>
      </c>
      <c r="T18">
        <v>1931266</v>
      </c>
      <c r="U18">
        <v>3</v>
      </c>
      <c r="V18">
        <v>10</v>
      </c>
      <c r="X18">
        <v>43766</v>
      </c>
      <c r="Y18">
        <v>13</v>
      </c>
      <c r="Z18">
        <v>0.20833333333333334</v>
      </c>
    </row>
    <row r="19" spans="1:26">
      <c r="A19" t="s">
        <v>270</v>
      </c>
      <c r="B19">
        <v>43769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H19" t="s">
        <v>187</v>
      </c>
      <c r="I19" t="s">
        <v>187</v>
      </c>
      <c r="J19">
        <v>43769</v>
      </c>
      <c r="K19">
        <v>43773</v>
      </c>
      <c r="L19" t="s">
        <v>189</v>
      </c>
      <c r="M19">
        <v>43775</v>
      </c>
      <c r="N19">
        <v>0.33432870370370371</v>
      </c>
      <c r="O19">
        <v>7478</v>
      </c>
      <c r="P19" t="s">
        <v>138</v>
      </c>
      <c r="Q19" t="s">
        <v>271</v>
      </c>
      <c r="R19">
        <v>0</v>
      </c>
      <c r="S19" t="s">
        <v>272</v>
      </c>
      <c r="T19">
        <v>1931317</v>
      </c>
      <c r="U19">
        <v>13</v>
      </c>
      <c r="V19">
        <v>90</v>
      </c>
      <c r="X19">
        <v>43770</v>
      </c>
      <c r="Y19">
        <v>8</v>
      </c>
      <c r="Z19">
        <v>2</v>
      </c>
    </row>
    <row r="20" spans="1:26">
      <c r="A20" t="s">
        <v>273</v>
      </c>
      <c r="B20">
        <v>43762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H20" t="s">
        <v>187</v>
      </c>
      <c r="I20" t="s">
        <v>187</v>
      </c>
      <c r="J20">
        <v>43769</v>
      </c>
      <c r="K20">
        <v>43773</v>
      </c>
      <c r="L20" t="s">
        <v>188</v>
      </c>
      <c r="M20">
        <v>43775</v>
      </c>
      <c r="N20">
        <v>0.48016203703703703</v>
      </c>
      <c r="O20">
        <v>8489</v>
      </c>
      <c r="P20" t="s">
        <v>138</v>
      </c>
      <c r="Q20" t="s">
        <v>274</v>
      </c>
      <c r="R20">
        <v>0</v>
      </c>
      <c r="S20" t="s">
        <v>275</v>
      </c>
      <c r="T20">
        <v>1931305</v>
      </c>
      <c r="U20">
        <v>3</v>
      </c>
      <c r="V20">
        <v>40</v>
      </c>
      <c r="X20">
        <v>43770</v>
      </c>
      <c r="Y20">
        <v>9</v>
      </c>
      <c r="Z20">
        <v>0.88888888888888884</v>
      </c>
    </row>
    <row r="21" spans="1:26">
      <c r="A21" t="s">
        <v>276</v>
      </c>
      <c r="B21">
        <v>43767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H21" t="s">
        <v>187</v>
      </c>
      <c r="I21" t="s">
        <v>187</v>
      </c>
      <c r="J21">
        <v>43769</v>
      </c>
      <c r="K21">
        <v>43773</v>
      </c>
      <c r="L21" t="s">
        <v>188</v>
      </c>
      <c r="M21">
        <v>43775</v>
      </c>
      <c r="N21">
        <v>0.53224537037037034</v>
      </c>
      <c r="O21">
        <v>7339</v>
      </c>
      <c r="P21" t="s">
        <v>138</v>
      </c>
      <c r="Q21" t="s">
        <v>277</v>
      </c>
      <c r="R21">
        <v>0</v>
      </c>
      <c r="S21" t="s">
        <v>278</v>
      </c>
      <c r="T21">
        <v>1931314</v>
      </c>
      <c r="U21">
        <v>13</v>
      </c>
      <c r="V21">
        <v>20</v>
      </c>
      <c r="X21">
        <v>43770</v>
      </c>
      <c r="Y21">
        <v>9</v>
      </c>
      <c r="Z21">
        <v>0.27777777777777779</v>
      </c>
    </row>
    <row r="22" spans="1:26">
      <c r="A22" t="s">
        <v>279</v>
      </c>
      <c r="B22">
        <v>43768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I22" t="s">
        <v>187</v>
      </c>
      <c r="J22">
        <v>43769</v>
      </c>
      <c r="K22">
        <v>43773</v>
      </c>
      <c r="L22" t="s">
        <v>188</v>
      </c>
      <c r="M22">
        <v>43775</v>
      </c>
      <c r="N22">
        <v>0.56870370370370371</v>
      </c>
      <c r="O22" t="s">
        <v>280</v>
      </c>
      <c r="P22" t="s">
        <v>138</v>
      </c>
      <c r="Q22" t="s">
        <v>281</v>
      </c>
      <c r="R22">
        <v>0</v>
      </c>
      <c r="S22" t="s">
        <v>282</v>
      </c>
      <c r="T22">
        <v>1931312</v>
      </c>
      <c r="U22">
        <v>3</v>
      </c>
      <c r="V22">
        <v>20</v>
      </c>
      <c r="W22" t="s">
        <v>283</v>
      </c>
      <c r="X22">
        <v>43770</v>
      </c>
      <c r="Y22">
        <v>11</v>
      </c>
      <c r="Z22">
        <v>0.44444444444444442</v>
      </c>
    </row>
    <row r="23" spans="1:26">
      <c r="A23" t="s">
        <v>284</v>
      </c>
      <c r="B23">
        <v>43768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 t="s">
        <v>187</v>
      </c>
      <c r="I23" t="s">
        <v>187</v>
      </c>
      <c r="J23">
        <v>43769</v>
      </c>
      <c r="K23">
        <v>43773</v>
      </c>
      <c r="L23" t="s">
        <v>189</v>
      </c>
      <c r="M23">
        <v>43775</v>
      </c>
      <c r="N23">
        <v>0.61453703703703699</v>
      </c>
      <c r="O23">
        <v>5291</v>
      </c>
      <c r="P23" t="s">
        <v>138</v>
      </c>
      <c r="Q23" t="s">
        <v>285</v>
      </c>
      <c r="R23">
        <v>0</v>
      </c>
      <c r="S23" t="s">
        <v>286</v>
      </c>
      <c r="T23">
        <v>1931327</v>
      </c>
      <c r="U23">
        <v>3</v>
      </c>
      <c r="V23">
        <v>10</v>
      </c>
      <c r="X23">
        <v>43773</v>
      </c>
      <c r="Y23">
        <v>9</v>
      </c>
      <c r="Z23">
        <v>0.15873015873015872</v>
      </c>
    </row>
    <row r="24" spans="1:26">
      <c r="A24" t="s">
        <v>287</v>
      </c>
      <c r="B24">
        <v>43767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I24" t="s">
        <v>187</v>
      </c>
      <c r="J24">
        <v>43769</v>
      </c>
      <c r="K24">
        <v>43773</v>
      </c>
      <c r="L24" t="s">
        <v>188</v>
      </c>
      <c r="M24">
        <v>43775</v>
      </c>
      <c r="N24">
        <v>0.70307870370370373</v>
      </c>
      <c r="O24" t="s">
        <v>288</v>
      </c>
      <c r="P24" t="s">
        <v>138</v>
      </c>
      <c r="Q24" t="s">
        <v>190</v>
      </c>
      <c r="R24">
        <v>0</v>
      </c>
      <c r="S24" t="s">
        <v>289</v>
      </c>
      <c r="T24">
        <v>1931287</v>
      </c>
      <c r="U24">
        <v>3</v>
      </c>
      <c r="V24">
        <v>40</v>
      </c>
      <c r="W24" t="s">
        <v>290</v>
      </c>
      <c r="X24">
        <v>43767</v>
      </c>
      <c r="Y24">
        <v>9</v>
      </c>
      <c r="Z24">
        <v>0.83333333333333337</v>
      </c>
    </row>
    <row r="25" spans="1:26">
      <c r="A25" t="s">
        <v>291</v>
      </c>
      <c r="B25">
        <v>43767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H25" t="s">
        <v>187</v>
      </c>
      <c r="I25" t="s">
        <v>187</v>
      </c>
      <c r="J25">
        <v>43769</v>
      </c>
      <c r="K25">
        <v>43773</v>
      </c>
      <c r="L25" t="s">
        <v>188</v>
      </c>
      <c r="M25">
        <v>43775</v>
      </c>
      <c r="N25">
        <v>0.76064814814814818</v>
      </c>
      <c r="O25">
        <v>2893</v>
      </c>
      <c r="P25" t="s">
        <v>138</v>
      </c>
      <c r="Q25" t="s">
        <v>292</v>
      </c>
      <c r="R25">
        <v>0</v>
      </c>
      <c r="S25" t="s">
        <v>293</v>
      </c>
      <c r="T25">
        <v>1931358</v>
      </c>
      <c r="U25">
        <v>13</v>
      </c>
      <c r="V25">
        <v>50</v>
      </c>
      <c r="X25">
        <v>43780</v>
      </c>
      <c r="Y25">
        <v>8</v>
      </c>
      <c r="Z25">
        <v>0.55555555555555558</v>
      </c>
    </row>
    <row r="26" spans="1:26">
      <c r="A26" t="s">
        <v>294</v>
      </c>
      <c r="B26">
        <v>43767</v>
      </c>
      <c r="C26" t="s">
        <v>187</v>
      </c>
      <c r="D26" t="s">
        <v>187</v>
      </c>
      <c r="E26" t="s">
        <v>187</v>
      </c>
      <c r="F26" t="s">
        <v>187</v>
      </c>
      <c r="G26" t="s">
        <v>187</v>
      </c>
      <c r="H26" t="s">
        <v>187</v>
      </c>
      <c r="I26" t="s">
        <v>187</v>
      </c>
      <c r="J26">
        <v>43769</v>
      </c>
      <c r="K26">
        <v>43773</v>
      </c>
      <c r="L26" t="s">
        <v>188</v>
      </c>
      <c r="M26">
        <v>43775</v>
      </c>
      <c r="N26">
        <v>0.82054398148148155</v>
      </c>
      <c r="O26">
        <v>2916</v>
      </c>
      <c r="P26" t="s">
        <v>138</v>
      </c>
      <c r="Q26" t="s">
        <v>295</v>
      </c>
      <c r="R26">
        <v>0</v>
      </c>
      <c r="S26" t="s">
        <v>296</v>
      </c>
      <c r="T26">
        <v>1931354</v>
      </c>
      <c r="U26">
        <v>13</v>
      </c>
      <c r="V26">
        <v>120</v>
      </c>
      <c r="X26">
        <v>43780</v>
      </c>
      <c r="Y26">
        <v>7</v>
      </c>
      <c r="Z26">
        <v>4</v>
      </c>
    </row>
    <row r="27" spans="1:26">
      <c r="A27" t="s">
        <v>284</v>
      </c>
      <c r="B27">
        <v>43768</v>
      </c>
      <c r="C27" t="s">
        <v>187</v>
      </c>
      <c r="D27" t="s">
        <v>187</v>
      </c>
      <c r="E27" t="s">
        <v>187</v>
      </c>
      <c r="F27" t="s">
        <v>187</v>
      </c>
      <c r="G27" t="s">
        <v>187</v>
      </c>
      <c r="H27" t="s">
        <v>187</v>
      </c>
      <c r="I27" t="s">
        <v>187</v>
      </c>
      <c r="J27">
        <v>43769</v>
      </c>
      <c r="K27">
        <v>43773</v>
      </c>
      <c r="L27" t="s">
        <v>189</v>
      </c>
      <c r="M27">
        <v>43775</v>
      </c>
      <c r="N27">
        <v>0.93512731481481481</v>
      </c>
      <c r="O27" t="s">
        <v>317</v>
      </c>
      <c r="P27" t="s">
        <v>138</v>
      </c>
      <c r="Q27" t="s">
        <v>318</v>
      </c>
      <c r="R27">
        <v>0</v>
      </c>
      <c r="S27" t="s">
        <v>319</v>
      </c>
      <c r="T27">
        <v>1931375</v>
      </c>
      <c r="U27">
        <v>13</v>
      </c>
      <c r="V27">
        <v>10</v>
      </c>
      <c r="X27">
        <v>43783</v>
      </c>
      <c r="Y27">
        <v>13</v>
      </c>
      <c r="Z27">
        <v>0.25</v>
      </c>
    </row>
    <row r="28" spans="1:26">
      <c r="A28" t="s">
        <v>297</v>
      </c>
      <c r="B28">
        <v>43773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H28" t="s">
        <v>187</v>
      </c>
      <c r="I28" t="s">
        <v>187</v>
      </c>
      <c r="J28">
        <v>43773</v>
      </c>
      <c r="K28">
        <v>43774</v>
      </c>
      <c r="L28" t="s">
        <v>189</v>
      </c>
      <c r="M28">
        <v>43776</v>
      </c>
      <c r="N28">
        <v>0.27434027777777775</v>
      </c>
      <c r="O28">
        <v>3937</v>
      </c>
      <c r="P28" t="s">
        <v>138</v>
      </c>
      <c r="Q28" t="s">
        <v>191</v>
      </c>
      <c r="R28">
        <v>0</v>
      </c>
      <c r="S28" t="s">
        <v>298</v>
      </c>
      <c r="T28">
        <v>1931222</v>
      </c>
      <c r="U28">
        <v>3</v>
      </c>
      <c r="V28">
        <v>50</v>
      </c>
      <c r="X28">
        <v>43755</v>
      </c>
      <c r="Y28">
        <v>8</v>
      </c>
      <c r="Z28">
        <v>0.625</v>
      </c>
    </row>
    <row r="29" spans="1:26">
      <c r="A29" t="s">
        <v>320</v>
      </c>
      <c r="B29">
        <v>43773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H29" t="s">
        <v>187</v>
      </c>
      <c r="I29" t="s">
        <v>187</v>
      </c>
      <c r="J29">
        <v>43773</v>
      </c>
      <c r="K29">
        <v>43774</v>
      </c>
      <c r="L29" t="s">
        <v>189</v>
      </c>
      <c r="M29">
        <v>43776</v>
      </c>
      <c r="N29">
        <v>0.33423611111111112</v>
      </c>
      <c r="O29">
        <v>1114</v>
      </c>
      <c r="P29" t="s">
        <v>138</v>
      </c>
      <c r="Q29" t="s">
        <v>321</v>
      </c>
      <c r="R29">
        <v>0</v>
      </c>
      <c r="S29" t="s">
        <v>322</v>
      </c>
      <c r="T29">
        <v>1931272</v>
      </c>
      <c r="U29">
        <v>3</v>
      </c>
      <c r="V29">
        <v>10</v>
      </c>
      <c r="X29">
        <v>43766</v>
      </c>
      <c r="Y29">
        <v>10</v>
      </c>
      <c r="Z29">
        <v>0.11363636363636363</v>
      </c>
    </row>
    <row r="30" spans="1:26">
      <c r="A30" t="s">
        <v>323</v>
      </c>
      <c r="B30">
        <v>43766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H30" t="s">
        <v>187</v>
      </c>
      <c r="I30" t="s">
        <v>187</v>
      </c>
      <c r="J30">
        <v>43773</v>
      </c>
      <c r="K30">
        <v>43774</v>
      </c>
      <c r="L30" t="s">
        <v>188</v>
      </c>
      <c r="M30">
        <v>43776</v>
      </c>
      <c r="N30">
        <v>0.84152777777777776</v>
      </c>
      <c r="O30">
        <v>679</v>
      </c>
      <c r="P30" t="s">
        <v>138</v>
      </c>
      <c r="Q30" t="s">
        <v>281</v>
      </c>
      <c r="R30">
        <v>0</v>
      </c>
      <c r="S30" t="s">
        <v>324</v>
      </c>
      <c r="T30">
        <v>1931285</v>
      </c>
      <c r="U30">
        <v>3</v>
      </c>
      <c r="V30">
        <v>15</v>
      </c>
      <c r="W30" t="s">
        <v>325</v>
      </c>
      <c r="X30">
        <v>43789</v>
      </c>
      <c r="Y30">
        <v>11</v>
      </c>
      <c r="Z30">
        <v>0.33333333333333331</v>
      </c>
    </row>
    <row r="31" spans="1:26">
      <c r="A31" t="s">
        <v>326</v>
      </c>
      <c r="B31">
        <v>43762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H31" t="s">
        <v>187</v>
      </c>
      <c r="I31" t="s">
        <v>187</v>
      </c>
      <c r="J31">
        <v>43773</v>
      </c>
      <c r="K31">
        <v>43774</v>
      </c>
      <c r="L31" t="s">
        <v>189</v>
      </c>
      <c r="M31">
        <v>43776</v>
      </c>
      <c r="N31">
        <v>0.88111111111111118</v>
      </c>
      <c r="O31">
        <v>677</v>
      </c>
      <c r="P31" t="s">
        <v>138</v>
      </c>
      <c r="Q31" t="s">
        <v>281</v>
      </c>
      <c r="R31">
        <v>0</v>
      </c>
      <c r="S31" t="s">
        <v>327</v>
      </c>
      <c r="T31">
        <v>1931316</v>
      </c>
      <c r="U31">
        <v>3</v>
      </c>
      <c r="V31">
        <v>45</v>
      </c>
      <c r="W31" t="s">
        <v>325</v>
      </c>
      <c r="X31">
        <v>43784</v>
      </c>
      <c r="Y31">
        <v>11</v>
      </c>
      <c r="Z31">
        <v>1</v>
      </c>
    </row>
    <row r="32" spans="1:26">
      <c r="A32" t="s">
        <v>299</v>
      </c>
      <c r="B32">
        <v>43769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H32" t="s">
        <v>187</v>
      </c>
      <c r="I32" t="s">
        <v>187</v>
      </c>
      <c r="J32">
        <v>43773</v>
      </c>
      <c r="K32">
        <v>43774</v>
      </c>
      <c r="L32" t="s">
        <v>189</v>
      </c>
      <c r="M32">
        <v>43775</v>
      </c>
      <c r="N32">
        <v>0.27625</v>
      </c>
      <c r="O32" t="s">
        <v>300</v>
      </c>
      <c r="P32" t="s">
        <v>136</v>
      </c>
      <c r="Q32" t="s">
        <v>301</v>
      </c>
      <c r="R32">
        <v>9.6999999999999993</v>
      </c>
      <c r="S32" t="s">
        <v>302</v>
      </c>
      <c r="T32">
        <v>1950093</v>
      </c>
      <c r="U32" t="s">
        <v>303</v>
      </c>
      <c r="V32">
        <v>2650</v>
      </c>
      <c r="X32">
        <v>43817</v>
      </c>
      <c r="Y32">
        <v>2</v>
      </c>
    </row>
    <row r="33" spans="1:26">
      <c r="A33" t="s">
        <v>328</v>
      </c>
      <c r="B33">
        <v>43774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H33" t="s">
        <v>187</v>
      </c>
      <c r="J33">
        <v>43774</v>
      </c>
      <c r="K33">
        <v>43775</v>
      </c>
      <c r="L33" t="s">
        <v>189</v>
      </c>
      <c r="M33">
        <v>43776</v>
      </c>
      <c r="N33">
        <v>0.27436342592592594</v>
      </c>
      <c r="O33">
        <v>751</v>
      </c>
      <c r="P33" t="s">
        <v>133</v>
      </c>
      <c r="Q33" t="s">
        <v>329</v>
      </c>
      <c r="R33">
        <v>8.1</v>
      </c>
      <c r="S33" t="s">
        <v>253</v>
      </c>
      <c r="T33">
        <v>1920866</v>
      </c>
      <c r="U33">
        <v>13</v>
      </c>
      <c r="V33">
        <v>300</v>
      </c>
      <c r="X33">
        <v>43804</v>
      </c>
      <c r="Y33">
        <v>5</v>
      </c>
      <c r="Z33">
        <v>3</v>
      </c>
    </row>
    <row r="34" spans="1:26">
      <c r="A34" t="s">
        <v>330</v>
      </c>
      <c r="B34">
        <v>43774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J34">
        <v>43776</v>
      </c>
      <c r="K34">
        <v>43780</v>
      </c>
      <c r="L34" t="s">
        <v>189</v>
      </c>
      <c r="M34">
        <v>43781</v>
      </c>
      <c r="N34">
        <v>0.44259259259259259</v>
      </c>
      <c r="O34">
        <v>752</v>
      </c>
      <c r="P34" t="s">
        <v>133</v>
      </c>
      <c r="Q34" t="s">
        <v>331</v>
      </c>
      <c r="R34">
        <v>8.1</v>
      </c>
      <c r="S34" t="s">
        <v>332</v>
      </c>
      <c r="T34">
        <v>1920892</v>
      </c>
      <c r="U34">
        <v>3</v>
      </c>
      <c r="V34">
        <v>50</v>
      </c>
      <c r="W34" t="s">
        <v>333</v>
      </c>
      <c r="X34">
        <v>43797</v>
      </c>
      <c r="Y34">
        <v>5</v>
      </c>
      <c r="Z34">
        <v>0.25</v>
      </c>
    </row>
    <row r="35" spans="1:26">
      <c r="A35" t="s">
        <v>334</v>
      </c>
      <c r="B35">
        <v>43775</v>
      </c>
      <c r="C35" t="s">
        <v>187</v>
      </c>
      <c r="D35" t="s">
        <v>187</v>
      </c>
      <c r="E35" t="s">
        <v>187</v>
      </c>
      <c r="F35" t="s">
        <v>187</v>
      </c>
      <c r="G35" t="s">
        <v>187</v>
      </c>
      <c r="H35" t="s">
        <v>187</v>
      </c>
      <c r="I35" t="s">
        <v>187</v>
      </c>
      <c r="J35">
        <v>43774</v>
      </c>
      <c r="K35">
        <v>43775</v>
      </c>
      <c r="L35" t="s">
        <v>188</v>
      </c>
      <c r="M35">
        <v>43776</v>
      </c>
      <c r="N35">
        <v>0.85769675925925926</v>
      </c>
      <c r="O35">
        <v>148</v>
      </c>
      <c r="P35" t="s">
        <v>134</v>
      </c>
      <c r="Q35" t="s">
        <v>335</v>
      </c>
      <c r="R35">
        <v>13</v>
      </c>
      <c r="S35" t="s">
        <v>336</v>
      </c>
      <c r="T35">
        <v>1920898</v>
      </c>
      <c r="U35">
        <v>13</v>
      </c>
      <c r="V35">
        <v>100</v>
      </c>
      <c r="X35">
        <v>43776</v>
      </c>
      <c r="Y35">
        <v>2</v>
      </c>
      <c r="Z35">
        <v>0.51020408163265307</v>
      </c>
    </row>
    <row r="36" spans="1:26">
      <c r="A36" t="s">
        <v>337</v>
      </c>
      <c r="B36">
        <v>43774</v>
      </c>
      <c r="C36" t="s">
        <v>187</v>
      </c>
      <c r="D36" t="s">
        <v>187</v>
      </c>
      <c r="E36" t="s">
        <v>187</v>
      </c>
      <c r="F36" t="s">
        <v>187</v>
      </c>
      <c r="G36" t="s">
        <v>187</v>
      </c>
      <c r="H36" t="s">
        <v>187</v>
      </c>
      <c r="J36">
        <v>43774</v>
      </c>
      <c r="K36">
        <v>43775</v>
      </c>
      <c r="L36" t="s">
        <v>189</v>
      </c>
      <c r="M36">
        <v>43776</v>
      </c>
      <c r="N36">
        <v>0.48269675925925926</v>
      </c>
      <c r="O36">
        <v>766</v>
      </c>
      <c r="P36" t="s">
        <v>135</v>
      </c>
      <c r="Q36" t="s">
        <v>338</v>
      </c>
      <c r="R36">
        <v>6.5</v>
      </c>
      <c r="S36" t="s">
        <v>339</v>
      </c>
      <c r="T36">
        <v>1920922</v>
      </c>
      <c r="U36">
        <v>13</v>
      </c>
      <c r="V36">
        <v>624</v>
      </c>
      <c r="X36">
        <v>43811</v>
      </c>
      <c r="Y36">
        <v>3</v>
      </c>
      <c r="Z36">
        <v>2</v>
      </c>
    </row>
    <row r="37" spans="1:26">
      <c r="A37" t="s">
        <v>340</v>
      </c>
      <c r="B37">
        <v>43766</v>
      </c>
      <c r="C37" t="s">
        <v>187</v>
      </c>
      <c r="D37" t="s">
        <v>187</v>
      </c>
      <c r="E37" t="s">
        <v>187</v>
      </c>
      <c r="F37" t="s">
        <v>187</v>
      </c>
      <c r="G37" t="s">
        <v>187</v>
      </c>
      <c r="H37">
        <v>82</v>
      </c>
      <c r="I37" t="s">
        <v>341</v>
      </c>
      <c r="J37">
        <v>43775</v>
      </c>
      <c r="K37">
        <v>43780</v>
      </c>
      <c r="L37" t="s">
        <v>188</v>
      </c>
      <c r="M37">
        <v>43780</v>
      </c>
      <c r="N37">
        <v>0.69077546296296299</v>
      </c>
      <c r="O37">
        <v>822</v>
      </c>
      <c r="P37" t="s">
        <v>135</v>
      </c>
      <c r="Q37" t="s">
        <v>342</v>
      </c>
      <c r="R37">
        <v>11</v>
      </c>
      <c r="S37" t="s">
        <v>343</v>
      </c>
      <c r="T37">
        <v>1920861</v>
      </c>
      <c r="U37">
        <v>3</v>
      </c>
      <c r="V37">
        <v>192</v>
      </c>
      <c r="W37" t="s">
        <v>344</v>
      </c>
      <c r="X37">
        <v>43760</v>
      </c>
      <c r="Y37">
        <v>6</v>
      </c>
      <c r="Z37">
        <v>1</v>
      </c>
    </row>
    <row r="38" spans="1:26">
      <c r="A38" t="s">
        <v>345</v>
      </c>
      <c r="B38" s="198">
        <v>43773</v>
      </c>
      <c r="C38" t="s">
        <v>187</v>
      </c>
      <c r="D38" t="s">
        <v>187</v>
      </c>
      <c r="E38" t="s">
        <v>187</v>
      </c>
      <c r="F38" t="s">
        <v>187</v>
      </c>
      <c r="G38" t="s">
        <v>187</v>
      </c>
      <c r="J38" s="198">
        <v>43773</v>
      </c>
      <c r="K38" s="198">
        <v>43774</v>
      </c>
      <c r="L38" t="s">
        <v>189</v>
      </c>
      <c r="M38" s="198">
        <v>43776</v>
      </c>
      <c r="N38">
        <v>0.32972222222222219</v>
      </c>
      <c r="O38">
        <v>1115</v>
      </c>
      <c r="P38" t="s">
        <v>138</v>
      </c>
      <c r="Q38" t="s">
        <v>321</v>
      </c>
      <c r="R38">
        <v>0</v>
      </c>
      <c r="S38" t="s">
        <v>346</v>
      </c>
      <c r="T38">
        <v>1931273</v>
      </c>
      <c r="U38">
        <v>3</v>
      </c>
      <c r="V38">
        <v>10</v>
      </c>
      <c r="X38">
        <v>43766</v>
      </c>
      <c r="Y38">
        <v>10</v>
      </c>
      <c r="Z38">
        <v>0.11363636363636363</v>
      </c>
    </row>
    <row r="39" spans="1:26">
      <c r="A39" t="s">
        <v>347</v>
      </c>
      <c r="B39" s="198">
        <v>43773</v>
      </c>
      <c r="C39" t="s">
        <v>187</v>
      </c>
      <c r="D39" t="s">
        <v>187</v>
      </c>
      <c r="E39" t="s">
        <v>187</v>
      </c>
      <c r="F39" t="s">
        <v>187</v>
      </c>
      <c r="G39" t="s">
        <v>187</v>
      </c>
      <c r="J39" s="198">
        <v>43773</v>
      </c>
      <c r="K39" s="198">
        <v>43774</v>
      </c>
      <c r="L39" t="s">
        <v>189</v>
      </c>
      <c r="M39" s="198">
        <v>43776</v>
      </c>
      <c r="N39">
        <v>0.35836805555555556</v>
      </c>
      <c r="O39" t="s">
        <v>348</v>
      </c>
      <c r="P39" t="s">
        <v>138</v>
      </c>
      <c r="Q39" t="s">
        <v>349</v>
      </c>
      <c r="R39">
        <v>0</v>
      </c>
      <c r="S39" t="s">
        <v>350</v>
      </c>
      <c r="T39">
        <v>1931267</v>
      </c>
      <c r="U39">
        <v>3</v>
      </c>
      <c r="V39">
        <v>40</v>
      </c>
      <c r="X39">
        <v>43766</v>
      </c>
      <c r="Y39">
        <v>10</v>
      </c>
      <c r="Z39">
        <v>0.55555555555555558</v>
      </c>
    </row>
    <row r="40" spans="1:26">
      <c r="A40" t="s">
        <v>351</v>
      </c>
      <c r="B40" s="198">
        <v>43774</v>
      </c>
      <c r="C40" t="s">
        <v>187</v>
      </c>
      <c r="D40" t="s">
        <v>187</v>
      </c>
      <c r="E40" t="s">
        <v>187</v>
      </c>
      <c r="F40" t="s">
        <v>187</v>
      </c>
      <c r="G40" t="s">
        <v>187</v>
      </c>
      <c r="J40" s="198">
        <v>43773</v>
      </c>
      <c r="K40" s="198">
        <v>43774</v>
      </c>
      <c r="L40" t="s">
        <v>189</v>
      </c>
      <c r="M40" s="198">
        <v>43776</v>
      </c>
      <c r="N40">
        <v>0.44170138888888894</v>
      </c>
      <c r="O40">
        <v>7995</v>
      </c>
      <c r="P40" t="s">
        <v>138</v>
      </c>
      <c r="Q40" t="s">
        <v>352</v>
      </c>
      <c r="R40">
        <v>0</v>
      </c>
      <c r="S40" t="s">
        <v>353</v>
      </c>
      <c r="T40">
        <v>1931251</v>
      </c>
      <c r="U40">
        <v>3</v>
      </c>
      <c r="V40">
        <v>100</v>
      </c>
      <c r="X40">
        <v>43760</v>
      </c>
      <c r="Y40">
        <v>11</v>
      </c>
      <c r="Z40">
        <v>1.3888888888888888</v>
      </c>
    </row>
    <row r="41" spans="1:26">
      <c r="A41" t="s">
        <v>354</v>
      </c>
      <c r="B41" s="198">
        <v>43774</v>
      </c>
      <c r="C41" t="s">
        <v>187</v>
      </c>
      <c r="D41" t="s">
        <v>187</v>
      </c>
      <c r="E41" t="s">
        <v>187</v>
      </c>
      <c r="F41" t="s">
        <v>187</v>
      </c>
      <c r="G41" t="s">
        <v>187</v>
      </c>
      <c r="J41" s="198">
        <v>43773</v>
      </c>
      <c r="K41" s="198">
        <v>43774</v>
      </c>
      <c r="L41" t="s">
        <v>188</v>
      </c>
      <c r="M41" s="198">
        <v>43776</v>
      </c>
      <c r="N41">
        <v>0.58753472222222225</v>
      </c>
      <c r="O41">
        <v>5857</v>
      </c>
      <c r="P41" t="s">
        <v>138</v>
      </c>
      <c r="Q41" t="s">
        <v>355</v>
      </c>
      <c r="R41">
        <v>0</v>
      </c>
      <c r="S41" t="s">
        <v>356</v>
      </c>
      <c r="T41">
        <v>1931274</v>
      </c>
      <c r="U41">
        <v>3</v>
      </c>
      <c r="V41">
        <v>10</v>
      </c>
      <c r="X41">
        <v>43766</v>
      </c>
      <c r="Y41">
        <v>12</v>
      </c>
      <c r="Z41">
        <v>0.22222222222222221</v>
      </c>
    </row>
    <row r="42" spans="1:26">
      <c r="A42" t="s">
        <v>357</v>
      </c>
      <c r="B42" s="198">
        <v>43774</v>
      </c>
      <c r="C42" t="s">
        <v>187</v>
      </c>
      <c r="D42" t="s">
        <v>187</v>
      </c>
      <c r="E42" t="s">
        <v>187</v>
      </c>
      <c r="F42" t="s">
        <v>187</v>
      </c>
      <c r="G42" t="s">
        <v>187</v>
      </c>
      <c r="J42" s="198">
        <v>43773</v>
      </c>
      <c r="K42" s="198">
        <v>43774</v>
      </c>
      <c r="L42" t="s">
        <v>188</v>
      </c>
      <c r="M42" s="198">
        <v>43776</v>
      </c>
      <c r="N42">
        <v>0.62086805555555558</v>
      </c>
      <c r="O42">
        <v>8171</v>
      </c>
      <c r="P42" t="s">
        <v>138</v>
      </c>
      <c r="Q42" t="s">
        <v>358</v>
      </c>
      <c r="R42">
        <v>0</v>
      </c>
      <c r="S42" t="s">
        <v>359</v>
      </c>
      <c r="T42">
        <v>1931276</v>
      </c>
      <c r="U42">
        <v>3</v>
      </c>
      <c r="V42">
        <v>12</v>
      </c>
      <c r="X42">
        <v>43766</v>
      </c>
      <c r="Y42">
        <v>9</v>
      </c>
      <c r="Z42">
        <v>0.25</v>
      </c>
    </row>
    <row r="43" spans="1:26">
      <c r="A43" t="s">
        <v>360</v>
      </c>
      <c r="B43" s="198">
        <v>43767</v>
      </c>
      <c r="C43" t="s">
        <v>187</v>
      </c>
      <c r="D43" t="s">
        <v>187</v>
      </c>
      <c r="E43" t="s">
        <v>187</v>
      </c>
      <c r="F43" t="s">
        <v>187</v>
      </c>
      <c r="G43" t="s">
        <v>187</v>
      </c>
      <c r="H43" t="s">
        <v>187</v>
      </c>
      <c r="I43" t="s">
        <v>187</v>
      </c>
      <c r="J43" s="198">
        <v>43773</v>
      </c>
      <c r="K43" s="198">
        <v>43774</v>
      </c>
      <c r="L43" t="s">
        <v>188</v>
      </c>
      <c r="M43" s="198">
        <v>43776</v>
      </c>
      <c r="N43">
        <v>0.69274305555555549</v>
      </c>
      <c r="O43">
        <v>1550</v>
      </c>
      <c r="P43" t="s">
        <v>138</v>
      </c>
      <c r="Q43" t="s">
        <v>281</v>
      </c>
      <c r="R43">
        <v>0</v>
      </c>
      <c r="S43" t="s">
        <v>361</v>
      </c>
      <c r="T43">
        <v>1931292</v>
      </c>
      <c r="U43">
        <v>3</v>
      </c>
      <c r="V43">
        <v>20</v>
      </c>
      <c r="X43">
        <v>43769</v>
      </c>
      <c r="Y43">
        <v>11</v>
      </c>
      <c r="Z43">
        <v>0.44444444444444442</v>
      </c>
    </row>
    <row r="44" spans="1:26">
      <c r="A44" t="s">
        <v>362</v>
      </c>
      <c r="B44" s="198">
        <v>43774</v>
      </c>
      <c r="C44" t="s">
        <v>187</v>
      </c>
      <c r="D44" t="s">
        <v>187</v>
      </c>
      <c r="E44" t="s">
        <v>187</v>
      </c>
      <c r="F44" t="s">
        <v>187</v>
      </c>
      <c r="G44" t="s">
        <v>187</v>
      </c>
      <c r="J44" s="198">
        <v>43773</v>
      </c>
      <c r="K44" s="198">
        <v>43774</v>
      </c>
      <c r="L44" t="s">
        <v>188</v>
      </c>
      <c r="M44" s="198">
        <v>43776</v>
      </c>
      <c r="N44">
        <v>0.73857638888888888</v>
      </c>
      <c r="O44">
        <v>7287</v>
      </c>
      <c r="P44" t="s">
        <v>138</v>
      </c>
      <c r="Q44" t="s">
        <v>363</v>
      </c>
      <c r="R44">
        <v>0</v>
      </c>
      <c r="S44" t="s">
        <v>364</v>
      </c>
      <c r="T44">
        <v>1931298</v>
      </c>
      <c r="U44">
        <v>3</v>
      </c>
      <c r="V44">
        <v>10</v>
      </c>
      <c r="X44">
        <v>43769</v>
      </c>
      <c r="Y44">
        <v>8</v>
      </c>
      <c r="Z44">
        <v>0.15873015873015872</v>
      </c>
    </row>
    <row r="45" spans="1:26">
      <c r="A45" t="s">
        <v>365</v>
      </c>
      <c r="B45" s="198">
        <v>43774</v>
      </c>
      <c r="C45" t="s">
        <v>187</v>
      </c>
      <c r="D45" t="s">
        <v>187</v>
      </c>
      <c r="E45" t="s">
        <v>187</v>
      </c>
      <c r="F45" t="s">
        <v>187</v>
      </c>
      <c r="G45" t="s">
        <v>187</v>
      </c>
      <c r="J45" s="198">
        <v>43773</v>
      </c>
      <c r="K45" s="198">
        <v>43774</v>
      </c>
      <c r="L45" t="s">
        <v>188</v>
      </c>
      <c r="M45" s="198">
        <v>43776</v>
      </c>
      <c r="N45">
        <v>0.77503472222222225</v>
      </c>
      <c r="O45">
        <v>6054</v>
      </c>
      <c r="P45" t="s">
        <v>138</v>
      </c>
      <c r="Q45" t="s">
        <v>366</v>
      </c>
      <c r="R45">
        <v>0</v>
      </c>
      <c r="S45" t="s">
        <v>367</v>
      </c>
      <c r="T45">
        <v>1931331</v>
      </c>
      <c r="U45">
        <v>3</v>
      </c>
      <c r="V45">
        <v>10</v>
      </c>
      <c r="X45">
        <v>43773</v>
      </c>
      <c r="Y45">
        <v>11</v>
      </c>
      <c r="Z45">
        <v>0.22222222222222221</v>
      </c>
    </row>
    <row r="46" spans="1:26">
      <c r="A46" t="s">
        <v>368</v>
      </c>
      <c r="B46" s="198">
        <v>43774</v>
      </c>
      <c r="C46" t="s">
        <v>187</v>
      </c>
      <c r="D46" t="s">
        <v>187</v>
      </c>
      <c r="E46" t="s">
        <v>187</v>
      </c>
      <c r="F46" t="s">
        <v>187</v>
      </c>
      <c r="G46" t="s">
        <v>187</v>
      </c>
      <c r="J46" s="198">
        <v>43773</v>
      </c>
      <c r="K46" s="198">
        <v>43774</v>
      </c>
      <c r="L46" t="s">
        <v>189</v>
      </c>
      <c r="M46" s="198">
        <v>43776</v>
      </c>
      <c r="N46">
        <v>0.92503472222222216</v>
      </c>
      <c r="O46" t="s">
        <v>369</v>
      </c>
      <c r="P46" t="s">
        <v>138</v>
      </c>
      <c r="Q46" t="s">
        <v>370</v>
      </c>
      <c r="R46">
        <v>0</v>
      </c>
      <c r="S46" t="s">
        <v>371</v>
      </c>
      <c r="T46">
        <v>1931333</v>
      </c>
      <c r="U46">
        <v>13</v>
      </c>
      <c r="V46">
        <v>15</v>
      </c>
      <c r="X46">
        <v>43773</v>
      </c>
      <c r="Y46">
        <v>10</v>
      </c>
      <c r="Z46">
        <v>0.33333333333333331</v>
      </c>
    </row>
    <row r="47" spans="1:26">
      <c r="A47" t="s">
        <v>372</v>
      </c>
      <c r="B47" s="198">
        <v>43774</v>
      </c>
      <c r="C47" t="s">
        <v>187</v>
      </c>
      <c r="D47" t="s">
        <v>187</v>
      </c>
      <c r="E47" t="s">
        <v>187</v>
      </c>
      <c r="F47" t="s">
        <v>187</v>
      </c>
      <c r="G47" t="s">
        <v>187</v>
      </c>
      <c r="J47" s="198">
        <v>43775</v>
      </c>
      <c r="K47" s="198">
        <v>43776</v>
      </c>
      <c r="L47" t="s">
        <v>188</v>
      </c>
      <c r="M47" s="198">
        <v>43781</v>
      </c>
      <c r="N47">
        <v>0.73267361111111118</v>
      </c>
      <c r="O47">
        <v>748</v>
      </c>
      <c r="P47" t="s">
        <v>138</v>
      </c>
      <c r="Q47" t="s">
        <v>373</v>
      </c>
      <c r="R47">
        <v>0</v>
      </c>
      <c r="S47" t="s">
        <v>374</v>
      </c>
      <c r="T47">
        <v>1931318</v>
      </c>
      <c r="U47">
        <v>13</v>
      </c>
      <c r="V47">
        <v>90</v>
      </c>
      <c r="X47">
        <v>43780</v>
      </c>
      <c r="Y47">
        <v>11</v>
      </c>
      <c r="Z47">
        <v>2</v>
      </c>
    </row>
    <row r="48" spans="1:26">
      <c r="A48" t="s">
        <v>375</v>
      </c>
      <c r="B48" s="198">
        <v>43762</v>
      </c>
      <c r="C48" t="s">
        <v>187</v>
      </c>
      <c r="D48" t="s">
        <v>187</v>
      </c>
      <c r="E48" t="s">
        <v>187</v>
      </c>
      <c r="F48" t="s">
        <v>187</v>
      </c>
      <c r="G48" t="s">
        <v>187</v>
      </c>
      <c r="J48" s="198">
        <v>43775</v>
      </c>
      <c r="K48" s="198">
        <v>43776</v>
      </c>
      <c r="L48" t="s">
        <v>189</v>
      </c>
      <c r="M48" s="198">
        <v>43781</v>
      </c>
      <c r="N48">
        <v>0.91422453703703699</v>
      </c>
      <c r="O48">
        <v>674</v>
      </c>
      <c r="P48" t="s">
        <v>138</v>
      </c>
      <c r="Q48" t="s">
        <v>349</v>
      </c>
      <c r="R48">
        <v>0</v>
      </c>
      <c r="S48" t="s">
        <v>376</v>
      </c>
      <c r="T48">
        <v>1931320</v>
      </c>
      <c r="U48">
        <v>3</v>
      </c>
      <c r="V48">
        <v>180</v>
      </c>
      <c r="W48" t="s">
        <v>325</v>
      </c>
      <c r="X48">
        <v>43783</v>
      </c>
      <c r="Y48">
        <v>10</v>
      </c>
      <c r="Z48">
        <v>4</v>
      </c>
    </row>
    <row r="49" spans="1:26">
      <c r="A49" t="s">
        <v>377</v>
      </c>
      <c r="B49" s="198">
        <v>43767</v>
      </c>
      <c r="C49" t="s">
        <v>187</v>
      </c>
      <c r="D49" t="s">
        <v>187</v>
      </c>
      <c r="E49" t="s">
        <v>187</v>
      </c>
      <c r="F49" t="s">
        <v>187</v>
      </c>
      <c r="G49" t="s">
        <v>187</v>
      </c>
      <c r="J49" s="198">
        <v>43776</v>
      </c>
      <c r="K49" s="198">
        <v>43780</v>
      </c>
      <c r="L49" t="s">
        <v>188</v>
      </c>
      <c r="M49" s="198">
        <v>43782</v>
      </c>
      <c r="N49">
        <v>0.55986111111111114</v>
      </c>
      <c r="O49">
        <v>5823</v>
      </c>
      <c r="P49" t="s">
        <v>138</v>
      </c>
      <c r="Q49" t="s">
        <v>370</v>
      </c>
      <c r="R49">
        <v>0</v>
      </c>
      <c r="S49" t="s">
        <v>378</v>
      </c>
      <c r="T49">
        <v>1931284</v>
      </c>
      <c r="U49">
        <v>13</v>
      </c>
      <c r="V49">
        <v>225</v>
      </c>
      <c r="X49">
        <v>43773</v>
      </c>
      <c r="Y49">
        <v>10</v>
      </c>
      <c r="Z49">
        <v>5</v>
      </c>
    </row>
    <row r="50" spans="1:26">
      <c r="A50" t="s">
        <v>379</v>
      </c>
      <c r="B50" s="198">
        <v>43769</v>
      </c>
      <c r="C50" t="s">
        <v>187</v>
      </c>
      <c r="D50" t="s">
        <v>187</v>
      </c>
      <c r="E50" t="s">
        <v>187</v>
      </c>
      <c r="F50" t="s">
        <v>187</v>
      </c>
      <c r="G50" t="s">
        <v>187</v>
      </c>
      <c r="J50" s="198">
        <v>43773</v>
      </c>
      <c r="K50" s="198">
        <v>43774</v>
      </c>
      <c r="L50" t="s">
        <v>188</v>
      </c>
      <c r="M50" s="198">
        <v>43776</v>
      </c>
      <c r="N50">
        <v>0.27155092592592595</v>
      </c>
      <c r="O50" t="s">
        <v>380</v>
      </c>
      <c r="P50" t="s">
        <v>381</v>
      </c>
      <c r="Q50" t="s">
        <v>382</v>
      </c>
      <c r="S50" t="s">
        <v>383</v>
      </c>
      <c r="T50" t="s">
        <v>384</v>
      </c>
      <c r="U50" t="s">
        <v>303</v>
      </c>
      <c r="V50">
        <v>3840</v>
      </c>
      <c r="X50">
        <v>43788.307372685187</v>
      </c>
      <c r="Y50">
        <v>6</v>
      </c>
    </row>
    <row r="51" spans="1:26">
      <c r="A51" t="s">
        <v>385</v>
      </c>
      <c r="B51" s="198">
        <v>43769</v>
      </c>
      <c r="C51" t="s">
        <v>187</v>
      </c>
      <c r="D51" t="s">
        <v>187</v>
      </c>
      <c r="E51" t="s">
        <v>187</v>
      </c>
      <c r="F51" t="s">
        <v>187</v>
      </c>
      <c r="G51" t="s">
        <v>187</v>
      </c>
      <c r="J51" s="198">
        <v>43773</v>
      </c>
      <c r="K51" s="198">
        <v>43774</v>
      </c>
      <c r="L51" t="s">
        <v>189</v>
      </c>
      <c r="M51" s="198">
        <v>43776</v>
      </c>
      <c r="N51">
        <v>0.71321759259259254</v>
      </c>
      <c r="O51" t="s">
        <v>386</v>
      </c>
      <c r="P51" t="s">
        <v>387</v>
      </c>
      <c r="Q51" t="s">
        <v>388</v>
      </c>
      <c r="S51" t="s">
        <v>389</v>
      </c>
      <c r="T51" t="s">
        <v>390</v>
      </c>
      <c r="U51" t="s">
        <v>303</v>
      </c>
      <c r="V51">
        <v>200</v>
      </c>
      <c r="W51" t="s">
        <v>391</v>
      </c>
      <c r="X51">
        <v>43780.378530092596</v>
      </c>
      <c r="Y51">
        <v>10</v>
      </c>
    </row>
    <row r="52" spans="1:26">
      <c r="A52" t="s">
        <v>392</v>
      </c>
      <c r="B52" s="198">
        <v>43768</v>
      </c>
      <c r="C52" t="s">
        <v>187</v>
      </c>
      <c r="D52" t="s">
        <v>187</v>
      </c>
      <c r="E52" t="s">
        <v>187</v>
      </c>
      <c r="F52" t="s">
        <v>187</v>
      </c>
      <c r="G52" t="s">
        <v>187</v>
      </c>
      <c r="J52" s="198">
        <v>43773</v>
      </c>
      <c r="K52" s="198">
        <v>43774</v>
      </c>
      <c r="L52" t="s">
        <v>189</v>
      </c>
      <c r="M52" s="198">
        <v>43776</v>
      </c>
      <c r="N52">
        <v>0.85171296296296306</v>
      </c>
      <c r="O52" t="s">
        <v>393</v>
      </c>
      <c r="P52" t="s">
        <v>394</v>
      </c>
      <c r="Q52" t="s">
        <v>395</v>
      </c>
      <c r="S52" t="s">
        <v>396</v>
      </c>
      <c r="T52" t="s">
        <v>397</v>
      </c>
      <c r="U52" t="s">
        <v>303</v>
      </c>
      <c r="V52">
        <v>1350</v>
      </c>
      <c r="X52">
        <v>43787.465324074074</v>
      </c>
      <c r="Y52">
        <v>10</v>
      </c>
    </row>
    <row r="53" spans="1:26">
      <c r="A53" t="s">
        <v>398</v>
      </c>
      <c r="B53" s="198">
        <v>43768</v>
      </c>
      <c r="C53" t="s">
        <v>187</v>
      </c>
      <c r="D53" t="s">
        <v>187</v>
      </c>
      <c r="E53" t="s">
        <v>187</v>
      </c>
      <c r="F53" t="s">
        <v>187</v>
      </c>
      <c r="G53" t="s">
        <v>187</v>
      </c>
      <c r="J53" s="198">
        <v>43774</v>
      </c>
      <c r="K53" s="198">
        <v>43775</v>
      </c>
      <c r="L53" t="s">
        <v>188</v>
      </c>
      <c r="M53" s="198">
        <v>43780</v>
      </c>
      <c r="N53">
        <v>0.35597222222222219</v>
      </c>
      <c r="O53" t="s">
        <v>399</v>
      </c>
      <c r="P53" t="s">
        <v>394</v>
      </c>
      <c r="Q53" t="s">
        <v>395</v>
      </c>
      <c r="S53" t="s">
        <v>400</v>
      </c>
      <c r="T53" t="s">
        <v>401</v>
      </c>
      <c r="U53" t="s">
        <v>303</v>
      </c>
      <c r="V53">
        <v>150</v>
      </c>
      <c r="X53">
        <v>43787.701180555552</v>
      </c>
      <c r="Y53">
        <v>10</v>
      </c>
    </row>
    <row r="54" spans="1:26">
      <c r="A54" t="s">
        <v>402</v>
      </c>
      <c r="B54" s="198">
        <v>43769</v>
      </c>
      <c r="C54" t="s">
        <v>187</v>
      </c>
      <c r="D54" t="s">
        <v>187</v>
      </c>
      <c r="E54" t="s">
        <v>187</v>
      </c>
      <c r="F54" t="s">
        <v>187</v>
      </c>
      <c r="G54" t="s">
        <v>187</v>
      </c>
      <c r="J54" s="198">
        <v>43774</v>
      </c>
      <c r="K54" s="198">
        <v>43775</v>
      </c>
      <c r="L54" t="s">
        <v>189</v>
      </c>
      <c r="M54" s="198">
        <v>43780</v>
      </c>
      <c r="N54">
        <v>0.48287037037037034</v>
      </c>
      <c r="O54" t="s">
        <v>403</v>
      </c>
      <c r="P54" t="s">
        <v>394</v>
      </c>
      <c r="Q54" t="s">
        <v>404</v>
      </c>
      <c r="S54" t="s">
        <v>405</v>
      </c>
      <c r="T54" t="s">
        <v>406</v>
      </c>
      <c r="U54" t="s">
        <v>303</v>
      </c>
      <c r="V54">
        <v>450</v>
      </c>
      <c r="X54">
        <v>43787.790196759262</v>
      </c>
      <c r="Y54">
        <v>10</v>
      </c>
    </row>
    <row r="55" spans="1:26">
      <c r="A55" t="s">
        <v>407</v>
      </c>
      <c r="B55" s="198">
        <v>43769</v>
      </c>
      <c r="C55" t="s">
        <v>187</v>
      </c>
      <c r="D55" t="s">
        <v>187</v>
      </c>
      <c r="E55" t="s">
        <v>187</v>
      </c>
      <c r="F55" t="s">
        <v>187</v>
      </c>
      <c r="G55" t="s">
        <v>187</v>
      </c>
      <c r="J55" s="198">
        <v>43774</v>
      </c>
      <c r="K55" s="198">
        <v>43775</v>
      </c>
      <c r="L55" t="s">
        <v>189</v>
      </c>
      <c r="M55" s="198">
        <v>43780</v>
      </c>
      <c r="N55">
        <v>0.57401620370370365</v>
      </c>
      <c r="O55" t="s">
        <v>408</v>
      </c>
      <c r="P55" t="s">
        <v>394</v>
      </c>
      <c r="Q55" t="s">
        <v>409</v>
      </c>
      <c r="S55" t="s">
        <v>410</v>
      </c>
      <c r="T55" t="s">
        <v>411</v>
      </c>
      <c r="U55" t="s">
        <v>303</v>
      </c>
      <c r="V55">
        <v>900</v>
      </c>
      <c r="W55" t="s">
        <v>325</v>
      </c>
      <c r="X55">
        <v>43787.334710648145</v>
      </c>
      <c r="Y55">
        <v>10</v>
      </c>
    </row>
    <row r="56" spans="1:26">
      <c r="A56" t="s">
        <v>412</v>
      </c>
      <c r="B56" s="198">
        <v>43769</v>
      </c>
      <c r="C56" t="s">
        <v>187</v>
      </c>
      <c r="D56" t="s">
        <v>187</v>
      </c>
      <c r="E56" t="s">
        <v>187</v>
      </c>
      <c r="F56" t="s">
        <v>187</v>
      </c>
      <c r="G56" t="s">
        <v>187</v>
      </c>
      <c r="J56" s="198">
        <v>43774</v>
      </c>
      <c r="K56" s="198">
        <v>43775</v>
      </c>
      <c r="L56" t="s">
        <v>189</v>
      </c>
      <c r="M56" s="198">
        <v>43780</v>
      </c>
      <c r="N56">
        <v>0.76435185185185184</v>
      </c>
      <c r="O56" t="s">
        <v>413</v>
      </c>
      <c r="P56" t="s">
        <v>394</v>
      </c>
      <c r="Q56" t="s">
        <v>414</v>
      </c>
      <c r="S56" t="s">
        <v>415</v>
      </c>
      <c r="T56" t="s">
        <v>416</v>
      </c>
      <c r="U56" t="s">
        <v>303</v>
      </c>
      <c r="V56">
        <v>150</v>
      </c>
      <c r="X56">
        <v>43787.295891203707</v>
      </c>
      <c r="Y56">
        <v>7</v>
      </c>
    </row>
    <row r="57" spans="1:26">
      <c r="A57" t="s">
        <v>417</v>
      </c>
      <c r="B57" s="198">
        <v>43769</v>
      </c>
      <c r="C57" t="s">
        <v>187</v>
      </c>
      <c r="D57" t="s">
        <v>187</v>
      </c>
      <c r="E57" t="s">
        <v>187</v>
      </c>
      <c r="F57" t="s">
        <v>187</v>
      </c>
      <c r="G57" t="s">
        <v>187</v>
      </c>
      <c r="J57" s="198">
        <v>43774</v>
      </c>
      <c r="K57" s="198">
        <v>43775</v>
      </c>
      <c r="L57" t="s">
        <v>189</v>
      </c>
      <c r="M57" s="198">
        <v>43780</v>
      </c>
      <c r="N57">
        <v>0.80862268518518521</v>
      </c>
      <c r="O57" t="s">
        <v>418</v>
      </c>
      <c r="P57" t="s">
        <v>394</v>
      </c>
      <c r="Q57" t="s">
        <v>404</v>
      </c>
      <c r="S57" t="s">
        <v>419</v>
      </c>
      <c r="T57" t="s">
        <v>420</v>
      </c>
      <c r="U57" t="s">
        <v>303</v>
      </c>
      <c r="V57">
        <v>900</v>
      </c>
      <c r="W57" t="s">
        <v>325</v>
      </c>
      <c r="X57">
        <v>43787.860706018517</v>
      </c>
      <c r="Y57">
        <v>10</v>
      </c>
    </row>
    <row r="58" spans="1:26">
      <c r="A58" t="s">
        <v>421</v>
      </c>
      <c r="B58" s="198">
        <v>43769</v>
      </c>
      <c r="C58" t="s">
        <v>187</v>
      </c>
      <c r="D58" t="s">
        <v>187</v>
      </c>
      <c r="E58" t="s">
        <v>187</v>
      </c>
      <c r="F58" t="s">
        <v>187</v>
      </c>
      <c r="G58" t="s">
        <v>187</v>
      </c>
      <c r="J58" s="198">
        <v>43774</v>
      </c>
      <c r="K58" s="198">
        <v>43775</v>
      </c>
      <c r="L58" t="s">
        <v>188</v>
      </c>
      <c r="M58" s="198">
        <v>43780</v>
      </c>
      <c r="N58">
        <v>0.97841435185185188</v>
      </c>
      <c r="O58" t="s">
        <v>422</v>
      </c>
      <c r="P58" t="s">
        <v>394</v>
      </c>
      <c r="Q58" t="s">
        <v>423</v>
      </c>
      <c r="S58" t="s">
        <v>424</v>
      </c>
      <c r="T58" t="s">
        <v>425</v>
      </c>
      <c r="U58" t="s">
        <v>303</v>
      </c>
      <c r="V58">
        <v>450</v>
      </c>
      <c r="W58" t="s">
        <v>325</v>
      </c>
      <c r="X58">
        <v>43788.299062500002</v>
      </c>
      <c r="Y58">
        <v>13</v>
      </c>
    </row>
    <row r="59" spans="1:26">
      <c r="A59" t="s">
        <v>426</v>
      </c>
      <c r="B59" s="198">
        <v>43773</v>
      </c>
      <c r="C59" t="s">
        <v>187</v>
      </c>
      <c r="D59" t="s">
        <v>187</v>
      </c>
      <c r="E59" t="s">
        <v>187</v>
      </c>
      <c r="F59" t="s">
        <v>187</v>
      </c>
      <c r="G59" t="s">
        <v>187</v>
      </c>
      <c r="H59" t="s">
        <v>187</v>
      </c>
      <c r="J59" s="198">
        <v>43773</v>
      </c>
      <c r="K59" s="198">
        <v>43774</v>
      </c>
      <c r="L59" t="s">
        <v>189</v>
      </c>
      <c r="M59" s="198">
        <v>43776</v>
      </c>
      <c r="N59">
        <v>0.67019675925925926</v>
      </c>
      <c r="O59" t="s">
        <v>427</v>
      </c>
      <c r="P59" t="s">
        <v>428</v>
      </c>
      <c r="Q59" t="s">
        <v>429</v>
      </c>
      <c r="S59" t="s">
        <v>430</v>
      </c>
      <c r="T59" t="s">
        <v>431</v>
      </c>
      <c r="U59" t="s">
        <v>303</v>
      </c>
      <c r="V59">
        <v>3600</v>
      </c>
      <c r="X59">
        <v>43801.359351851854</v>
      </c>
      <c r="Y59">
        <v>4</v>
      </c>
    </row>
    <row r="60" spans="1:26">
      <c r="A60" t="s">
        <v>299</v>
      </c>
      <c r="B60" s="198">
        <v>43761</v>
      </c>
      <c r="C60" t="s">
        <v>187</v>
      </c>
      <c r="D60" t="s">
        <v>187</v>
      </c>
      <c r="E60" t="s">
        <v>187</v>
      </c>
      <c r="F60" t="s">
        <v>187</v>
      </c>
      <c r="G60" t="s">
        <v>187</v>
      </c>
      <c r="H60" t="s">
        <v>187</v>
      </c>
      <c r="I60" t="s">
        <v>187</v>
      </c>
      <c r="J60" s="198">
        <v>43773</v>
      </c>
      <c r="K60" s="198">
        <v>43774</v>
      </c>
      <c r="L60" t="s">
        <v>188</v>
      </c>
      <c r="M60" s="198">
        <v>43776</v>
      </c>
      <c r="N60">
        <v>0.27758101851851852</v>
      </c>
      <c r="O60" t="s">
        <v>432</v>
      </c>
      <c r="P60" t="s">
        <v>433</v>
      </c>
      <c r="Q60" t="s">
        <v>434</v>
      </c>
      <c r="R60">
        <v>6.9</v>
      </c>
      <c r="S60" t="s">
        <v>435</v>
      </c>
      <c r="T60">
        <v>1950089</v>
      </c>
      <c r="U60" t="s">
        <v>303</v>
      </c>
      <c r="V60">
        <v>7000</v>
      </c>
      <c r="X60">
        <v>43789</v>
      </c>
      <c r="Y60">
        <v>3</v>
      </c>
      <c r="Z60">
        <v>4.5454545454545459</v>
      </c>
    </row>
    <row r="61" spans="1:26">
      <c r="A61" t="s">
        <v>436</v>
      </c>
      <c r="B61" s="198">
        <v>43773</v>
      </c>
      <c r="C61" t="s">
        <v>187</v>
      </c>
      <c r="D61" t="s">
        <v>187</v>
      </c>
      <c r="E61" t="s">
        <v>187</v>
      </c>
      <c r="F61" t="s">
        <v>187</v>
      </c>
      <c r="G61" t="s">
        <v>187</v>
      </c>
      <c r="H61" t="s">
        <v>187</v>
      </c>
      <c r="I61" t="s">
        <v>187</v>
      </c>
      <c r="J61" s="198">
        <v>43774</v>
      </c>
      <c r="K61" s="198">
        <v>43775</v>
      </c>
      <c r="L61" t="s">
        <v>188</v>
      </c>
      <c r="M61" s="198">
        <v>43780</v>
      </c>
      <c r="N61">
        <v>0.27306712962962965</v>
      </c>
      <c r="O61">
        <v>714</v>
      </c>
      <c r="P61" t="s">
        <v>136</v>
      </c>
      <c r="Q61" t="s">
        <v>437</v>
      </c>
      <c r="R61">
        <v>8.5</v>
      </c>
      <c r="S61" t="s">
        <v>438</v>
      </c>
      <c r="T61">
        <v>1910408</v>
      </c>
      <c r="U61">
        <v>3</v>
      </c>
      <c r="V61">
        <v>45</v>
      </c>
      <c r="X61">
        <v>43804</v>
      </c>
      <c r="Y61">
        <v>3</v>
      </c>
      <c r="Z61">
        <v>1</v>
      </c>
    </row>
    <row r="62" spans="1:26">
      <c r="A62" t="s">
        <v>439</v>
      </c>
      <c r="B62" s="198">
        <v>43773</v>
      </c>
      <c r="C62" t="s">
        <v>187</v>
      </c>
      <c r="D62" t="s">
        <v>187</v>
      </c>
      <c r="E62" t="s">
        <v>187</v>
      </c>
      <c r="F62" t="s">
        <v>187</v>
      </c>
      <c r="G62" t="s">
        <v>187</v>
      </c>
      <c r="J62" s="198">
        <v>43774</v>
      </c>
      <c r="K62" s="198">
        <v>43775</v>
      </c>
      <c r="L62" t="s">
        <v>188</v>
      </c>
      <c r="M62" s="198">
        <v>43780</v>
      </c>
      <c r="N62">
        <v>0.32515046296296296</v>
      </c>
      <c r="O62">
        <v>711</v>
      </c>
      <c r="P62" t="s">
        <v>136</v>
      </c>
      <c r="Q62" t="s">
        <v>437</v>
      </c>
      <c r="R62">
        <v>8.5</v>
      </c>
      <c r="S62" t="s">
        <v>440</v>
      </c>
      <c r="T62">
        <v>1910396</v>
      </c>
      <c r="U62">
        <v>13</v>
      </c>
      <c r="V62">
        <v>540</v>
      </c>
      <c r="W62" t="s">
        <v>441</v>
      </c>
      <c r="X62">
        <v>43740</v>
      </c>
      <c r="Y62">
        <v>6</v>
      </c>
      <c r="Z62">
        <v>12</v>
      </c>
    </row>
    <row r="63" spans="1:26">
      <c r="A63" t="s">
        <v>442</v>
      </c>
      <c r="B63" s="198">
        <v>43769</v>
      </c>
      <c r="C63" t="s">
        <v>187</v>
      </c>
      <c r="D63" t="s">
        <v>187</v>
      </c>
      <c r="E63" t="s">
        <v>187</v>
      </c>
      <c r="F63" t="s">
        <v>187</v>
      </c>
      <c r="G63" t="s">
        <v>187</v>
      </c>
      <c r="H63" t="s">
        <v>187</v>
      </c>
      <c r="I63" t="s">
        <v>187</v>
      </c>
      <c r="J63" s="198">
        <v>43774</v>
      </c>
      <c r="K63" s="198">
        <v>43775</v>
      </c>
      <c r="L63" t="s">
        <v>189</v>
      </c>
      <c r="M63" s="198">
        <v>43776</v>
      </c>
      <c r="N63">
        <v>0.27625</v>
      </c>
      <c r="O63">
        <v>696</v>
      </c>
      <c r="P63" t="s">
        <v>141</v>
      </c>
      <c r="Q63" t="s">
        <v>443</v>
      </c>
      <c r="R63">
        <v>0</v>
      </c>
      <c r="S63" t="s">
        <v>444</v>
      </c>
      <c r="T63">
        <v>1940075</v>
      </c>
      <c r="U63">
        <v>1</v>
      </c>
      <c r="V63">
        <v>43</v>
      </c>
      <c r="X63">
        <v>43810</v>
      </c>
      <c r="Y63">
        <v>4</v>
      </c>
      <c r="Z63">
        <v>1.075</v>
      </c>
    </row>
    <row r="64" spans="1:26">
      <c r="A64" t="s">
        <v>442</v>
      </c>
      <c r="B64" s="198">
        <v>43773</v>
      </c>
      <c r="C64" t="s">
        <v>187</v>
      </c>
      <c r="D64" t="s">
        <v>187</v>
      </c>
      <c r="E64" t="s">
        <v>187</v>
      </c>
      <c r="F64" t="s">
        <v>187</v>
      </c>
      <c r="G64" t="s">
        <v>187</v>
      </c>
      <c r="J64" s="198">
        <v>43774</v>
      </c>
      <c r="K64" s="198">
        <v>43775</v>
      </c>
      <c r="L64" t="s">
        <v>189</v>
      </c>
      <c r="M64" s="198">
        <v>43776</v>
      </c>
      <c r="N64">
        <v>0.34697916666666667</v>
      </c>
      <c r="O64">
        <v>696</v>
      </c>
      <c r="P64" t="s">
        <v>141</v>
      </c>
      <c r="Q64" t="s">
        <v>443</v>
      </c>
      <c r="R64">
        <v>0</v>
      </c>
      <c r="S64" t="s">
        <v>444</v>
      </c>
      <c r="T64">
        <v>1940076</v>
      </c>
      <c r="U64">
        <v>1</v>
      </c>
      <c r="V64">
        <v>240</v>
      </c>
      <c r="X64">
        <v>43810</v>
      </c>
      <c r="Y64">
        <v>4</v>
      </c>
      <c r="Z64">
        <v>6</v>
      </c>
    </row>
    <row r="65" spans="1:26">
      <c r="A65" t="s">
        <v>445</v>
      </c>
      <c r="B65">
        <v>43781</v>
      </c>
      <c r="C65" t="s">
        <v>187</v>
      </c>
      <c r="D65" t="s">
        <v>187</v>
      </c>
      <c r="E65" t="s">
        <v>187</v>
      </c>
      <c r="F65" t="s">
        <v>187</v>
      </c>
      <c r="G65" t="s">
        <v>187</v>
      </c>
      <c r="H65" t="s">
        <v>187</v>
      </c>
      <c r="J65">
        <v>43783</v>
      </c>
      <c r="K65">
        <v>43787</v>
      </c>
      <c r="L65" t="s">
        <v>189</v>
      </c>
      <c r="M65">
        <v>43788</v>
      </c>
      <c r="N65">
        <v>0.27184027777777781</v>
      </c>
      <c r="O65">
        <v>756</v>
      </c>
      <c r="P65" t="s">
        <v>133</v>
      </c>
      <c r="Q65" t="s">
        <v>329</v>
      </c>
      <c r="R65">
        <v>8</v>
      </c>
      <c r="S65" t="s">
        <v>446</v>
      </c>
      <c r="T65">
        <v>1920822</v>
      </c>
      <c r="U65">
        <v>3</v>
      </c>
      <c r="V65">
        <v>155</v>
      </c>
      <c r="W65" t="s">
        <v>447</v>
      </c>
      <c r="X65">
        <v>43789</v>
      </c>
      <c r="Y65">
        <v>6</v>
      </c>
      <c r="Z65">
        <v>1.55</v>
      </c>
    </row>
    <row r="66" spans="1:26">
      <c r="A66" t="s">
        <v>448</v>
      </c>
      <c r="B66">
        <v>43783</v>
      </c>
      <c r="C66" t="s">
        <v>187</v>
      </c>
      <c r="D66" t="s">
        <v>187</v>
      </c>
      <c r="E66" t="s">
        <v>187</v>
      </c>
      <c r="F66" t="s">
        <v>187</v>
      </c>
      <c r="G66" t="s">
        <v>187</v>
      </c>
      <c r="J66">
        <v>43787</v>
      </c>
      <c r="K66">
        <v>43788</v>
      </c>
      <c r="L66" t="s">
        <v>189</v>
      </c>
      <c r="M66">
        <v>43789</v>
      </c>
      <c r="N66">
        <v>0.41568287037037038</v>
      </c>
      <c r="O66">
        <v>7246</v>
      </c>
      <c r="P66" t="s">
        <v>133</v>
      </c>
      <c r="Q66" t="s">
        <v>449</v>
      </c>
      <c r="R66">
        <v>13.8</v>
      </c>
      <c r="S66" t="s">
        <v>450</v>
      </c>
      <c r="T66">
        <v>1920935</v>
      </c>
      <c r="U66">
        <v>13</v>
      </c>
      <c r="V66">
        <v>100</v>
      </c>
      <c r="X66">
        <v>43824</v>
      </c>
      <c r="Y66">
        <v>2</v>
      </c>
      <c r="Z66">
        <v>1</v>
      </c>
    </row>
    <row r="67" spans="1:26">
      <c r="A67" t="s">
        <v>451</v>
      </c>
      <c r="B67">
        <v>43782</v>
      </c>
      <c r="C67" t="s">
        <v>187</v>
      </c>
      <c r="D67" t="s">
        <v>187</v>
      </c>
      <c r="E67" t="s">
        <v>187</v>
      </c>
      <c r="F67" t="s">
        <v>187</v>
      </c>
      <c r="G67" t="s">
        <v>187</v>
      </c>
      <c r="J67">
        <v>43783</v>
      </c>
      <c r="K67">
        <v>43787</v>
      </c>
      <c r="L67" t="s">
        <v>189</v>
      </c>
      <c r="M67">
        <v>43788</v>
      </c>
      <c r="N67">
        <v>0.27184027777777781</v>
      </c>
      <c r="O67">
        <v>595</v>
      </c>
      <c r="P67" t="s">
        <v>134</v>
      </c>
      <c r="Q67" t="s">
        <v>452</v>
      </c>
      <c r="R67">
        <v>10</v>
      </c>
      <c r="S67" t="s">
        <v>453</v>
      </c>
      <c r="T67">
        <v>1920897</v>
      </c>
      <c r="U67">
        <v>13</v>
      </c>
      <c r="V67">
        <v>200</v>
      </c>
      <c r="W67" t="s">
        <v>314</v>
      </c>
      <c r="X67">
        <v>43783</v>
      </c>
      <c r="Y67">
        <v>4</v>
      </c>
      <c r="Z67">
        <v>0.75757575757575757</v>
      </c>
    </row>
    <row r="68" spans="1:26">
      <c r="A68" t="s">
        <v>454</v>
      </c>
      <c r="B68">
        <v>43782</v>
      </c>
      <c r="C68" t="s">
        <v>187</v>
      </c>
      <c r="D68" t="s">
        <v>187</v>
      </c>
      <c r="E68" t="s">
        <v>187</v>
      </c>
      <c r="F68" t="s">
        <v>187</v>
      </c>
      <c r="G68" t="s">
        <v>187</v>
      </c>
      <c r="J68">
        <v>43783</v>
      </c>
      <c r="K68">
        <v>43787</v>
      </c>
      <c r="L68" t="s">
        <v>189</v>
      </c>
      <c r="M68">
        <v>43788</v>
      </c>
      <c r="N68">
        <v>0.34285879629629629</v>
      </c>
      <c r="O68">
        <v>504</v>
      </c>
      <c r="P68" t="s">
        <v>134</v>
      </c>
      <c r="Q68" t="s">
        <v>452</v>
      </c>
      <c r="R68">
        <v>12.5</v>
      </c>
      <c r="S68" t="s">
        <v>455</v>
      </c>
      <c r="T68">
        <v>1920912</v>
      </c>
      <c r="U68">
        <v>13</v>
      </c>
      <c r="V68">
        <v>15</v>
      </c>
      <c r="X68">
        <v>43832</v>
      </c>
      <c r="Y68">
        <v>4</v>
      </c>
      <c r="Z68">
        <v>0.10416666666666667</v>
      </c>
    </row>
    <row r="69" spans="1:26">
      <c r="A69" t="s">
        <v>456</v>
      </c>
      <c r="B69" s="198">
        <v>43782</v>
      </c>
      <c r="C69" t="s">
        <v>187</v>
      </c>
      <c r="D69" t="s">
        <v>187</v>
      </c>
      <c r="E69" t="s">
        <v>187</v>
      </c>
      <c r="F69" t="s">
        <v>187</v>
      </c>
      <c r="G69" t="s">
        <v>187</v>
      </c>
      <c r="J69" s="198">
        <v>43783</v>
      </c>
      <c r="K69" s="198">
        <v>43787</v>
      </c>
      <c r="L69" t="s">
        <v>189</v>
      </c>
      <c r="M69" s="198">
        <v>43788</v>
      </c>
      <c r="N69">
        <v>0.38377314814814811</v>
      </c>
      <c r="O69">
        <v>510</v>
      </c>
      <c r="P69" t="s">
        <v>134</v>
      </c>
      <c r="Q69" t="s">
        <v>452</v>
      </c>
      <c r="R69">
        <v>11.5</v>
      </c>
      <c r="S69" t="s">
        <v>457</v>
      </c>
      <c r="T69">
        <v>1920938</v>
      </c>
      <c r="U69">
        <v>13</v>
      </c>
      <c r="V69">
        <v>80</v>
      </c>
      <c r="X69">
        <v>43784</v>
      </c>
      <c r="Y69">
        <v>4</v>
      </c>
      <c r="Z69">
        <v>0.5</v>
      </c>
    </row>
    <row r="70" spans="1:26">
      <c r="A70" t="s">
        <v>458</v>
      </c>
      <c r="B70" s="198">
        <v>43782</v>
      </c>
      <c r="C70" t="s">
        <v>187</v>
      </c>
      <c r="D70" t="s">
        <v>187</v>
      </c>
      <c r="E70" t="s">
        <v>187</v>
      </c>
      <c r="F70" t="s">
        <v>187</v>
      </c>
      <c r="G70" t="s">
        <v>187</v>
      </c>
      <c r="H70" t="s">
        <v>187</v>
      </c>
      <c r="I70" t="s">
        <v>459</v>
      </c>
      <c r="J70" s="198">
        <v>43783</v>
      </c>
      <c r="K70" s="198">
        <v>43787</v>
      </c>
      <c r="L70" t="s">
        <v>189</v>
      </c>
      <c r="M70" s="198">
        <v>43788</v>
      </c>
      <c r="N70">
        <v>0.27184027777777781</v>
      </c>
      <c r="O70">
        <v>718</v>
      </c>
      <c r="P70" t="s">
        <v>135</v>
      </c>
      <c r="Q70" t="s">
        <v>460</v>
      </c>
      <c r="R70">
        <v>12</v>
      </c>
      <c r="S70" t="s">
        <v>461</v>
      </c>
      <c r="T70">
        <v>1920813</v>
      </c>
      <c r="U70">
        <v>13</v>
      </c>
      <c r="V70">
        <v>239</v>
      </c>
      <c r="W70" t="s">
        <v>462</v>
      </c>
      <c r="X70">
        <v>43795</v>
      </c>
      <c r="Y70">
        <v>5</v>
      </c>
      <c r="Z70">
        <v>0.71130952380952384</v>
      </c>
    </row>
    <row r="71" spans="1:26">
      <c r="A71" t="s">
        <v>463</v>
      </c>
      <c r="B71" s="198">
        <v>43783</v>
      </c>
      <c r="C71" t="s">
        <v>187</v>
      </c>
      <c r="D71" t="s">
        <v>187</v>
      </c>
      <c r="E71" t="s">
        <v>187</v>
      </c>
      <c r="F71" t="s">
        <v>187</v>
      </c>
      <c r="G71" t="s">
        <v>187</v>
      </c>
      <c r="H71" t="s">
        <v>187</v>
      </c>
      <c r="J71" s="198">
        <v>43783</v>
      </c>
      <c r="K71" s="198">
        <v>43787</v>
      </c>
      <c r="L71" t="s">
        <v>189</v>
      </c>
      <c r="M71" s="198">
        <v>43788</v>
      </c>
      <c r="N71">
        <v>0.45716435185185184</v>
      </c>
      <c r="O71">
        <v>716</v>
      </c>
      <c r="P71" t="s">
        <v>135</v>
      </c>
      <c r="Q71" t="s">
        <v>464</v>
      </c>
      <c r="R71">
        <v>12</v>
      </c>
      <c r="S71" t="s">
        <v>465</v>
      </c>
      <c r="T71">
        <v>1920836</v>
      </c>
      <c r="U71">
        <v>13</v>
      </c>
      <c r="V71">
        <v>648</v>
      </c>
      <c r="W71" t="s">
        <v>447</v>
      </c>
      <c r="X71">
        <v>43766</v>
      </c>
      <c r="Y71">
        <v>4</v>
      </c>
      <c r="Z71">
        <v>3</v>
      </c>
    </row>
    <row r="72" spans="1:26">
      <c r="A72" t="s">
        <v>466</v>
      </c>
      <c r="B72" s="198">
        <v>43776</v>
      </c>
      <c r="C72" t="s">
        <v>187</v>
      </c>
      <c r="D72" t="s">
        <v>187</v>
      </c>
      <c r="E72" t="s">
        <v>187</v>
      </c>
      <c r="F72" t="s">
        <v>187</v>
      </c>
      <c r="G72" t="s">
        <v>187</v>
      </c>
      <c r="H72" t="s">
        <v>187</v>
      </c>
      <c r="J72" s="198">
        <v>43782</v>
      </c>
      <c r="K72" s="198">
        <v>43783</v>
      </c>
      <c r="L72" t="s">
        <v>189</v>
      </c>
      <c r="M72" s="198">
        <v>43788</v>
      </c>
      <c r="N72">
        <v>0.27612268518518518</v>
      </c>
      <c r="O72" t="s">
        <v>467</v>
      </c>
      <c r="P72" t="s">
        <v>138</v>
      </c>
      <c r="Q72" t="s">
        <v>468</v>
      </c>
      <c r="R72">
        <v>0</v>
      </c>
      <c r="S72" t="s">
        <v>469</v>
      </c>
      <c r="T72">
        <v>1931329</v>
      </c>
      <c r="U72">
        <v>13</v>
      </c>
      <c r="V72">
        <v>42</v>
      </c>
      <c r="X72">
        <v>43773</v>
      </c>
      <c r="Y72">
        <v>9</v>
      </c>
      <c r="Z72">
        <v>0.93333333333333335</v>
      </c>
    </row>
    <row r="73" spans="1:26">
      <c r="A73" t="s">
        <v>470</v>
      </c>
      <c r="B73" s="198">
        <v>43776</v>
      </c>
      <c r="C73" t="s">
        <v>187</v>
      </c>
      <c r="D73" t="s">
        <v>187</v>
      </c>
      <c r="E73" t="s">
        <v>187</v>
      </c>
      <c r="F73" t="s">
        <v>187</v>
      </c>
      <c r="G73" t="s">
        <v>187</v>
      </c>
      <c r="J73" s="198">
        <v>43782</v>
      </c>
      <c r="K73" s="198">
        <v>43783</v>
      </c>
      <c r="L73" t="s">
        <v>189</v>
      </c>
      <c r="M73" s="198">
        <v>43788</v>
      </c>
      <c r="N73">
        <v>0.34174768518518522</v>
      </c>
      <c r="O73" t="s">
        <v>471</v>
      </c>
      <c r="P73" t="s">
        <v>138</v>
      </c>
      <c r="Q73" t="s">
        <v>472</v>
      </c>
      <c r="R73">
        <v>0</v>
      </c>
      <c r="S73" t="s">
        <v>473</v>
      </c>
      <c r="T73">
        <v>1931260</v>
      </c>
      <c r="U73">
        <v>3</v>
      </c>
      <c r="V73">
        <v>50</v>
      </c>
      <c r="W73" t="s">
        <v>474</v>
      </c>
      <c r="X73">
        <v>43763</v>
      </c>
      <c r="Y73">
        <v>9</v>
      </c>
      <c r="Z73">
        <v>1.1111111111111112</v>
      </c>
    </row>
    <row r="74" spans="1:26">
      <c r="A74" t="s">
        <v>475</v>
      </c>
      <c r="B74" s="198">
        <v>43776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J74" s="198">
        <v>43782</v>
      </c>
      <c r="K74" s="198">
        <v>43783</v>
      </c>
      <c r="L74" t="s">
        <v>189</v>
      </c>
      <c r="M74" s="198">
        <v>43788</v>
      </c>
      <c r="N74">
        <v>0.44070601851851854</v>
      </c>
      <c r="O74" t="s">
        <v>476</v>
      </c>
      <c r="P74" t="s">
        <v>138</v>
      </c>
      <c r="Q74" t="s">
        <v>472</v>
      </c>
      <c r="R74">
        <v>0</v>
      </c>
      <c r="S74" t="s">
        <v>477</v>
      </c>
      <c r="T74">
        <v>1931261</v>
      </c>
      <c r="U74">
        <v>3</v>
      </c>
      <c r="V74">
        <v>50</v>
      </c>
      <c r="W74" t="s">
        <v>474</v>
      </c>
      <c r="X74">
        <v>43763</v>
      </c>
      <c r="Y74">
        <v>9</v>
      </c>
      <c r="Z74">
        <v>1.1111111111111112</v>
      </c>
    </row>
    <row r="75" spans="1:26">
      <c r="A75" t="s">
        <v>478</v>
      </c>
      <c r="B75" s="198">
        <v>43775</v>
      </c>
      <c r="C75" t="s">
        <v>187</v>
      </c>
      <c r="D75" t="s">
        <v>187</v>
      </c>
      <c r="E75" t="s">
        <v>187</v>
      </c>
      <c r="F75" t="s">
        <v>187</v>
      </c>
      <c r="G75" t="s">
        <v>187</v>
      </c>
      <c r="J75" s="198">
        <v>43782</v>
      </c>
      <c r="K75" s="198">
        <v>43783</v>
      </c>
      <c r="L75" t="s">
        <v>188</v>
      </c>
      <c r="M75" s="198">
        <v>43788</v>
      </c>
      <c r="N75">
        <v>0.52718750000000003</v>
      </c>
      <c r="O75">
        <v>7478</v>
      </c>
      <c r="P75" t="s">
        <v>138</v>
      </c>
      <c r="Q75" t="s">
        <v>271</v>
      </c>
      <c r="R75">
        <v>0</v>
      </c>
      <c r="S75" t="s">
        <v>272</v>
      </c>
      <c r="T75">
        <v>1931365</v>
      </c>
      <c r="U75">
        <v>13</v>
      </c>
      <c r="V75">
        <v>135</v>
      </c>
      <c r="X75">
        <v>43788</v>
      </c>
      <c r="Y75">
        <v>8</v>
      </c>
      <c r="Z75">
        <v>3</v>
      </c>
    </row>
    <row r="76" spans="1:26">
      <c r="A76" t="s">
        <v>479</v>
      </c>
      <c r="B76" s="198">
        <v>43780</v>
      </c>
      <c r="C76" t="s">
        <v>187</v>
      </c>
      <c r="D76" t="s">
        <v>187</v>
      </c>
      <c r="E76" t="s">
        <v>187</v>
      </c>
      <c r="F76" t="s">
        <v>187</v>
      </c>
      <c r="G76" t="s">
        <v>187</v>
      </c>
      <c r="J76" s="198">
        <v>43782</v>
      </c>
      <c r="K76" s="198">
        <v>43783</v>
      </c>
      <c r="L76" t="s">
        <v>188</v>
      </c>
      <c r="M76" s="198">
        <v>43788</v>
      </c>
      <c r="N76">
        <v>0.77718750000000003</v>
      </c>
      <c r="O76">
        <v>2411</v>
      </c>
      <c r="P76" t="s">
        <v>138</v>
      </c>
      <c r="Q76" t="s">
        <v>480</v>
      </c>
      <c r="R76">
        <v>6</v>
      </c>
      <c r="S76" t="s">
        <v>481</v>
      </c>
      <c r="T76">
        <v>1931253</v>
      </c>
      <c r="U76">
        <v>3</v>
      </c>
      <c r="V76">
        <v>50</v>
      </c>
      <c r="W76" t="s">
        <v>474</v>
      </c>
      <c r="X76">
        <v>43761</v>
      </c>
      <c r="Y76">
        <v>10</v>
      </c>
      <c r="Z76">
        <v>1.0416666666666667</v>
      </c>
    </row>
    <row r="77" spans="1:26">
      <c r="A77" t="s">
        <v>482</v>
      </c>
      <c r="B77" s="198">
        <v>43780</v>
      </c>
      <c r="C77" t="s">
        <v>187</v>
      </c>
      <c r="D77" t="s">
        <v>187</v>
      </c>
      <c r="E77" t="s">
        <v>187</v>
      </c>
      <c r="F77" t="s">
        <v>187</v>
      </c>
      <c r="G77" t="s">
        <v>187</v>
      </c>
      <c r="J77" s="198">
        <v>43782</v>
      </c>
      <c r="K77" s="198">
        <v>43783</v>
      </c>
      <c r="L77" t="s">
        <v>188</v>
      </c>
      <c r="M77" s="198">
        <v>43788</v>
      </c>
      <c r="N77">
        <v>0.83708333333333329</v>
      </c>
      <c r="O77">
        <v>7916</v>
      </c>
      <c r="P77" t="s">
        <v>138</v>
      </c>
      <c r="Q77" t="s">
        <v>483</v>
      </c>
      <c r="R77">
        <v>0</v>
      </c>
      <c r="S77" t="s">
        <v>484</v>
      </c>
      <c r="T77">
        <v>1931315</v>
      </c>
      <c r="U77">
        <v>3</v>
      </c>
      <c r="V77">
        <v>40</v>
      </c>
      <c r="X77">
        <v>43770</v>
      </c>
      <c r="Y77">
        <v>11</v>
      </c>
      <c r="Z77">
        <v>0.88888888888888884</v>
      </c>
    </row>
    <row r="78" spans="1:26">
      <c r="A78" t="s">
        <v>485</v>
      </c>
      <c r="B78" s="198">
        <v>43780</v>
      </c>
      <c r="C78" t="s">
        <v>187</v>
      </c>
      <c r="D78" t="s">
        <v>187</v>
      </c>
      <c r="E78" t="s">
        <v>187</v>
      </c>
      <c r="F78" t="s">
        <v>187</v>
      </c>
      <c r="G78" t="s">
        <v>187</v>
      </c>
      <c r="J78" s="198">
        <v>43782</v>
      </c>
      <c r="K78" s="198">
        <v>43783</v>
      </c>
      <c r="L78" t="s">
        <v>189</v>
      </c>
      <c r="M78" s="198">
        <v>43788</v>
      </c>
      <c r="N78">
        <v>0.90791666666666659</v>
      </c>
      <c r="O78">
        <v>7360</v>
      </c>
      <c r="P78" t="s">
        <v>138</v>
      </c>
      <c r="Q78" t="s">
        <v>486</v>
      </c>
      <c r="R78">
        <v>0</v>
      </c>
      <c r="S78" t="s">
        <v>487</v>
      </c>
      <c r="T78">
        <v>1931361</v>
      </c>
      <c r="U78">
        <v>13</v>
      </c>
      <c r="V78">
        <v>20</v>
      </c>
      <c r="X78">
        <v>43780</v>
      </c>
      <c r="Y78">
        <v>8</v>
      </c>
      <c r="Z78">
        <v>0.17857142857142858</v>
      </c>
    </row>
    <row r="79" spans="1:26">
      <c r="A79" t="s">
        <v>488</v>
      </c>
      <c r="B79" s="198">
        <v>43780</v>
      </c>
      <c r="C79" t="s">
        <v>187</v>
      </c>
      <c r="D79" t="s">
        <v>187</v>
      </c>
      <c r="E79" t="s">
        <v>187</v>
      </c>
      <c r="F79" t="s">
        <v>187</v>
      </c>
      <c r="G79" t="s">
        <v>187</v>
      </c>
      <c r="J79" s="198">
        <v>43782</v>
      </c>
      <c r="K79" s="198">
        <v>43783</v>
      </c>
      <c r="L79" t="s">
        <v>189</v>
      </c>
      <c r="M79" s="198">
        <v>43788</v>
      </c>
      <c r="N79">
        <v>0.96</v>
      </c>
      <c r="O79">
        <v>1091</v>
      </c>
      <c r="P79" t="s">
        <v>138</v>
      </c>
      <c r="Q79" t="s">
        <v>489</v>
      </c>
      <c r="R79">
        <v>0</v>
      </c>
      <c r="S79" t="s">
        <v>490</v>
      </c>
      <c r="T79">
        <v>1931371</v>
      </c>
      <c r="U79">
        <v>3</v>
      </c>
      <c r="V79">
        <v>32</v>
      </c>
      <c r="X79">
        <v>43782</v>
      </c>
      <c r="Y79">
        <v>11</v>
      </c>
      <c r="Z79">
        <v>0.44444444444444442</v>
      </c>
    </row>
    <row r="80" spans="1:26">
      <c r="A80" t="s">
        <v>491</v>
      </c>
      <c r="B80" s="198">
        <v>43780</v>
      </c>
      <c r="C80" t="s">
        <v>187</v>
      </c>
      <c r="D80" t="s">
        <v>187</v>
      </c>
      <c r="E80" t="s">
        <v>187</v>
      </c>
      <c r="F80" t="s">
        <v>187</v>
      </c>
      <c r="G80" t="s">
        <v>187</v>
      </c>
      <c r="J80" s="198">
        <v>43783</v>
      </c>
      <c r="K80" s="198">
        <v>43787</v>
      </c>
      <c r="L80" t="s">
        <v>189</v>
      </c>
      <c r="M80" s="198">
        <v>43789</v>
      </c>
      <c r="N80">
        <v>0.32250000000000001</v>
      </c>
      <c r="O80" t="s">
        <v>492</v>
      </c>
      <c r="P80" t="s">
        <v>138</v>
      </c>
      <c r="Q80" t="s">
        <v>493</v>
      </c>
      <c r="R80">
        <v>0</v>
      </c>
      <c r="S80" t="s">
        <v>494</v>
      </c>
      <c r="T80">
        <v>1931384</v>
      </c>
      <c r="U80">
        <v>3</v>
      </c>
      <c r="V80">
        <v>15</v>
      </c>
      <c r="X80">
        <v>43787</v>
      </c>
      <c r="Y80">
        <v>11</v>
      </c>
      <c r="Z80">
        <v>0.23809523809523808</v>
      </c>
    </row>
    <row r="81" spans="1:26">
      <c r="A81" t="s">
        <v>495</v>
      </c>
      <c r="B81" s="198">
        <v>43780</v>
      </c>
      <c r="C81" t="s">
        <v>187</v>
      </c>
      <c r="D81" t="s">
        <v>187</v>
      </c>
      <c r="E81" t="s">
        <v>187</v>
      </c>
      <c r="F81" t="s">
        <v>187</v>
      </c>
      <c r="G81" t="s">
        <v>187</v>
      </c>
      <c r="J81" s="198">
        <v>43783</v>
      </c>
      <c r="K81" s="198">
        <v>43787</v>
      </c>
      <c r="L81" t="s">
        <v>189</v>
      </c>
      <c r="M81" s="198">
        <v>43789</v>
      </c>
      <c r="N81">
        <v>0.36677083333333332</v>
      </c>
      <c r="O81" t="s">
        <v>496</v>
      </c>
      <c r="P81" t="s">
        <v>138</v>
      </c>
      <c r="Q81" t="s">
        <v>274</v>
      </c>
      <c r="R81">
        <v>0</v>
      </c>
      <c r="S81" t="s">
        <v>364</v>
      </c>
      <c r="T81">
        <v>1931392</v>
      </c>
      <c r="U81">
        <v>3</v>
      </c>
      <c r="V81">
        <v>40</v>
      </c>
      <c r="X81">
        <v>43787</v>
      </c>
      <c r="Y81">
        <v>9</v>
      </c>
      <c r="Z81">
        <v>0.88888888888888884</v>
      </c>
    </row>
    <row r="82" spans="1:26">
      <c r="A82" t="s">
        <v>497</v>
      </c>
      <c r="B82" s="198">
        <v>43780</v>
      </c>
      <c r="C82" t="s">
        <v>187</v>
      </c>
      <c r="D82" t="s">
        <v>187</v>
      </c>
      <c r="E82" t="s">
        <v>187</v>
      </c>
      <c r="F82" t="s">
        <v>187</v>
      </c>
      <c r="G82" t="s">
        <v>187</v>
      </c>
      <c r="J82" s="198">
        <v>43783</v>
      </c>
      <c r="K82" s="198">
        <v>43787</v>
      </c>
      <c r="L82" t="s">
        <v>189</v>
      </c>
      <c r="M82" s="198">
        <v>43789</v>
      </c>
      <c r="N82">
        <v>0.41885416666666669</v>
      </c>
      <c r="O82" t="s">
        <v>498</v>
      </c>
      <c r="P82" t="s">
        <v>138</v>
      </c>
      <c r="Q82" t="s">
        <v>499</v>
      </c>
      <c r="R82">
        <v>0</v>
      </c>
      <c r="S82" t="s">
        <v>500</v>
      </c>
      <c r="T82">
        <v>1931385</v>
      </c>
      <c r="U82">
        <v>3</v>
      </c>
      <c r="V82">
        <v>16</v>
      </c>
      <c r="X82">
        <v>43787</v>
      </c>
      <c r="Y82">
        <v>8</v>
      </c>
      <c r="Z82">
        <v>0.35555555555555557</v>
      </c>
    </row>
    <row r="83" spans="1:26">
      <c r="A83" t="s">
        <v>501</v>
      </c>
      <c r="B83" s="198">
        <v>43780</v>
      </c>
      <c r="C83" t="s">
        <v>187</v>
      </c>
      <c r="D83" t="s">
        <v>187</v>
      </c>
      <c r="E83" t="s">
        <v>187</v>
      </c>
      <c r="F83" t="s">
        <v>187</v>
      </c>
      <c r="G83" t="s">
        <v>187</v>
      </c>
      <c r="J83" s="198">
        <v>43783</v>
      </c>
      <c r="K83" s="198">
        <v>43787</v>
      </c>
      <c r="L83" t="s">
        <v>188</v>
      </c>
      <c r="M83" s="198">
        <v>43789</v>
      </c>
      <c r="N83">
        <v>0.49333333333333335</v>
      </c>
      <c r="O83">
        <v>7994</v>
      </c>
      <c r="P83" t="s">
        <v>138</v>
      </c>
      <c r="Q83" t="s">
        <v>502</v>
      </c>
      <c r="R83">
        <v>0</v>
      </c>
      <c r="S83" t="s">
        <v>503</v>
      </c>
      <c r="T83">
        <v>1931417</v>
      </c>
      <c r="U83">
        <v>13</v>
      </c>
      <c r="V83">
        <v>70</v>
      </c>
      <c r="X83">
        <v>43791</v>
      </c>
      <c r="Y83">
        <v>9</v>
      </c>
      <c r="Z83">
        <v>0.97222222222222221</v>
      </c>
    </row>
    <row r="84" spans="1:26">
      <c r="A84" t="s">
        <v>504</v>
      </c>
      <c r="B84" s="198">
        <v>43780</v>
      </c>
      <c r="C84" t="s">
        <v>187</v>
      </c>
      <c r="D84" t="s">
        <v>187</v>
      </c>
      <c r="E84" t="s">
        <v>187</v>
      </c>
      <c r="F84" t="s">
        <v>187</v>
      </c>
      <c r="G84" t="s">
        <v>187</v>
      </c>
      <c r="J84" s="198">
        <v>43783</v>
      </c>
      <c r="K84" s="198">
        <v>43787</v>
      </c>
      <c r="L84" t="s">
        <v>188</v>
      </c>
      <c r="M84" s="198">
        <v>43789</v>
      </c>
      <c r="N84">
        <v>0.60166666666666668</v>
      </c>
      <c r="O84">
        <v>6774</v>
      </c>
      <c r="P84" t="s">
        <v>138</v>
      </c>
      <c r="Q84" t="s">
        <v>505</v>
      </c>
      <c r="R84">
        <v>0</v>
      </c>
      <c r="S84" t="s">
        <v>506</v>
      </c>
      <c r="T84">
        <v>1931421</v>
      </c>
      <c r="U84">
        <v>13</v>
      </c>
      <c r="V84">
        <v>20</v>
      </c>
      <c r="X84">
        <v>43791</v>
      </c>
      <c r="Y84">
        <v>9</v>
      </c>
      <c r="Z84">
        <v>0.37037037037037035</v>
      </c>
    </row>
    <row r="85" spans="1:26">
      <c r="A85" t="s">
        <v>507</v>
      </c>
      <c r="B85" s="198">
        <v>43781</v>
      </c>
      <c r="C85" t="s">
        <v>187</v>
      </c>
      <c r="D85" t="s">
        <v>187</v>
      </c>
      <c r="E85" t="s">
        <v>187</v>
      </c>
      <c r="F85" t="s">
        <v>187</v>
      </c>
      <c r="G85" t="s">
        <v>187</v>
      </c>
      <c r="J85" s="198">
        <v>43783</v>
      </c>
      <c r="K85" s="198">
        <v>43787</v>
      </c>
      <c r="L85" t="s">
        <v>188</v>
      </c>
      <c r="M85" s="198">
        <v>43789</v>
      </c>
      <c r="N85">
        <v>0.69541666666666668</v>
      </c>
      <c r="O85" t="s">
        <v>508</v>
      </c>
      <c r="P85" t="s">
        <v>138</v>
      </c>
      <c r="Q85" t="s">
        <v>472</v>
      </c>
      <c r="R85">
        <v>0</v>
      </c>
      <c r="S85" t="s">
        <v>509</v>
      </c>
      <c r="T85">
        <v>1931190</v>
      </c>
      <c r="U85">
        <v>3</v>
      </c>
      <c r="V85">
        <v>50</v>
      </c>
      <c r="X85">
        <v>43748</v>
      </c>
      <c r="Y85">
        <v>9</v>
      </c>
      <c r="Z85">
        <v>1.1111111111111112</v>
      </c>
    </row>
    <row r="86" spans="1:26">
      <c r="A86" t="s">
        <v>510</v>
      </c>
      <c r="B86" s="198">
        <v>43781</v>
      </c>
      <c r="C86" t="s">
        <v>187</v>
      </c>
      <c r="D86" t="s">
        <v>187</v>
      </c>
      <c r="E86" t="s">
        <v>187</v>
      </c>
      <c r="F86" t="s">
        <v>187</v>
      </c>
      <c r="G86" t="s">
        <v>187</v>
      </c>
      <c r="J86" s="198">
        <v>43788</v>
      </c>
      <c r="K86" s="198">
        <v>43789</v>
      </c>
      <c r="L86" t="s">
        <v>189</v>
      </c>
      <c r="M86" s="198">
        <v>43794</v>
      </c>
      <c r="N86">
        <v>0.39180555555555552</v>
      </c>
      <c r="O86" t="s">
        <v>511</v>
      </c>
      <c r="P86" t="s">
        <v>138</v>
      </c>
      <c r="Q86" t="s">
        <v>512</v>
      </c>
      <c r="R86">
        <v>0</v>
      </c>
      <c r="S86" t="s">
        <v>513</v>
      </c>
      <c r="T86">
        <v>1931403</v>
      </c>
      <c r="U86">
        <v>13</v>
      </c>
      <c r="V86">
        <v>12</v>
      </c>
      <c r="X86">
        <v>43787</v>
      </c>
      <c r="Y86">
        <v>6</v>
      </c>
      <c r="Z86">
        <v>0.26666666666666666</v>
      </c>
    </row>
    <row r="87" spans="1:26">
      <c r="A87" t="s">
        <v>514</v>
      </c>
      <c r="B87" s="198">
        <v>43773</v>
      </c>
      <c r="C87" t="s">
        <v>187</v>
      </c>
      <c r="D87" t="s">
        <v>187</v>
      </c>
      <c r="E87" t="s">
        <v>187</v>
      </c>
      <c r="F87" t="s">
        <v>187</v>
      </c>
      <c r="G87" t="s">
        <v>187</v>
      </c>
      <c r="J87" s="198">
        <v>43782</v>
      </c>
      <c r="K87" s="198">
        <v>43783</v>
      </c>
      <c r="L87" t="s">
        <v>188</v>
      </c>
      <c r="M87" s="198">
        <v>43788</v>
      </c>
      <c r="N87">
        <v>0.34481481481481485</v>
      </c>
      <c r="O87" t="s">
        <v>515</v>
      </c>
      <c r="P87" t="s">
        <v>394</v>
      </c>
      <c r="Q87" t="s">
        <v>516</v>
      </c>
      <c r="S87" t="s">
        <v>517</v>
      </c>
      <c r="T87" t="s">
        <v>518</v>
      </c>
      <c r="U87" t="s">
        <v>303</v>
      </c>
      <c r="V87">
        <v>10</v>
      </c>
      <c r="X87">
        <v>43789.586006944446</v>
      </c>
      <c r="Y87">
        <v>8</v>
      </c>
    </row>
    <row r="88" spans="1:26">
      <c r="A88" t="s">
        <v>519</v>
      </c>
      <c r="B88" s="198">
        <v>43773</v>
      </c>
      <c r="C88" t="s">
        <v>187</v>
      </c>
      <c r="D88" t="s">
        <v>187</v>
      </c>
      <c r="E88" t="s">
        <v>187</v>
      </c>
      <c r="F88" t="s">
        <v>187</v>
      </c>
      <c r="G88" t="s">
        <v>187</v>
      </c>
      <c r="J88" s="198">
        <v>43782</v>
      </c>
      <c r="K88" s="198">
        <v>43783</v>
      </c>
      <c r="L88" t="s">
        <v>188</v>
      </c>
      <c r="M88" s="198">
        <v>43788</v>
      </c>
      <c r="N88">
        <v>0.36721064814814813</v>
      </c>
      <c r="O88" t="s">
        <v>393</v>
      </c>
      <c r="P88" t="s">
        <v>394</v>
      </c>
      <c r="Q88" t="s">
        <v>395</v>
      </c>
      <c r="S88" t="s">
        <v>396</v>
      </c>
      <c r="T88" t="s">
        <v>520</v>
      </c>
      <c r="U88" t="s">
        <v>303</v>
      </c>
      <c r="V88">
        <v>900</v>
      </c>
      <c r="X88">
        <v>43789.596585648149</v>
      </c>
      <c r="Y88">
        <v>10</v>
      </c>
    </row>
    <row r="89" spans="1:26">
      <c r="A89" t="s">
        <v>521</v>
      </c>
      <c r="B89" s="198">
        <v>43773</v>
      </c>
      <c r="C89" t="s">
        <v>522</v>
      </c>
      <c r="D89" t="s">
        <v>523</v>
      </c>
      <c r="E89" t="s">
        <v>187</v>
      </c>
      <c r="F89" t="s">
        <v>187</v>
      </c>
      <c r="G89" t="s">
        <v>187</v>
      </c>
      <c r="J89" s="198">
        <v>43782</v>
      </c>
      <c r="K89" s="198">
        <v>43783</v>
      </c>
      <c r="L89" t="s">
        <v>189</v>
      </c>
      <c r="M89" s="198">
        <v>43788</v>
      </c>
      <c r="N89">
        <v>0.51587962962962963</v>
      </c>
      <c r="O89" t="s">
        <v>524</v>
      </c>
      <c r="P89" t="s">
        <v>394</v>
      </c>
      <c r="Q89" t="s">
        <v>525</v>
      </c>
      <c r="S89" t="s">
        <v>526</v>
      </c>
      <c r="T89" t="s">
        <v>527</v>
      </c>
      <c r="U89" t="s">
        <v>303</v>
      </c>
      <c r="V89">
        <v>150</v>
      </c>
      <c r="W89" t="s">
        <v>528</v>
      </c>
      <c r="X89">
        <v>43789.750937500001</v>
      </c>
      <c r="Y89">
        <v>9</v>
      </c>
    </row>
    <row r="90" spans="1:26">
      <c r="A90" t="s">
        <v>521</v>
      </c>
      <c r="B90" s="198">
        <v>43773</v>
      </c>
      <c r="C90" t="s">
        <v>522</v>
      </c>
      <c r="D90" t="s">
        <v>523</v>
      </c>
      <c r="E90" t="s">
        <v>187</v>
      </c>
      <c r="F90" t="s">
        <v>187</v>
      </c>
      <c r="G90" t="s">
        <v>187</v>
      </c>
      <c r="J90" s="198">
        <v>43782</v>
      </c>
      <c r="K90" s="198">
        <v>43783</v>
      </c>
      <c r="L90" t="s">
        <v>189</v>
      </c>
      <c r="M90" s="198">
        <v>43788</v>
      </c>
      <c r="N90">
        <v>0.5580208333333333</v>
      </c>
      <c r="O90" t="s">
        <v>524</v>
      </c>
      <c r="P90" t="s">
        <v>394</v>
      </c>
      <c r="Q90" t="s">
        <v>525</v>
      </c>
      <c r="S90" t="s">
        <v>526</v>
      </c>
      <c r="T90" t="s">
        <v>529</v>
      </c>
      <c r="U90" t="s">
        <v>303</v>
      </c>
      <c r="V90">
        <v>120</v>
      </c>
      <c r="W90" t="s">
        <v>528</v>
      </c>
      <c r="X90">
        <v>43789.781307870369</v>
      </c>
      <c r="Y90">
        <v>9</v>
      </c>
    </row>
    <row r="91" spans="1:26">
      <c r="A91" t="s">
        <v>530</v>
      </c>
      <c r="B91" s="198">
        <v>43780</v>
      </c>
      <c r="C91" t="s">
        <v>187</v>
      </c>
      <c r="D91" t="s">
        <v>187</v>
      </c>
      <c r="E91" t="s">
        <v>187</v>
      </c>
      <c r="F91" t="s">
        <v>187</v>
      </c>
      <c r="G91" t="s">
        <v>187</v>
      </c>
      <c r="J91" s="198">
        <v>43782</v>
      </c>
      <c r="K91" s="198">
        <v>43783</v>
      </c>
      <c r="L91" t="s">
        <v>189</v>
      </c>
      <c r="M91" s="198">
        <v>43788</v>
      </c>
      <c r="N91">
        <v>0.59590277777777778</v>
      </c>
      <c r="O91" t="s">
        <v>531</v>
      </c>
      <c r="P91" t="s">
        <v>394</v>
      </c>
      <c r="Q91" t="s">
        <v>532</v>
      </c>
      <c r="S91" t="s">
        <v>533</v>
      </c>
      <c r="T91" t="s">
        <v>534</v>
      </c>
      <c r="U91" t="s">
        <v>303</v>
      </c>
      <c r="V91">
        <v>540</v>
      </c>
      <c r="W91" t="s">
        <v>535</v>
      </c>
      <c r="X91">
        <v>43789.807673611111</v>
      </c>
      <c r="Y91">
        <v>9</v>
      </c>
    </row>
    <row r="92" spans="1:26">
      <c r="A92" t="s">
        <v>536</v>
      </c>
      <c r="B92" s="198">
        <v>43780</v>
      </c>
      <c r="C92" t="s">
        <v>187</v>
      </c>
      <c r="D92" t="s">
        <v>187</v>
      </c>
      <c r="E92" t="s">
        <v>187</v>
      </c>
      <c r="F92" t="s">
        <v>187</v>
      </c>
      <c r="G92" t="s">
        <v>187</v>
      </c>
      <c r="J92" s="198">
        <v>43783</v>
      </c>
      <c r="K92" s="198">
        <v>43787</v>
      </c>
      <c r="L92" t="s">
        <v>188</v>
      </c>
      <c r="M92" s="198">
        <v>43789</v>
      </c>
      <c r="N92">
        <v>0.34694444444444444</v>
      </c>
      <c r="O92" t="s">
        <v>537</v>
      </c>
      <c r="P92" t="s">
        <v>394</v>
      </c>
      <c r="Q92" t="s">
        <v>538</v>
      </c>
      <c r="S92" t="s">
        <v>539</v>
      </c>
      <c r="T92" t="s">
        <v>540</v>
      </c>
      <c r="U92" t="s">
        <v>303</v>
      </c>
      <c r="V92">
        <v>100</v>
      </c>
      <c r="X92">
        <v>43789.940381944441</v>
      </c>
      <c r="Y92">
        <v>11</v>
      </c>
    </row>
    <row r="93" spans="1:26">
      <c r="A93" t="s">
        <v>541</v>
      </c>
      <c r="B93" s="198">
        <v>43781</v>
      </c>
      <c r="C93" t="s">
        <v>187</v>
      </c>
      <c r="D93" t="s">
        <v>187</v>
      </c>
      <c r="E93" t="s">
        <v>187</v>
      </c>
      <c r="F93" t="s">
        <v>187</v>
      </c>
      <c r="G93" t="s">
        <v>187</v>
      </c>
      <c r="J93" s="198">
        <v>43783</v>
      </c>
      <c r="K93" s="198">
        <v>43787</v>
      </c>
      <c r="L93" t="s">
        <v>189</v>
      </c>
      <c r="M93" s="198">
        <v>43789</v>
      </c>
      <c r="N93">
        <v>0.38340277777777776</v>
      </c>
      <c r="O93" t="s">
        <v>542</v>
      </c>
      <c r="P93" t="s">
        <v>394</v>
      </c>
      <c r="Q93" t="s">
        <v>543</v>
      </c>
      <c r="S93" t="s">
        <v>544</v>
      </c>
      <c r="T93" t="s">
        <v>545</v>
      </c>
      <c r="U93" t="s">
        <v>303</v>
      </c>
      <c r="V93">
        <v>100</v>
      </c>
      <c r="X93">
        <v>43789.976840277777</v>
      </c>
      <c r="Y93">
        <v>11</v>
      </c>
    </row>
    <row r="94" spans="1:26">
      <c r="A94" t="s">
        <v>546</v>
      </c>
      <c r="B94" s="198">
        <v>43782</v>
      </c>
      <c r="C94" t="s">
        <v>187</v>
      </c>
      <c r="D94" t="s">
        <v>187</v>
      </c>
      <c r="E94" t="s">
        <v>187</v>
      </c>
      <c r="F94" t="s">
        <v>187</v>
      </c>
      <c r="G94" t="s">
        <v>187</v>
      </c>
      <c r="J94" s="198">
        <v>43787</v>
      </c>
      <c r="K94" s="198">
        <v>43788</v>
      </c>
      <c r="L94" t="s">
        <v>188</v>
      </c>
      <c r="M94" s="198">
        <v>43790</v>
      </c>
      <c r="N94">
        <v>0.32715277777777779</v>
      </c>
      <c r="O94" t="s">
        <v>547</v>
      </c>
      <c r="P94" t="s">
        <v>394</v>
      </c>
      <c r="Q94" t="s">
        <v>525</v>
      </c>
      <c r="S94" t="s">
        <v>548</v>
      </c>
      <c r="T94" t="s">
        <v>549</v>
      </c>
      <c r="U94" t="s">
        <v>303</v>
      </c>
      <c r="V94">
        <v>200</v>
      </c>
      <c r="W94" t="s">
        <v>325</v>
      </c>
      <c r="X94">
        <v>43790.540520833332</v>
      </c>
      <c r="Y94">
        <v>9</v>
      </c>
    </row>
    <row r="95" spans="1:26">
      <c r="A95" t="s">
        <v>550</v>
      </c>
      <c r="B95" s="198">
        <v>43783</v>
      </c>
      <c r="C95" t="s">
        <v>187</v>
      </c>
      <c r="D95" t="s">
        <v>187</v>
      </c>
      <c r="E95" t="s">
        <v>187</v>
      </c>
      <c r="F95" t="s">
        <v>187</v>
      </c>
      <c r="G95" t="s">
        <v>187</v>
      </c>
      <c r="J95" s="198">
        <v>43787</v>
      </c>
      <c r="K95" s="198">
        <v>43788</v>
      </c>
      <c r="L95" t="s">
        <v>189</v>
      </c>
      <c r="M95" s="198">
        <v>43790</v>
      </c>
      <c r="N95">
        <v>0.44268518518518518</v>
      </c>
      <c r="O95" t="s">
        <v>408</v>
      </c>
      <c r="P95" t="s">
        <v>394</v>
      </c>
      <c r="Q95" t="s">
        <v>409</v>
      </c>
      <c r="S95" t="s">
        <v>410</v>
      </c>
      <c r="T95" t="s">
        <v>551</v>
      </c>
      <c r="U95" t="s">
        <v>303</v>
      </c>
      <c r="V95">
        <v>450</v>
      </c>
      <c r="W95" t="s">
        <v>325</v>
      </c>
      <c r="X95">
        <v>43790.605115740742</v>
      </c>
      <c r="Y95">
        <v>10</v>
      </c>
    </row>
    <row r="96" spans="1:26">
      <c r="A96" t="s">
        <v>552</v>
      </c>
      <c r="B96" s="198">
        <v>43782</v>
      </c>
      <c r="C96" t="s">
        <v>187</v>
      </c>
      <c r="D96" t="s">
        <v>187</v>
      </c>
      <c r="E96" t="s">
        <v>187</v>
      </c>
      <c r="F96" t="s">
        <v>187</v>
      </c>
      <c r="G96" t="s">
        <v>187</v>
      </c>
      <c r="J96" s="198">
        <v>43787</v>
      </c>
      <c r="K96" s="198">
        <v>43788</v>
      </c>
      <c r="L96" t="s">
        <v>189</v>
      </c>
      <c r="M96" s="198">
        <v>43790</v>
      </c>
      <c r="N96">
        <v>0.6121875</v>
      </c>
      <c r="O96" t="s">
        <v>553</v>
      </c>
      <c r="P96" t="s">
        <v>554</v>
      </c>
      <c r="Q96" t="s">
        <v>555</v>
      </c>
      <c r="S96" t="s">
        <v>556</v>
      </c>
      <c r="T96" t="s">
        <v>557</v>
      </c>
      <c r="U96" t="s">
        <v>303</v>
      </c>
      <c r="V96">
        <v>1200</v>
      </c>
      <c r="X96">
        <v>43795.4375462963</v>
      </c>
      <c r="Y96">
        <v>7</v>
      </c>
    </row>
    <row r="97" spans="1:26">
      <c r="A97" t="s">
        <v>558</v>
      </c>
      <c r="B97" s="198">
        <v>43781</v>
      </c>
      <c r="C97" t="s">
        <v>187</v>
      </c>
      <c r="D97" t="s">
        <v>187</v>
      </c>
      <c r="E97" t="s">
        <v>187</v>
      </c>
      <c r="F97" t="s">
        <v>187</v>
      </c>
      <c r="G97" t="s">
        <v>187</v>
      </c>
      <c r="H97" t="s">
        <v>187</v>
      </c>
      <c r="J97" s="198">
        <v>43782</v>
      </c>
      <c r="K97" s="198">
        <v>43783</v>
      </c>
      <c r="L97" t="s">
        <v>188</v>
      </c>
      <c r="M97" s="198">
        <v>43788</v>
      </c>
      <c r="N97">
        <v>0.27349537037037036</v>
      </c>
      <c r="O97">
        <v>711</v>
      </c>
      <c r="P97" t="s">
        <v>136</v>
      </c>
      <c r="Q97" t="s">
        <v>437</v>
      </c>
      <c r="R97">
        <v>8.5</v>
      </c>
      <c r="S97" t="s">
        <v>440</v>
      </c>
      <c r="T97">
        <v>1910398</v>
      </c>
      <c r="U97">
        <v>13</v>
      </c>
      <c r="V97">
        <v>417</v>
      </c>
      <c r="W97" t="s">
        <v>441</v>
      </c>
      <c r="X97">
        <v>43804</v>
      </c>
      <c r="Y97">
        <v>6</v>
      </c>
      <c r="Z97">
        <v>9.2666666666666675</v>
      </c>
    </row>
    <row r="98" spans="1:26">
      <c r="A98" t="s">
        <v>559</v>
      </c>
      <c r="B98">
        <v>43783</v>
      </c>
      <c r="C98" t="s">
        <v>187</v>
      </c>
      <c r="D98" t="s">
        <v>187</v>
      </c>
      <c r="E98" t="s">
        <v>187</v>
      </c>
      <c r="F98" t="s">
        <v>187</v>
      </c>
      <c r="G98" t="s">
        <v>187</v>
      </c>
      <c r="H98" t="s">
        <v>187</v>
      </c>
      <c r="J98">
        <v>43788</v>
      </c>
      <c r="K98">
        <v>43789</v>
      </c>
      <c r="L98" t="s">
        <v>189</v>
      </c>
      <c r="M98">
        <v>43790</v>
      </c>
      <c r="N98">
        <v>0.29068287037037038</v>
      </c>
      <c r="O98">
        <v>773</v>
      </c>
      <c r="P98" t="s">
        <v>133</v>
      </c>
      <c r="Q98" t="s">
        <v>560</v>
      </c>
      <c r="R98">
        <v>12</v>
      </c>
      <c r="S98" t="s">
        <v>561</v>
      </c>
      <c r="T98">
        <v>1920947</v>
      </c>
      <c r="U98">
        <v>13</v>
      </c>
      <c r="V98">
        <v>143</v>
      </c>
      <c r="X98">
        <v>43803</v>
      </c>
      <c r="Y98">
        <v>3</v>
      </c>
      <c r="Z98">
        <v>0.5</v>
      </c>
    </row>
    <row r="99" spans="1:26">
      <c r="A99" t="s">
        <v>562</v>
      </c>
      <c r="B99">
        <v>43783</v>
      </c>
      <c r="C99" t="s">
        <v>187</v>
      </c>
      <c r="D99" t="s">
        <v>187</v>
      </c>
      <c r="E99" t="s">
        <v>187</v>
      </c>
      <c r="F99" t="s">
        <v>187</v>
      </c>
      <c r="G99" t="s">
        <v>187</v>
      </c>
      <c r="J99">
        <v>43788</v>
      </c>
      <c r="K99">
        <v>43789</v>
      </c>
      <c r="L99" t="s">
        <v>189</v>
      </c>
      <c r="M99">
        <v>43790</v>
      </c>
      <c r="N99">
        <v>0.45027777777777778</v>
      </c>
      <c r="O99">
        <v>7830</v>
      </c>
      <c r="P99" t="s">
        <v>133</v>
      </c>
      <c r="Q99" t="s">
        <v>236</v>
      </c>
      <c r="R99">
        <v>0</v>
      </c>
      <c r="S99" t="s">
        <v>237</v>
      </c>
      <c r="T99">
        <v>1920904</v>
      </c>
      <c r="U99">
        <v>13</v>
      </c>
      <c r="V99">
        <v>50</v>
      </c>
      <c r="X99">
        <v>43784</v>
      </c>
      <c r="Y99">
        <v>5</v>
      </c>
      <c r="Z99">
        <v>0.27932960893854747</v>
      </c>
    </row>
    <row r="100" spans="1:26">
      <c r="A100" t="s">
        <v>563</v>
      </c>
      <c r="B100">
        <v>43782</v>
      </c>
      <c r="C100" t="s">
        <v>187</v>
      </c>
      <c r="D100" t="s">
        <v>187</v>
      </c>
      <c r="E100" t="s">
        <v>187</v>
      </c>
      <c r="F100" t="s">
        <v>187</v>
      </c>
      <c r="G100" t="s">
        <v>187</v>
      </c>
      <c r="H100" t="s">
        <v>187</v>
      </c>
      <c r="J100">
        <v>43788</v>
      </c>
      <c r="K100">
        <v>43789</v>
      </c>
      <c r="L100" t="s">
        <v>189</v>
      </c>
      <c r="M100">
        <v>43790</v>
      </c>
      <c r="N100">
        <v>0.27184027777777781</v>
      </c>
      <c r="O100">
        <v>7190</v>
      </c>
      <c r="P100" t="s">
        <v>134</v>
      </c>
      <c r="Q100" t="s">
        <v>452</v>
      </c>
      <c r="R100">
        <v>12.4</v>
      </c>
      <c r="S100" t="s">
        <v>564</v>
      </c>
      <c r="T100">
        <v>1920914</v>
      </c>
      <c r="U100">
        <v>13</v>
      </c>
      <c r="V100">
        <v>393</v>
      </c>
      <c r="X100">
        <v>43837</v>
      </c>
      <c r="Y100">
        <v>3</v>
      </c>
      <c r="Z100">
        <v>1.2281249999999999</v>
      </c>
    </row>
    <row r="101" spans="1:26">
      <c r="A101" t="s">
        <v>299</v>
      </c>
      <c r="B101">
        <v>43789</v>
      </c>
      <c r="C101" t="s">
        <v>187</v>
      </c>
      <c r="D101" t="s">
        <v>187</v>
      </c>
      <c r="E101" t="s">
        <v>187</v>
      </c>
      <c r="F101" t="s">
        <v>187</v>
      </c>
      <c r="G101" t="s">
        <v>187</v>
      </c>
      <c r="H101" t="s">
        <v>187</v>
      </c>
      <c r="J101">
        <v>43787</v>
      </c>
      <c r="K101">
        <v>43788</v>
      </c>
      <c r="L101" t="s">
        <v>189</v>
      </c>
      <c r="M101">
        <v>43790</v>
      </c>
      <c r="N101">
        <v>0.30843749999999998</v>
      </c>
      <c r="O101">
        <v>2411</v>
      </c>
      <c r="P101" t="s">
        <v>138</v>
      </c>
      <c r="Q101" t="s">
        <v>480</v>
      </c>
      <c r="R101">
        <v>6</v>
      </c>
      <c r="S101" t="s">
        <v>481</v>
      </c>
      <c r="T101">
        <v>1931522</v>
      </c>
      <c r="U101">
        <v>3</v>
      </c>
      <c r="V101">
        <v>10</v>
      </c>
      <c r="W101" t="s">
        <v>474</v>
      </c>
      <c r="X101">
        <v>43812</v>
      </c>
      <c r="Y101">
        <v>10</v>
      </c>
      <c r="Z101">
        <v>0.20833333333333334</v>
      </c>
    </row>
    <row r="102" spans="1:26">
      <c r="A102" t="s">
        <v>565</v>
      </c>
      <c r="B102">
        <v>43781</v>
      </c>
      <c r="C102" t="s">
        <v>187</v>
      </c>
      <c r="D102" t="s">
        <v>187</v>
      </c>
      <c r="E102" t="s">
        <v>187</v>
      </c>
      <c r="F102" t="s">
        <v>187</v>
      </c>
      <c r="G102" t="s">
        <v>187</v>
      </c>
      <c r="J102">
        <v>43787</v>
      </c>
      <c r="K102">
        <v>43788</v>
      </c>
      <c r="L102" t="s">
        <v>189</v>
      </c>
      <c r="M102">
        <v>43790</v>
      </c>
      <c r="N102">
        <v>0.38916666666666666</v>
      </c>
      <c r="O102">
        <v>1107</v>
      </c>
      <c r="P102" t="s">
        <v>138</v>
      </c>
      <c r="Q102" t="s">
        <v>566</v>
      </c>
      <c r="R102">
        <v>0</v>
      </c>
      <c r="S102" t="s">
        <v>567</v>
      </c>
      <c r="T102">
        <v>1931223</v>
      </c>
      <c r="U102">
        <v>3</v>
      </c>
      <c r="V102">
        <v>20</v>
      </c>
      <c r="W102" t="s">
        <v>568</v>
      </c>
      <c r="X102">
        <v>43755</v>
      </c>
      <c r="Y102">
        <v>19</v>
      </c>
      <c r="Z102">
        <v>0.35714285714285715</v>
      </c>
    </row>
    <row r="103" spans="1:26">
      <c r="A103" t="s">
        <v>569</v>
      </c>
      <c r="B103">
        <v>43782</v>
      </c>
      <c r="C103" t="s">
        <v>187</v>
      </c>
      <c r="D103" t="s">
        <v>187</v>
      </c>
      <c r="E103" t="s">
        <v>187</v>
      </c>
      <c r="F103" t="s">
        <v>187</v>
      </c>
      <c r="G103" t="s">
        <v>187</v>
      </c>
      <c r="J103">
        <v>43787</v>
      </c>
      <c r="K103">
        <v>43788</v>
      </c>
      <c r="L103" t="s">
        <v>189</v>
      </c>
      <c r="M103">
        <v>43790</v>
      </c>
      <c r="N103">
        <v>0.44124999999999998</v>
      </c>
      <c r="O103" t="s">
        <v>570</v>
      </c>
      <c r="P103" t="s">
        <v>138</v>
      </c>
      <c r="Q103" t="s">
        <v>571</v>
      </c>
      <c r="R103">
        <v>0</v>
      </c>
      <c r="S103" t="s">
        <v>572</v>
      </c>
      <c r="T103">
        <v>1931262</v>
      </c>
      <c r="U103">
        <v>3</v>
      </c>
      <c r="V103">
        <v>50</v>
      </c>
      <c r="X103">
        <v>43763</v>
      </c>
      <c r="Y103">
        <v>10</v>
      </c>
      <c r="Z103">
        <v>1.1111111111111112</v>
      </c>
    </row>
    <row r="104" spans="1:26">
      <c r="A104" t="s">
        <v>573</v>
      </c>
      <c r="B104">
        <v>43782</v>
      </c>
      <c r="C104" t="s">
        <v>187</v>
      </c>
      <c r="D104" t="s">
        <v>187</v>
      </c>
      <c r="E104" t="s">
        <v>187</v>
      </c>
      <c r="F104" t="s">
        <v>187</v>
      </c>
      <c r="G104" t="s">
        <v>187</v>
      </c>
      <c r="J104">
        <v>43787</v>
      </c>
      <c r="K104">
        <v>43788</v>
      </c>
      <c r="L104" t="s">
        <v>189</v>
      </c>
      <c r="M104">
        <v>43790</v>
      </c>
      <c r="N104">
        <v>0.54020833333333329</v>
      </c>
      <c r="O104">
        <v>1170</v>
      </c>
      <c r="P104" t="s">
        <v>138</v>
      </c>
      <c r="Q104" t="s">
        <v>574</v>
      </c>
      <c r="R104">
        <v>0</v>
      </c>
      <c r="S104" t="s">
        <v>356</v>
      </c>
      <c r="T104">
        <v>1931336</v>
      </c>
      <c r="U104">
        <v>3</v>
      </c>
      <c r="V104">
        <v>20</v>
      </c>
      <c r="X104">
        <v>43773</v>
      </c>
      <c r="Y104">
        <v>11</v>
      </c>
      <c r="Z104">
        <v>0.44444444444444442</v>
      </c>
    </row>
    <row r="105" spans="1:26">
      <c r="A105" t="s">
        <v>575</v>
      </c>
      <c r="B105">
        <v>43782</v>
      </c>
      <c r="C105" t="s">
        <v>187</v>
      </c>
      <c r="D105" t="s">
        <v>187</v>
      </c>
      <c r="E105" t="s">
        <v>187</v>
      </c>
      <c r="F105" t="s">
        <v>187</v>
      </c>
      <c r="G105" t="s">
        <v>187</v>
      </c>
      <c r="J105">
        <v>43787</v>
      </c>
      <c r="K105">
        <v>43788</v>
      </c>
      <c r="L105" t="s">
        <v>189</v>
      </c>
      <c r="M105">
        <v>43790</v>
      </c>
      <c r="N105">
        <v>0.83187500000000003</v>
      </c>
      <c r="O105">
        <v>9777</v>
      </c>
      <c r="P105" t="s">
        <v>138</v>
      </c>
      <c r="Q105" t="s">
        <v>576</v>
      </c>
      <c r="R105">
        <v>0</v>
      </c>
      <c r="S105" t="s">
        <v>577</v>
      </c>
      <c r="T105">
        <v>1931345</v>
      </c>
      <c r="U105">
        <v>3</v>
      </c>
      <c r="V105">
        <v>20</v>
      </c>
      <c r="X105">
        <v>43776</v>
      </c>
      <c r="Y105">
        <v>11</v>
      </c>
      <c r="Z105">
        <v>0.5</v>
      </c>
    </row>
    <row r="106" spans="1:26">
      <c r="A106" t="s">
        <v>578</v>
      </c>
      <c r="B106">
        <v>43787</v>
      </c>
      <c r="C106" t="s">
        <v>187</v>
      </c>
      <c r="D106" t="s">
        <v>187</v>
      </c>
      <c r="E106" t="s">
        <v>187</v>
      </c>
      <c r="F106" t="s">
        <v>187</v>
      </c>
      <c r="G106" t="s">
        <v>187</v>
      </c>
      <c r="J106">
        <v>43787</v>
      </c>
      <c r="K106">
        <v>43788</v>
      </c>
      <c r="L106" t="s">
        <v>189</v>
      </c>
      <c r="M106">
        <v>43790</v>
      </c>
      <c r="N106">
        <v>0.87875000000000003</v>
      </c>
      <c r="O106" t="s">
        <v>579</v>
      </c>
      <c r="P106" t="s">
        <v>138</v>
      </c>
      <c r="Q106" t="s">
        <v>366</v>
      </c>
      <c r="R106">
        <v>0</v>
      </c>
      <c r="S106" t="s">
        <v>580</v>
      </c>
      <c r="T106">
        <v>1931429</v>
      </c>
      <c r="U106">
        <v>3</v>
      </c>
      <c r="V106">
        <v>5</v>
      </c>
      <c r="W106" t="s">
        <v>581</v>
      </c>
      <c r="X106">
        <v>43791</v>
      </c>
      <c r="Y106">
        <v>11</v>
      </c>
      <c r="Z106">
        <v>0.1111111111111111</v>
      </c>
    </row>
    <row r="107" spans="1:26">
      <c r="A107" t="s">
        <v>582</v>
      </c>
      <c r="B107">
        <v>43781</v>
      </c>
      <c r="C107" t="s">
        <v>187</v>
      </c>
      <c r="D107" t="s">
        <v>187</v>
      </c>
      <c r="E107" t="s">
        <v>187</v>
      </c>
      <c r="F107" t="s">
        <v>187</v>
      </c>
      <c r="G107" t="s">
        <v>187</v>
      </c>
      <c r="J107">
        <v>43788</v>
      </c>
      <c r="K107">
        <v>43789</v>
      </c>
      <c r="L107" t="s">
        <v>189</v>
      </c>
      <c r="M107">
        <v>43791</v>
      </c>
      <c r="N107">
        <v>0.28293981481481484</v>
      </c>
      <c r="O107" t="s">
        <v>583</v>
      </c>
      <c r="P107" t="s">
        <v>138</v>
      </c>
      <c r="Q107" t="s">
        <v>584</v>
      </c>
      <c r="R107">
        <v>0</v>
      </c>
      <c r="S107" t="s">
        <v>585</v>
      </c>
      <c r="T107">
        <v>1931350</v>
      </c>
      <c r="U107">
        <v>3</v>
      </c>
      <c r="V107">
        <v>40</v>
      </c>
      <c r="X107">
        <v>43780</v>
      </c>
      <c r="Y107">
        <v>11</v>
      </c>
      <c r="Z107">
        <v>0.63492063492063489</v>
      </c>
    </row>
    <row r="108" spans="1:26">
      <c r="A108" t="s">
        <v>586</v>
      </c>
      <c r="B108">
        <v>43782</v>
      </c>
      <c r="C108" t="s">
        <v>187</v>
      </c>
      <c r="D108" t="s">
        <v>187</v>
      </c>
      <c r="E108" t="s">
        <v>187</v>
      </c>
      <c r="F108" t="s">
        <v>187</v>
      </c>
      <c r="G108" t="s">
        <v>187</v>
      </c>
      <c r="J108">
        <v>43789</v>
      </c>
      <c r="K108">
        <v>43790</v>
      </c>
      <c r="L108" t="s">
        <v>189</v>
      </c>
      <c r="M108">
        <v>43795</v>
      </c>
      <c r="N108">
        <v>0.41758101851851853</v>
      </c>
      <c r="O108" t="s">
        <v>587</v>
      </c>
      <c r="P108" t="s">
        <v>138</v>
      </c>
      <c r="Q108" t="s">
        <v>588</v>
      </c>
      <c r="R108">
        <v>0</v>
      </c>
      <c r="S108" t="s">
        <v>589</v>
      </c>
      <c r="T108">
        <v>1931263</v>
      </c>
      <c r="U108">
        <v>3</v>
      </c>
      <c r="V108">
        <v>43</v>
      </c>
      <c r="W108" t="s">
        <v>590</v>
      </c>
      <c r="X108">
        <v>43763</v>
      </c>
      <c r="Y108">
        <v>11</v>
      </c>
      <c r="Z108">
        <v>0.9555555555555556</v>
      </c>
    </row>
    <row r="109" spans="1:26">
      <c r="A109" t="s">
        <v>299</v>
      </c>
      <c r="B109">
        <v>43788</v>
      </c>
      <c r="C109" t="s">
        <v>187</v>
      </c>
      <c r="D109" t="s">
        <v>187</v>
      </c>
      <c r="E109" t="s">
        <v>187</v>
      </c>
      <c r="F109" t="s">
        <v>187</v>
      </c>
      <c r="G109" t="s">
        <v>187</v>
      </c>
      <c r="J109">
        <v>43788</v>
      </c>
      <c r="K109">
        <v>43789</v>
      </c>
      <c r="L109" t="s">
        <v>189</v>
      </c>
      <c r="M109">
        <v>43794</v>
      </c>
      <c r="N109">
        <v>0.48269675925925926</v>
      </c>
      <c r="O109" t="s">
        <v>592</v>
      </c>
      <c r="P109" t="s">
        <v>433</v>
      </c>
      <c r="Q109" t="s">
        <v>593</v>
      </c>
      <c r="R109">
        <v>6.5</v>
      </c>
      <c r="S109" t="s">
        <v>594</v>
      </c>
      <c r="T109">
        <v>1950094</v>
      </c>
      <c r="U109" t="s">
        <v>303</v>
      </c>
      <c r="V109">
        <v>2700</v>
      </c>
      <c r="X109">
        <v>43811</v>
      </c>
      <c r="Y109">
        <v>3</v>
      </c>
    </row>
    <row r="110" spans="1:26">
      <c r="A110" t="s">
        <v>299</v>
      </c>
      <c r="B110">
        <v>43790</v>
      </c>
      <c r="C110" t="s">
        <v>187</v>
      </c>
      <c r="D110" t="s">
        <v>187</v>
      </c>
      <c r="E110" t="s">
        <v>187</v>
      </c>
      <c r="F110" t="s">
        <v>187</v>
      </c>
      <c r="G110" t="s">
        <v>187</v>
      </c>
      <c r="J110">
        <v>43788</v>
      </c>
      <c r="K110">
        <v>43789</v>
      </c>
      <c r="L110" t="s">
        <v>189</v>
      </c>
      <c r="M110">
        <v>43794</v>
      </c>
      <c r="N110">
        <v>0.86186342592592602</v>
      </c>
      <c r="O110" t="s">
        <v>432</v>
      </c>
      <c r="P110" t="s">
        <v>433</v>
      </c>
      <c r="Q110" t="s">
        <v>434</v>
      </c>
      <c r="R110">
        <v>6.9</v>
      </c>
      <c r="S110" t="s">
        <v>435</v>
      </c>
      <c r="T110">
        <v>1950095</v>
      </c>
      <c r="U110" t="s">
        <v>303</v>
      </c>
      <c r="V110">
        <v>10000</v>
      </c>
      <c r="X110">
        <v>43802</v>
      </c>
      <c r="Y110">
        <v>3</v>
      </c>
      <c r="Z110">
        <v>6.4935064935064934</v>
      </c>
    </row>
    <row r="111" spans="1:26">
      <c r="A111" t="s">
        <v>595</v>
      </c>
      <c r="B111">
        <v>43783</v>
      </c>
      <c r="C111" t="s">
        <v>187</v>
      </c>
      <c r="D111" t="s">
        <v>187</v>
      </c>
      <c r="E111" t="s">
        <v>187</v>
      </c>
      <c r="F111" t="s">
        <v>187</v>
      </c>
      <c r="G111" t="s">
        <v>187</v>
      </c>
      <c r="H111" t="s">
        <v>187</v>
      </c>
      <c r="J111">
        <v>43787</v>
      </c>
      <c r="K111">
        <v>43788</v>
      </c>
      <c r="L111" t="s">
        <v>188</v>
      </c>
      <c r="M111">
        <v>43790</v>
      </c>
      <c r="N111">
        <v>0.27349537037037036</v>
      </c>
      <c r="O111">
        <v>711</v>
      </c>
      <c r="P111" t="s">
        <v>136</v>
      </c>
      <c r="Q111" t="s">
        <v>437</v>
      </c>
      <c r="R111">
        <v>8.5</v>
      </c>
      <c r="S111" t="s">
        <v>440</v>
      </c>
      <c r="T111">
        <v>1910399</v>
      </c>
      <c r="U111">
        <v>13</v>
      </c>
      <c r="V111">
        <v>198</v>
      </c>
      <c r="W111" t="s">
        <v>441</v>
      </c>
      <c r="X111">
        <v>43832</v>
      </c>
      <c r="Y111">
        <v>6</v>
      </c>
      <c r="Z111">
        <v>4.4000000000000004</v>
      </c>
    </row>
    <row r="112" spans="1:26">
      <c r="B112"/>
      <c r="J112"/>
      <c r="K112"/>
      <c r="M112"/>
    </row>
    <row r="113" spans="2:13">
      <c r="B113"/>
      <c r="J113"/>
      <c r="K113"/>
      <c r="M113"/>
    </row>
    <row r="114" spans="2:13">
      <c r="B114"/>
      <c r="J114"/>
      <c r="K114"/>
      <c r="M114"/>
    </row>
    <row r="115" spans="2:13">
      <c r="B115"/>
      <c r="J115"/>
      <c r="K115"/>
      <c r="M115"/>
    </row>
    <row r="116" spans="2:13">
      <c r="B116"/>
      <c r="J116"/>
      <c r="K116"/>
      <c r="M116"/>
    </row>
    <row r="117" spans="2:13">
      <c r="B117"/>
      <c r="J117"/>
      <c r="K117"/>
      <c r="M117"/>
    </row>
    <row r="118" spans="2:13">
      <c r="B118"/>
      <c r="J118"/>
      <c r="K118"/>
      <c r="M118"/>
    </row>
    <row r="119" spans="2:13">
      <c r="B119"/>
      <c r="J119"/>
      <c r="K119"/>
      <c r="M119"/>
    </row>
    <row r="120" spans="2:13">
      <c r="B120"/>
      <c r="J120"/>
      <c r="K120"/>
      <c r="M120"/>
    </row>
    <row r="121" spans="2:13">
      <c r="B121"/>
      <c r="J121"/>
      <c r="K121"/>
      <c r="M121"/>
    </row>
    <row r="122" spans="2:13">
      <c r="B122"/>
      <c r="J122"/>
      <c r="K122"/>
      <c r="M122"/>
    </row>
    <row r="123" spans="2:13">
      <c r="B123"/>
      <c r="J123"/>
      <c r="K123"/>
      <c r="M123"/>
    </row>
    <row r="124" spans="2:13">
      <c r="B124"/>
      <c r="J124"/>
      <c r="K124"/>
      <c r="M124"/>
    </row>
    <row r="125" spans="2:13">
      <c r="B125"/>
      <c r="J125"/>
      <c r="K125"/>
      <c r="M125"/>
    </row>
    <row r="126" spans="2:13">
      <c r="B126"/>
      <c r="J126"/>
      <c r="K126"/>
      <c r="M126"/>
    </row>
    <row r="127" spans="2:13">
      <c r="B127"/>
      <c r="J127"/>
      <c r="K127"/>
      <c r="M127"/>
    </row>
    <row r="128" spans="2:13">
      <c r="B128"/>
      <c r="J128"/>
      <c r="K128"/>
      <c r="M128"/>
    </row>
    <row r="129" spans="2:13">
      <c r="B129"/>
      <c r="J129"/>
      <c r="K129"/>
      <c r="M129"/>
    </row>
    <row r="130" spans="2:13">
      <c r="B130"/>
      <c r="J130"/>
      <c r="K130"/>
      <c r="M130"/>
    </row>
  </sheetData>
  <conditionalFormatting sqref="T131:T1048576 T40:T64 T1:T6 T69:T9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Z18"/>
  <sheetViews>
    <sheetView workbookViewId="0">
      <selection sqref="A1:Z19"/>
    </sheetView>
  </sheetViews>
  <sheetFormatPr defaultRowHeight="12.75"/>
  <cols>
    <col min="1" max="1" width="9.625" bestFit="1" customWidth="1"/>
    <col min="2" max="2" width="9.875" bestFit="1" customWidth="1"/>
    <col min="3" max="9" width="1.875" bestFit="1" customWidth="1"/>
    <col min="10" max="10" width="9.875" bestFit="1" customWidth="1"/>
    <col min="11" max="11" width="8.875" bestFit="1" customWidth="1"/>
    <col min="12" max="12" width="8.375" bestFit="1" customWidth="1"/>
    <col min="13" max="13" width="8.87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25" bestFit="1" customWidth="1"/>
    <col min="20" max="20" width="7.875" bestFit="1" customWidth="1"/>
    <col min="21" max="22" width="2.875" bestFit="1" customWidth="1"/>
    <col min="24" max="24" width="9.875" bestFit="1" customWidth="1"/>
    <col min="25" max="25" width="2.875" bestFit="1" customWidth="1"/>
    <col min="26" max="26" width="11.875" bestFit="1" customWidth="1"/>
  </cols>
  <sheetData>
    <row r="1" spans="1:26">
      <c r="A1" t="s">
        <v>559</v>
      </c>
      <c r="B1" s="198">
        <v>43783</v>
      </c>
      <c r="C1" t="s">
        <v>187</v>
      </c>
      <c r="D1" t="s">
        <v>187</v>
      </c>
      <c r="E1" t="s">
        <v>187</v>
      </c>
      <c r="F1" t="s">
        <v>187</v>
      </c>
      <c r="G1" t="s">
        <v>187</v>
      </c>
      <c r="H1" t="s">
        <v>187</v>
      </c>
      <c r="J1" s="198">
        <v>43788</v>
      </c>
      <c r="K1" s="198">
        <v>43789</v>
      </c>
      <c r="L1" t="s">
        <v>189</v>
      </c>
      <c r="M1" s="198">
        <v>43790</v>
      </c>
      <c r="N1">
        <v>0.29068287037037038</v>
      </c>
      <c r="O1">
        <v>773</v>
      </c>
      <c r="P1" t="s">
        <v>133</v>
      </c>
      <c r="Q1" t="s">
        <v>560</v>
      </c>
      <c r="R1">
        <v>12</v>
      </c>
      <c r="S1" t="s">
        <v>561</v>
      </c>
      <c r="T1">
        <v>1920947</v>
      </c>
      <c r="U1">
        <v>13</v>
      </c>
      <c r="V1">
        <v>143</v>
      </c>
      <c r="X1" s="198">
        <v>43803</v>
      </c>
      <c r="Y1">
        <v>3</v>
      </c>
      <c r="Z1">
        <v>0.5</v>
      </c>
    </row>
    <row r="2" spans="1:26">
      <c r="A2" t="s">
        <v>562</v>
      </c>
      <c r="B2" s="198">
        <v>43783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J2" s="198">
        <v>43788</v>
      </c>
      <c r="K2" s="198">
        <v>43789</v>
      </c>
      <c r="L2" t="s">
        <v>189</v>
      </c>
      <c r="M2" s="198">
        <v>43790</v>
      </c>
      <c r="N2">
        <v>0.45027777777777778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1920904</v>
      </c>
      <c r="U2">
        <v>13</v>
      </c>
      <c r="V2">
        <v>50</v>
      </c>
      <c r="X2" s="198">
        <v>43784</v>
      </c>
      <c r="Y2">
        <v>5</v>
      </c>
      <c r="Z2">
        <v>0.27932960893854747</v>
      </c>
    </row>
    <row r="3" spans="1:26">
      <c r="A3" t="s">
        <v>563</v>
      </c>
      <c r="B3" s="198">
        <v>43782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J3" s="198">
        <v>43788</v>
      </c>
      <c r="K3" s="198">
        <v>43789</v>
      </c>
      <c r="L3" t="s">
        <v>189</v>
      </c>
      <c r="M3" s="198">
        <v>43790</v>
      </c>
      <c r="N3">
        <v>0.27184027777777781</v>
      </c>
      <c r="O3">
        <v>7190</v>
      </c>
      <c r="P3" t="s">
        <v>134</v>
      </c>
      <c r="Q3" t="s">
        <v>452</v>
      </c>
      <c r="R3">
        <v>12.4</v>
      </c>
      <c r="S3" t="s">
        <v>564</v>
      </c>
      <c r="T3">
        <v>1920914</v>
      </c>
      <c r="U3">
        <v>13</v>
      </c>
      <c r="V3">
        <v>393</v>
      </c>
      <c r="X3" s="198">
        <v>43837</v>
      </c>
      <c r="Y3">
        <v>3</v>
      </c>
      <c r="Z3">
        <v>1.2281249999999999</v>
      </c>
    </row>
    <row r="4" spans="1:26">
      <c r="A4" t="s">
        <v>456</v>
      </c>
      <c r="B4" s="198">
        <v>43782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J4" s="198">
        <v>43788</v>
      </c>
      <c r="K4" s="198">
        <v>43789</v>
      </c>
      <c r="L4" t="s">
        <v>188</v>
      </c>
      <c r="M4" s="198">
        <v>43790</v>
      </c>
      <c r="N4">
        <v>0.6166666666666667</v>
      </c>
      <c r="O4">
        <v>510</v>
      </c>
      <c r="P4" t="s">
        <v>134</v>
      </c>
      <c r="Q4" t="s">
        <v>452</v>
      </c>
      <c r="R4">
        <v>11.5</v>
      </c>
      <c r="S4" t="s">
        <v>457</v>
      </c>
      <c r="T4">
        <v>1920938</v>
      </c>
      <c r="U4">
        <v>13</v>
      </c>
      <c r="V4">
        <v>80</v>
      </c>
      <c r="X4" s="198">
        <v>43788</v>
      </c>
      <c r="Y4">
        <v>4</v>
      </c>
      <c r="Z4">
        <v>0.5</v>
      </c>
    </row>
    <row r="5" spans="1:26">
      <c r="A5" t="s">
        <v>479</v>
      </c>
      <c r="B5" s="198">
        <v>43780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J5" s="198">
        <v>43787</v>
      </c>
      <c r="K5" s="198">
        <v>43788</v>
      </c>
      <c r="L5" t="s">
        <v>189</v>
      </c>
      <c r="M5" s="198">
        <v>43790</v>
      </c>
      <c r="N5">
        <v>0.27718749999999998</v>
      </c>
      <c r="O5">
        <v>2411</v>
      </c>
      <c r="P5" t="s">
        <v>138</v>
      </c>
      <c r="Q5" t="s">
        <v>480</v>
      </c>
      <c r="R5">
        <v>6</v>
      </c>
      <c r="S5" t="s">
        <v>481</v>
      </c>
      <c r="T5">
        <v>1931253</v>
      </c>
      <c r="U5">
        <v>3</v>
      </c>
      <c r="V5">
        <v>40</v>
      </c>
      <c r="W5" t="s">
        <v>474</v>
      </c>
      <c r="X5" s="198">
        <v>43761</v>
      </c>
      <c r="Y5">
        <v>10</v>
      </c>
      <c r="Z5">
        <v>0.83333333333333337</v>
      </c>
    </row>
    <row r="6" spans="1:26">
      <c r="A6" t="s">
        <v>299</v>
      </c>
      <c r="B6" s="198">
        <v>43789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J6" s="198">
        <v>43787</v>
      </c>
      <c r="K6" s="198">
        <v>43788</v>
      </c>
      <c r="L6" t="s">
        <v>189</v>
      </c>
      <c r="M6" s="198">
        <v>43790</v>
      </c>
      <c r="N6">
        <v>0.30843749999999998</v>
      </c>
      <c r="O6">
        <v>2411</v>
      </c>
      <c r="P6" t="s">
        <v>138</v>
      </c>
      <c r="Q6" t="s">
        <v>480</v>
      </c>
      <c r="R6">
        <v>6</v>
      </c>
      <c r="S6" t="s">
        <v>481</v>
      </c>
      <c r="T6">
        <v>1931522</v>
      </c>
      <c r="U6">
        <v>3</v>
      </c>
      <c r="V6">
        <v>10</v>
      </c>
      <c r="W6" t="s">
        <v>474</v>
      </c>
      <c r="X6" s="198">
        <v>43812</v>
      </c>
      <c r="Y6">
        <v>10</v>
      </c>
      <c r="Z6">
        <v>0.20833333333333334</v>
      </c>
    </row>
    <row r="7" spans="1:26">
      <c r="A7" t="s">
        <v>504</v>
      </c>
      <c r="B7" s="198">
        <v>43780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J7" s="198">
        <v>43787</v>
      </c>
      <c r="K7" s="198">
        <v>43788</v>
      </c>
      <c r="L7" t="s">
        <v>189</v>
      </c>
      <c r="M7" s="198">
        <v>43790</v>
      </c>
      <c r="N7">
        <v>0.33708333333333335</v>
      </c>
      <c r="O7">
        <v>6774</v>
      </c>
      <c r="P7" t="s">
        <v>138</v>
      </c>
      <c r="Q7" t="s">
        <v>505</v>
      </c>
      <c r="R7">
        <v>0</v>
      </c>
      <c r="S7" t="s">
        <v>506</v>
      </c>
      <c r="T7">
        <v>1931421</v>
      </c>
      <c r="U7">
        <v>13</v>
      </c>
      <c r="V7">
        <v>20</v>
      </c>
      <c r="X7" s="198">
        <v>43791</v>
      </c>
      <c r="Y7">
        <v>9</v>
      </c>
      <c r="Z7">
        <v>0.37037037037037035</v>
      </c>
    </row>
    <row r="8" spans="1:26">
      <c r="A8" t="s">
        <v>565</v>
      </c>
      <c r="B8" s="198">
        <v>43781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J8" s="198">
        <v>43787</v>
      </c>
      <c r="K8" s="198">
        <v>43788</v>
      </c>
      <c r="L8" t="s">
        <v>189</v>
      </c>
      <c r="M8" s="198">
        <v>43790</v>
      </c>
      <c r="N8">
        <v>0.38916666666666666</v>
      </c>
      <c r="O8">
        <v>1107</v>
      </c>
      <c r="P8" t="s">
        <v>138</v>
      </c>
      <c r="Q8" t="s">
        <v>566</v>
      </c>
      <c r="R8">
        <v>0</v>
      </c>
      <c r="S8" t="s">
        <v>567</v>
      </c>
      <c r="T8">
        <v>1931223</v>
      </c>
      <c r="U8">
        <v>3</v>
      </c>
      <c r="V8">
        <v>20</v>
      </c>
      <c r="W8" t="s">
        <v>568</v>
      </c>
      <c r="X8" s="198">
        <v>43755</v>
      </c>
      <c r="Y8">
        <v>19</v>
      </c>
      <c r="Z8">
        <v>0.35714285714285715</v>
      </c>
    </row>
    <row r="9" spans="1:26">
      <c r="A9" t="s">
        <v>569</v>
      </c>
      <c r="B9" s="198">
        <v>43782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J9" s="198">
        <v>43787</v>
      </c>
      <c r="K9" s="198">
        <v>43788</v>
      </c>
      <c r="L9" t="s">
        <v>189</v>
      </c>
      <c r="M9" s="198">
        <v>43790</v>
      </c>
      <c r="N9">
        <v>0.44124999999999998</v>
      </c>
      <c r="O9" t="s">
        <v>570</v>
      </c>
      <c r="P9" t="s">
        <v>138</v>
      </c>
      <c r="Q9" t="s">
        <v>571</v>
      </c>
      <c r="R9">
        <v>0</v>
      </c>
      <c r="S9" t="s">
        <v>572</v>
      </c>
      <c r="T9">
        <v>1931262</v>
      </c>
      <c r="U9">
        <v>3</v>
      </c>
      <c r="V9">
        <v>50</v>
      </c>
      <c r="X9" s="198">
        <v>43763</v>
      </c>
      <c r="Y9">
        <v>10</v>
      </c>
      <c r="Z9">
        <v>1.1111111111111112</v>
      </c>
    </row>
    <row r="10" spans="1:26">
      <c r="A10" t="s">
        <v>573</v>
      </c>
      <c r="B10" s="198">
        <v>43782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J10" s="198">
        <v>43787</v>
      </c>
      <c r="K10" s="198">
        <v>43788</v>
      </c>
      <c r="L10" t="s">
        <v>189</v>
      </c>
      <c r="M10" s="198">
        <v>43790</v>
      </c>
      <c r="N10">
        <v>0.54020833333333329</v>
      </c>
      <c r="O10">
        <v>1170</v>
      </c>
      <c r="P10" t="s">
        <v>138</v>
      </c>
      <c r="Q10" t="s">
        <v>574</v>
      </c>
      <c r="R10">
        <v>0</v>
      </c>
      <c r="S10" t="s">
        <v>356</v>
      </c>
      <c r="T10">
        <v>1931336</v>
      </c>
      <c r="U10">
        <v>3</v>
      </c>
      <c r="V10">
        <v>20</v>
      </c>
      <c r="X10" s="198">
        <v>43773</v>
      </c>
      <c r="Y10">
        <v>11</v>
      </c>
      <c r="Z10">
        <v>0.44444444444444442</v>
      </c>
    </row>
    <row r="11" spans="1:26">
      <c r="A11" t="s">
        <v>575</v>
      </c>
      <c r="B11" s="198">
        <v>43782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J11" s="198">
        <v>43787</v>
      </c>
      <c r="K11" s="198">
        <v>43788</v>
      </c>
      <c r="L11" t="s">
        <v>189</v>
      </c>
      <c r="M11" s="198">
        <v>43790</v>
      </c>
      <c r="N11">
        <v>0.83187500000000003</v>
      </c>
      <c r="O11">
        <v>9777</v>
      </c>
      <c r="P11" t="s">
        <v>138</v>
      </c>
      <c r="Q11" t="s">
        <v>576</v>
      </c>
      <c r="R11">
        <v>0</v>
      </c>
      <c r="S11" t="s">
        <v>577</v>
      </c>
      <c r="T11">
        <v>1931345</v>
      </c>
      <c r="U11">
        <v>3</v>
      </c>
      <c r="V11">
        <v>20</v>
      </c>
      <c r="X11" s="198">
        <v>43776</v>
      </c>
      <c r="Y11">
        <v>11</v>
      </c>
      <c r="Z11">
        <v>0.5</v>
      </c>
    </row>
    <row r="12" spans="1:26">
      <c r="A12" t="s">
        <v>578</v>
      </c>
      <c r="B12" s="198">
        <v>43787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J12" s="198">
        <v>43787</v>
      </c>
      <c r="K12" s="198">
        <v>43788</v>
      </c>
      <c r="L12" t="s">
        <v>189</v>
      </c>
      <c r="M12" s="198">
        <v>43790</v>
      </c>
      <c r="N12">
        <v>0.87875000000000003</v>
      </c>
      <c r="O12" t="s">
        <v>579</v>
      </c>
      <c r="P12" t="s">
        <v>138</v>
      </c>
      <c r="Q12" t="s">
        <v>366</v>
      </c>
      <c r="R12">
        <v>0</v>
      </c>
      <c r="S12" t="s">
        <v>580</v>
      </c>
      <c r="T12">
        <v>1931429</v>
      </c>
      <c r="U12">
        <v>3</v>
      </c>
      <c r="V12">
        <v>5</v>
      </c>
      <c r="W12" t="s">
        <v>581</v>
      </c>
      <c r="X12" s="198">
        <v>43791</v>
      </c>
      <c r="Y12">
        <v>11</v>
      </c>
      <c r="Z12">
        <v>0.1111111111111111</v>
      </c>
    </row>
    <row r="13" spans="1:26">
      <c r="A13" t="s">
        <v>582</v>
      </c>
      <c r="B13" s="198">
        <v>43781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J13" s="198">
        <v>43788</v>
      </c>
      <c r="K13" s="198">
        <v>43789</v>
      </c>
      <c r="L13" t="s">
        <v>189</v>
      </c>
      <c r="M13" s="198">
        <v>43791</v>
      </c>
      <c r="N13">
        <v>0.28293981481481484</v>
      </c>
      <c r="O13" t="s">
        <v>583</v>
      </c>
      <c r="P13" t="s">
        <v>138</v>
      </c>
      <c r="Q13" t="s">
        <v>584</v>
      </c>
      <c r="R13">
        <v>0</v>
      </c>
      <c r="S13" t="s">
        <v>585</v>
      </c>
      <c r="T13">
        <v>1931350</v>
      </c>
      <c r="U13">
        <v>3</v>
      </c>
      <c r="V13">
        <v>40</v>
      </c>
      <c r="X13" s="198">
        <v>43780</v>
      </c>
      <c r="Y13">
        <v>11</v>
      </c>
      <c r="Z13">
        <v>0.63492063492063489</v>
      </c>
    </row>
    <row r="14" spans="1:26">
      <c r="A14" t="s">
        <v>586</v>
      </c>
      <c r="B14" s="198">
        <v>43782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J14" s="198">
        <v>43789</v>
      </c>
      <c r="K14" s="198">
        <v>43790</v>
      </c>
      <c r="L14" t="s">
        <v>189</v>
      </c>
      <c r="M14" s="198">
        <v>43795</v>
      </c>
      <c r="N14">
        <v>0.41758101851851853</v>
      </c>
      <c r="O14" t="s">
        <v>587</v>
      </c>
      <c r="P14" t="s">
        <v>138</v>
      </c>
      <c r="Q14" t="s">
        <v>588</v>
      </c>
      <c r="R14">
        <v>0</v>
      </c>
      <c r="S14" t="s">
        <v>589</v>
      </c>
      <c r="T14">
        <v>1931263</v>
      </c>
      <c r="U14">
        <v>3</v>
      </c>
      <c r="V14">
        <v>43</v>
      </c>
      <c r="W14" t="s">
        <v>590</v>
      </c>
      <c r="X14" s="198">
        <v>43763</v>
      </c>
      <c r="Y14">
        <v>11</v>
      </c>
      <c r="Z14">
        <v>0.9555555555555556</v>
      </c>
    </row>
    <row r="15" spans="1:26">
      <c r="A15" t="s">
        <v>591</v>
      </c>
      <c r="B15" s="198">
        <v>43782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J15" s="198">
        <v>43787</v>
      </c>
      <c r="K15" s="198">
        <v>43788</v>
      </c>
      <c r="L15" t="s">
        <v>189</v>
      </c>
      <c r="M15" s="198">
        <v>43790</v>
      </c>
      <c r="N15">
        <v>0.66737268518518522</v>
      </c>
      <c r="O15" t="s">
        <v>553</v>
      </c>
      <c r="P15" t="s">
        <v>554</v>
      </c>
      <c r="Q15" t="s">
        <v>555</v>
      </c>
      <c r="S15" t="s">
        <v>556</v>
      </c>
      <c r="T15" t="s">
        <v>557</v>
      </c>
      <c r="U15" t="s">
        <v>303</v>
      </c>
      <c r="V15">
        <v>700</v>
      </c>
      <c r="X15" s="308">
        <v>43795.4375462963</v>
      </c>
      <c r="Y15">
        <v>7</v>
      </c>
    </row>
    <row r="16" spans="1:26">
      <c r="A16" t="s">
        <v>299</v>
      </c>
      <c r="B16" s="198">
        <v>43788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J16" s="198">
        <v>43788</v>
      </c>
      <c r="K16" s="198">
        <v>43789</v>
      </c>
      <c r="L16" t="s">
        <v>189</v>
      </c>
      <c r="M16" s="198">
        <v>43794</v>
      </c>
      <c r="N16">
        <v>0.48269675925925926</v>
      </c>
      <c r="O16" t="s">
        <v>592</v>
      </c>
      <c r="P16" t="s">
        <v>433</v>
      </c>
      <c r="Q16" t="s">
        <v>593</v>
      </c>
      <c r="R16">
        <v>6.5</v>
      </c>
      <c r="S16" t="s">
        <v>594</v>
      </c>
      <c r="T16">
        <v>1950094</v>
      </c>
      <c r="U16" t="s">
        <v>303</v>
      </c>
      <c r="V16">
        <v>2700</v>
      </c>
      <c r="X16" s="198">
        <v>43811</v>
      </c>
      <c r="Y16">
        <v>3</v>
      </c>
    </row>
    <row r="17" spans="1:26">
      <c r="A17" t="s">
        <v>299</v>
      </c>
      <c r="B17" s="198">
        <v>43790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J17" s="198">
        <v>43788</v>
      </c>
      <c r="K17" s="198">
        <v>43789</v>
      </c>
      <c r="L17" t="s">
        <v>189</v>
      </c>
      <c r="M17" s="198">
        <v>43794</v>
      </c>
      <c r="N17">
        <v>0.86186342592592602</v>
      </c>
      <c r="O17" t="s">
        <v>432</v>
      </c>
      <c r="P17" t="s">
        <v>433</v>
      </c>
      <c r="Q17" t="s">
        <v>434</v>
      </c>
      <c r="R17">
        <v>6.9</v>
      </c>
      <c r="S17" t="s">
        <v>435</v>
      </c>
      <c r="T17">
        <v>1950095</v>
      </c>
      <c r="U17" t="s">
        <v>303</v>
      </c>
      <c r="V17">
        <v>10000</v>
      </c>
      <c r="X17" s="198">
        <v>43802</v>
      </c>
      <c r="Y17">
        <v>3</v>
      </c>
      <c r="Z17">
        <v>6.4935064935064934</v>
      </c>
    </row>
    <row r="18" spans="1:26">
      <c r="A18" t="s">
        <v>595</v>
      </c>
      <c r="B18" s="198">
        <v>43783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J18" s="198">
        <v>43787</v>
      </c>
      <c r="K18" s="198">
        <v>43788</v>
      </c>
      <c r="L18" t="s">
        <v>188</v>
      </c>
      <c r="M18" s="198">
        <v>43790</v>
      </c>
      <c r="N18">
        <v>0.27349537037037036</v>
      </c>
      <c r="O18">
        <v>711</v>
      </c>
      <c r="P18" t="s">
        <v>136</v>
      </c>
      <c r="Q18" t="s">
        <v>437</v>
      </c>
      <c r="R18">
        <v>8.5</v>
      </c>
      <c r="S18" t="s">
        <v>440</v>
      </c>
      <c r="T18">
        <v>1910399</v>
      </c>
      <c r="U18">
        <v>13</v>
      </c>
      <c r="V18">
        <v>198</v>
      </c>
      <c r="W18" t="s">
        <v>441</v>
      </c>
      <c r="X18" s="198">
        <v>43832</v>
      </c>
      <c r="Y18">
        <v>6</v>
      </c>
      <c r="Z18">
        <v>4.4000000000000004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09-54-03</vt:lpstr>
      <vt:lpstr>09-54-01 BIC</vt:lpstr>
      <vt:lpstr>09-54-02</vt:lpstr>
      <vt:lpstr>09-54-04 Non Sterile Tag</vt:lpstr>
      <vt:lpstr>09-54-05Pallet Tag Warehouse</vt:lpstr>
      <vt:lpstr>10-08-01</vt:lpstr>
      <vt:lpstr>10-08-02</vt:lpstr>
      <vt:lpstr>10-12-01</vt:lpstr>
      <vt:lpstr>100-01</vt:lpstr>
      <vt:lpstr>Schedule</vt:lpstr>
      <vt:lpstr>scratch</vt:lpstr>
      <vt:lpstr>bic</vt:lpstr>
      <vt:lpstr>'09-54-02'!Print_Area</vt:lpstr>
      <vt:lpstr>'09-54-03'!Print_Area</vt:lpstr>
      <vt:lpstr>'09-54-04 Non Sterile Tag'!Print_Area</vt:lpstr>
      <vt:lpstr>'09-54-05Pallet Tag Warehouse'!Print_Area</vt:lpstr>
      <vt:lpstr>'100-01'!Print_Area</vt:lpstr>
      <vt:lpstr>'10-08-01'!Print_Area</vt:lpstr>
      <vt:lpstr>'10-12-01'!Print_Area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Administrator</cp:lastModifiedBy>
  <cp:lastPrinted>2019-11-21T17:24:19Z</cp:lastPrinted>
  <dcterms:created xsi:type="dcterms:W3CDTF">2019-10-29T15:33:20Z</dcterms:created>
  <dcterms:modified xsi:type="dcterms:W3CDTF">2019-11-21T17:24:56Z</dcterms:modified>
</cp:coreProperties>
</file>