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h\Busse\flask-react\server\"/>
    </mc:Choice>
  </mc:AlternateContent>
  <xr:revisionPtr revIDLastSave="0" documentId="13_ncr:1_{7551DAC9-D045-4E36-8A9C-E9E7262ADD7B}" xr6:coauthVersionLast="45" xr6:coauthVersionMax="45" xr10:uidLastSave="{00000000-0000-0000-0000-000000000000}"/>
  <bookViews>
    <workbookView xWindow="-120" yWindow="-120" windowWidth="38640" windowHeight="23640" activeTab="5" xr2:uid="{00000000-000D-0000-FFFF-FFFF00000000}"/>
  </bookViews>
  <sheets>
    <sheet name="09-54-01 BIC" sheetId="14" r:id="rId1"/>
    <sheet name="09-54-04 Non Sterile Tag" sheetId="15" r:id="rId2"/>
    <sheet name="09-54-05Pallet Tag Warehouse" sheetId="20" r:id="rId3"/>
    <sheet name="10-08-01" sheetId="22" r:id="rId4"/>
    <sheet name="10-08-01 old" sheetId="5" state="hidden" r:id="rId5"/>
    <sheet name="10-08-03" sheetId="21" r:id="rId6"/>
    <sheet name="10-12-01" sheetId="8" r:id="rId7"/>
    <sheet name="Schedule" sheetId="10" r:id="rId8"/>
    <sheet name="scratch" sheetId="12" r:id="rId9"/>
    <sheet name="09-54-02 Printing only" sheetId="18" r:id="rId10"/>
    <sheet name="09-54-02" sheetId="17" r:id="rId11"/>
    <sheet name="09-54-03" sheetId="13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ADDSMP" localSheetId="0">#REF!</definedName>
    <definedName name="ADDSMP" localSheetId="10">#REF!</definedName>
    <definedName name="ADDSMP" localSheetId="9">#REF!</definedName>
    <definedName name="ADDSMP" localSheetId="11">#REF!</definedName>
    <definedName name="ADDSMP" localSheetId="1">#REF!</definedName>
    <definedName name="ADDSMP" localSheetId="2">#REF!</definedName>
    <definedName name="ADDSMP">#REF!</definedName>
    <definedName name="bic" localSheetId="0">'09-54-01 BIC'!$1:$1048576</definedName>
    <definedName name="bic" localSheetId="10">'09-54-01 BIC'!$1:$1048576</definedName>
    <definedName name="bic" localSheetId="9">'09-54-01 BIC'!$1:$1048576</definedName>
    <definedName name="bic" localSheetId="1">'09-54-01 BIC'!$1:$1048576</definedName>
    <definedName name="bic">#REF!</definedName>
    <definedName name="CATM">[1]CAT!$1:$1048576</definedName>
    <definedName name="CLASS">'[2]Sterilization Method'!$A$1:$B$65536</definedName>
    <definedName name="complocrpt" localSheetId="0">[3]Complocrpt!$A:$F</definedName>
    <definedName name="complocrpt" localSheetId="10">[3]Complocrpt!$A:$F</definedName>
    <definedName name="complocrpt" localSheetId="9">[3]Complocrpt!$A:$F</definedName>
    <definedName name="complocrpt" localSheetId="11">[3]Complocrpt!$A:$F</definedName>
    <definedName name="complocrpt" localSheetId="1">[3]Complocrpt!$A:$F</definedName>
    <definedName name="complocrpt" localSheetId="2">[3]Complocrpt!$A:$F</definedName>
    <definedName name="complocrpt">[4]Complocrpt!$A:$F</definedName>
    <definedName name="Desc1">'[5]Cat Description'!$A$1:$F$2552</definedName>
    <definedName name="INSPLVL" localSheetId="2">#REF!</definedName>
    <definedName name="INSPLVL">#REF!</definedName>
    <definedName name="lot" localSheetId="0">[6]Lot!$A:$H</definedName>
    <definedName name="lot" localSheetId="10">[6]Lot!$A:$H</definedName>
    <definedName name="lot" localSheetId="9">[6]Lot!$A:$H</definedName>
    <definedName name="lot" localSheetId="11">[6]Lot!$A:$H</definedName>
    <definedName name="lot" localSheetId="1">[6]Lot!$A:$H</definedName>
    <definedName name="lot" localSheetId="2">[6]Lot!$A:$H</definedName>
    <definedName name="lot" localSheetId="3">[2]Lot!$A:$H</definedName>
    <definedName name="lot" localSheetId="4">[2]Lot!$A$1:$H$65536</definedName>
    <definedName name="lot" localSheetId="5">[7]Lot!$A:$H</definedName>
    <definedName name="lot">[8]Lot!$A:$H</definedName>
    <definedName name="matlpg1" localSheetId="0">[3]DATAPAGE!$A$3:$F$112</definedName>
    <definedName name="matlpg1" localSheetId="10">[3]DATAPAGE!$A$3:$F$112</definedName>
    <definedName name="matlpg1" localSheetId="9">[3]DATAPAGE!$A$3:$F$112</definedName>
    <definedName name="matlpg1" localSheetId="11">[3]DATAPAGE!$A$3:$F$112</definedName>
    <definedName name="matlpg1" localSheetId="1">[3]DATAPAGE!$A$3:$F$112</definedName>
    <definedName name="matlpg1" localSheetId="2">[3]DATAPAGE!$A$3:$F$112</definedName>
    <definedName name="matlpg1">[4]DATAPAGE!$A$3:$F$112</definedName>
    <definedName name="pagenumber" localSheetId="0">[3]DATAPAGE!$B$3:$G$197</definedName>
    <definedName name="pagenumber" localSheetId="10">[3]DATAPAGE!$B$3:$G$197</definedName>
    <definedName name="pagenumber" localSheetId="9">[3]DATAPAGE!$B$3:$G$197</definedName>
    <definedName name="pagenumber" localSheetId="11">[3]DATAPAGE!$B$3:$G$197</definedName>
    <definedName name="pagenumber" localSheetId="1">[3]DATAPAGE!$B$3:$G$197</definedName>
    <definedName name="pagenumber" localSheetId="2">[3]DATAPAGE!$B$3:$G$197</definedName>
    <definedName name="pagenumber">[4]DATAPAGE!$B$3:$G$197</definedName>
    <definedName name="pkg" localSheetId="2">#REF!</definedName>
    <definedName name="pkg">#REF!</definedName>
    <definedName name="PKGIPIR" localSheetId="2">#REF!</definedName>
    <definedName name="PKGIPIR">#REF!</definedName>
    <definedName name="pp">'[9]Parts Prep'!$A:$H</definedName>
    <definedName name="_xlnm.Print_Area" localSheetId="0">'09-54-01 BIC'!$A$1:$M$41</definedName>
    <definedName name="_xlnm.Print_Area" localSheetId="1">'09-54-04 Non Sterile Tag'!$A$1:$L$384</definedName>
    <definedName name="_xlnm.Print_Area" localSheetId="2">'09-54-05Pallet Tag Warehouse'!$A$1:$P$14</definedName>
    <definedName name="_xlnm.Print_Area" localSheetId="3">'10-08-01'!$B$1:$K$150</definedName>
    <definedName name="_xlnm.Print_Area" localSheetId="4">'10-08-01 old'!$B$1:$K$147</definedName>
    <definedName name="_xlnm.Print_Area" localSheetId="6">'10-12-01'!$A$1:$L$102</definedName>
    <definedName name="ProdLst">'[5]Product List'!$A$2:$B$423</definedName>
    <definedName name="rel">'[10]Prod Data'!$A$1:$G$596</definedName>
    <definedName name="sched">[11]Sched!$A$1:$IV$65536</definedName>
    <definedName name="SchedData1" localSheetId="0">#REF!</definedName>
    <definedName name="SchedData1" localSheetId="10">#REF!</definedName>
    <definedName name="SchedData1" localSheetId="9">#REF!</definedName>
    <definedName name="SchedData1" localSheetId="11">#REF!</definedName>
    <definedName name="SchedData1" localSheetId="1">#REF!</definedName>
    <definedName name="SchedData1" localSheetId="2">#REF!</definedName>
    <definedName name="SchedData1">#REF!</definedName>
    <definedName name="Verifycount" localSheetId="0">#REF!</definedName>
    <definedName name="Verifycount" localSheetId="10">#REF!</definedName>
    <definedName name="Verifycount" localSheetId="9">#REF!</definedName>
    <definedName name="Verifycount" localSheetId="11">#REF!</definedName>
    <definedName name="Verifycount" localSheetId="1">#REF!</definedName>
    <definedName name="Verifycount" localSheetId="2">#REF!</definedName>
    <definedName name="Verifycount" localSheetId="3">#REF!</definedName>
    <definedName name="Verifycount" localSheetId="5">#REF!</definedName>
    <definedName name="Verifycount">#REF!</definedName>
    <definedName name="Visual_Sample_Size" localSheetId="0">#REF!</definedName>
    <definedName name="Visual_Sample_Size" localSheetId="10">#REF!</definedName>
    <definedName name="Visual_Sample_Size" localSheetId="9">#REF!</definedName>
    <definedName name="Visual_Sample_Size" localSheetId="11">#REF!</definedName>
    <definedName name="Visual_Sample_Size" localSheetId="1">#REF!</definedName>
    <definedName name="Visual_Sample_Size" localSheetId="2">#REF!</definedName>
    <definedName name="Visual_Sample_Size">#REF!</definedName>
    <definedName name="wh">'[9]Request-WH'!$A:$F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1" l="1"/>
  <c r="C65" i="21" s="1"/>
  <c r="H35" i="21"/>
  <c r="H65" i="21" s="1"/>
  <c r="H72" i="8" l="1"/>
  <c r="H38" i="8"/>
  <c r="M25" i="14" l="1"/>
  <c r="L25" i="14"/>
  <c r="K25" i="14"/>
  <c r="J25" i="14"/>
  <c r="I25" i="14"/>
  <c r="H25" i="14"/>
  <c r="G25" i="14"/>
  <c r="F25" i="14"/>
  <c r="E25" i="14"/>
  <c r="D25" i="14"/>
  <c r="C25" i="14"/>
  <c r="B25" i="14"/>
  <c r="M21" i="14"/>
  <c r="L21" i="14"/>
  <c r="K21" i="14"/>
  <c r="J21" i="14"/>
  <c r="I21" i="14"/>
  <c r="H21" i="14"/>
  <c r="G21" i="14"/>
  <c r="F21" i="14"/>
  <c r="E21" i="14"/>
  <c r="D21" i="14"/>
  <c r="C21" i="14"/>
  <c r="B21" i="14"/>
  <c r="M17" i="14"/>
  <c r="L17" i="14"/>
  <c r="K17" i="14"/>
  <c r="J17" i="14"/>
  <c r="I17" i="14"/>
  <c r="H17" i="14"/>
  <c r="G17" i="14"/>
  <c r="F17" i="14"/>
  <c r="E17" i="14"/>
  <c r="D17" i="14"/>
  <c r="C17" i="14"/>
  <c r="B17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M13" i="14"/>
  <c r="L13" i="14"/>
  <c r="K13" i="14"/>
  <c r="J13" i="14"/>
  <c r="I13" i="14"/>
  <c r="H13" i="14"/>
  <c r="G13" i="14"/>
  <c r="F13" i="14"/>
  <c r="E13" i="14"/>
  <c r="D13" i="14"/>
  <c r="C13" i="14"/>
  <c r="B13" i="14"/>
  <c r="A85" i="8"/>
  <c r="O51" i="22"/>
  <c r="E115" i="5" l="1"/>
  <c r="E114" i="5"/>
  <c r="E113" i="5"/>
  <c r="E112" i="5"/>
  <c r="E111" i="5"/>
  <c r="E110" i="5"/>
  <c r="E109" i="5"/>
  <c r="E108" i="5"/>
  <c r="E107" i="5"/>
  <c r="E67" i="5"/>
  <c r="E66" i="5"/>
  <c r="E65" i="5"/>
  <c r="E64" i="5"/>
  <c r="E63" i="5"/>
  <c r="E62" i="5"/>
  <c r="E61" i="5"/>
  <c r="E60" i="5"/>
  <c r="E59" i="5"/>
  <c r="E58" i="5"/>
  <c r="J67" i="5"/>
  <c r="J66" i="5"/>
  <c r="J65" i="5"/>
  <c r="J64" i="5"/>
  <c r="J63" i="5"/>
  <c r="J62" i="5"/>
  <c r="J61" i="5"/>
  <c r="J60" i="5"/>
  <c r="J59" i="5"/>
  <c r="J58" i="5"/>
  <c r="J18" i="5"/>
  <c r="J17" i="5"/>
  <c r="J16" i="5"/>
  <c r="J15" i="5"/>
  <c r="J14" i="5"/>
  <c r="J13" i="5"/>
  <c r="J12" i="5"/>
  <c r="J11" i="5"/>
  <c r="J10" i="5"/>
  <c r="J9" i="5"/>
  <c r="E9" i="5"/>
  <c r="B115" i="22"/>
  <c r="A83" i="21" s="1"/>
  <c r="B114" i="22"/>
  <c r="A82" i="21" s="1"/>
  <c r="B113" i="22"/>
  <c r="A81" i="21" s="1"/>
  <c r="B112" i="22"/>
  <c r="A80" i="21" s="1"/>
  <c r="B111" i="22"/>
  <c r="A79" i="21" s="1"/>
  <c r="B110" i="22"/>
  <c r="A78" i="21" s="1"/>
  <c r="B109" i="22"/>
  <c r="A77" i="21" s="1"/>
  <c r="B108" i="22"/>
  <c r="A76" i="21" s="1"/>
  <c r="B107" i="22"/>
  <c r="A75" i="21" s="1"/>
  <c r="J104" i="22"/>
  <c r="E104" i="22"/>
  <c r="H66" i="22"/>
  <c r="H65" i="22"/>
  <c r="H64" i="22"/>
  <c r="H63" i="22"/>
  <c r="H62" i="22"/>
  <c r="H61" i="22"/>
  <c r="H60" i="22"/>
  <c r="H59" i="22"/>
  <c r="H58" i="22"/>
  <c r="H57" i="22"/>
  <c r="B66" i="22"/>
  <c r="B65" i="22"/>
  <c r="B64" i="22"/>
  <c r="B63" i="22"/>
  <c r="B62" i="22"/>
  <c r="B61" i="22"/>
  <c r="B60" i="22"/>
  <c r="B59" i="22"/>
  <c r="B58" i="22"/>
  <c r="B57" i="22"/>
  <c r="E54" i="22"/>
  <c r="J54" i="22"/>
  <c r="H16" i="22"/>
  <c r="H15" i="22"/>
  <c r="A40" i="21" s="1"/>
  <c r="H14" i="22"/>
  <c r="A39" i="21" s="1"/>
  <c r="H13" i="22"/>
  <c r="A38" i="21" s="1"/>
  <c r="H12" i="22"/>
  <c r="A23" i="21" s="1"/>
  <c r="H11" i="22"/>
  <c r="A22" i="21" s="1"/>
  <c r="H10" i="22"/>
  <c r="A21" i="21" s="1"/>
  <c r="H9" i="22"/>
  <c r="A20" i="21" s="1"/>
  <c r="H8" i="22"/>
  <c r="A19" i="21" s="1"/>
  <c r="H7" i="22"/>
  <c r="A18" i="21" s="1"/>
  <c r="B16" i="22"/>
  <c r="A17" i="21" s="1"/>
  <c r="B15" i="22"/>
  <c r="B14" i="22"/>
  <c r="B13" i="22"/>
  <c r="B12" i="22"/>
  <c r="B11" i="22"/>
  <c r="B10" i="22"/>
  <c r="B9" i="22"/>
  <c r="B8" i="22"/>
  <c r="B7" i="22"/>
  <c r="H9" i="5"/>
  <c r="O55" i="22"/>
  <c r="O54" i="22"/>
  <c r="O53" i="22"/>
  <c r="O52" i="22"/>
  <c r="O50" i="22"/>
  <c r="O49" i="22"/>
  <c r="O48" i="22"/>
  <c r="O47" i="22"/>
  <c r="O46" i="22"/>
  <c r="O45" i="22"/>
  <c r="O44" i="22"/>
  <c r="O43" i="22"/>
  <c r="O42" i="22"/>
  <c r="O41" i="22"/>
  <c r="O40" i="22"/>
  <c r="O39" i="22"/>
  <c r="O38" i="22"/>
  <c r="O37" i="22"/>
  <c r="O36" i="22"/>
  <c r="O35" i="22"/>
  <c r="O34" i="22"/>
  <c r="O33" i="22"/>
  <c r="O32" i="22"/>
  <c r="O31" i="22"/>
  <c r="O30" i="22"/>
  <c r="O29" i="22"/>
  <c r="O28" i="22"/>
  <c r="O27" i="22"/>
  <c r="O26" i="22"/>
  <c r="O25" i="22"/>
  <c r="O24" i="22"/>
  <c r="O23" i="22"/>
  <c r="O22" i="22"/>
  <c r="O21" i="22"/>
  <c r="O20" i="22"/>
  <c r="O19" i="22"/>
  <c r="O18" i="22"/>
  <c r="O17" i="22"/>
  <c r="O16" i="22"/>
  <c r="O15" i="22"/>
  <c r="O14" i="22"/>
  <c r="O13" i="22"/>
  <c r="O12" i="22"/>
  <c r="O11" i="22"/>
  <c r="O10" i="22"/>
  <c r="O9" i="22"/>
  <c r="O8" i="22"/>
  <c r="J4" i="22"/>
  <c r="E12" i="22" l="1"/>
  <c r="A13" i="21"/>
  <c r="C39" i="21"/>
  <c r="B39" i="21"/>
  <c r="E64" i="22"/>
  <c r="A48" i="21"/>
  <c r="C76" i="21"/>
  <c r="B76" i="21"/>
  <c r="E9" i="22"/>
  <c r="A10" i="21"/>
  <c r="E13" i="22"/>
  <c r="A14" i="21"/>
  <c r="C18" i="21"/>
  <c r="B18" i="21"/>
  <c r="B22" i="21"/>
  <c r="C22" i="21"/>
  <c r="B40" i="21"/>
  <c r="C40" i="21"/>
  <c r="E57" i="22"/>
  <c r="A41" i="21"/>
  <c r="A42" i="8"/>
  <c r="E61" i="22"/>
  <c r="A45" i="21"/>
  <c r="E65" i="22"/>
  <c r="A49" i="21"/>
  <c r="J59" i="22"/>
  <c r="A53" i="21"/>
  <c r="J63" i="22"/>
  <c r="A71" i="21"/>
  <c r="C77" i="21"/>
  <c r="B77" i="21"/>
  <c r="C81" i="21"/>
  <c r="B81" i="21"/>
  <c r="E8" i="22"/>
  <c r="A9" i="21"/>
  <c r="C21" i="21"/>
  <c r="B21" i="21"/>
  <c r="J58" i="22"/>
  <c r="A52" i="21"/>
  <c r="C80" i="21"/>
  <c r="B80" i="21"/>
  <c r="E10" i="22"/>
  <c r="A11" i="21"/>
  <c r="E14" i="22"/>
  <c r="A15" i="21"/>
  <c r="C19" i="21"/>
  <c r="B19" i="21"/>
  <c r="C23" i="21"/>
  <c r="B23" i="21"/>
  <c r="E58" i="22"/>
  <c r="A42" i="21"/>
  <c r="E62" i="22"/>
  <c r="A46" i="21"/>
  <c r="E66" i="22"/>
  <c r="A50" i="21"/>
  <c r="J60" i="22"/>
  <c r="A68" i="21"/>
  <c r="J64" i="22"/>
  <c r="A72" i="21"/>
  <c r="C78" i="21"/>
  <c r="B78" i="21"/>
  <c r="C82" i="21"/>
  <c r="B82" i="21"/>
  <c r="C17" i="21"/>
  <c r="B17" i="21"/>
  <c r="E60" i="22"/>
  <c r="A44" i="21"/>
  <c r="J62" i="22"/>
  <c r="A70" i="21"/>
  <c r="J66" i="22"/>
  <c r="A74" i="21"/>
  <c r="E7" i="22"/>
  <c r="A8" i="21"/>
  <c r="A8" i="8"/>
  <c r="E11" i="22"/>
  <c r="A12" i="21"/>
  <c r="E15" i="22"/>
  <c r="A16" i="21"/>
  <c r="C20" i="21"/>
  <c r="B20" i="21"/>
  <c r="C38" i="21"/>
  <c r="B38" i="21"/>
  <c r="E59" i="22"/>
  <c r="A43" i="21"/>
  <c r="E63" i="22"/>
  <c r="A47" i="21"/>
  <c r="J57" i="22"/>
  <c r="A51" i="21"/>
  <c r="J61" i="22"/>
  <c r="A69" i="21"/>
  <c r="J65" i="22"/>
  <c r="A73" i="21"/>
  <c r="C75" i="21"/>
  <c r="B75" i="21"/>
  <c r="C79" i="21"/>
  <c r="B79" i="21"/>
  <c r="C83" i="21"/>
  <c r="B83" i="21"/>
  <c r="E16" i="22"/>
  <c r="A17" i="8"/>
  <c r="J10" i="22"/>
  <c r="A21" i="8"/>
  <c r="J14" i="22"/>
  <c r="A25" i="8"/>
  <c r="E108" i="22"/>
  <c r="A77" i="8"/>
  <c r="E112" i="22"/>
  <c r="A81" i="8"/>
  <c r="J8" i="22"/>
  <c r="A19" i="8"/>
  <c r="J12" i="22"/>
  <c r="A23" i="8"/>
  <c r="J16" i="22"/>
  <c r="A27" i="8"/>
  <c r="E114" i="22"/>
  <c r="A83" i="8"/>
  <c r="J7" i="22"/>
  <c r="A18" i="8"/>
  <c r="J11" i="22"/>
  <c r="A22" i="8"/>
  <c r="J15" i="22"/>
  <c r="A26" i="8"/>
  <c r="E109" i="22"/>
  <c r="A78" i="8"/>
  <c r="E113" i="22"/>
  <c r="A82" i="8"/>
  <c r="E110" i="22"/>
  <c r="A79" i="8"/>
  <c r="J9" i="22"/>
  <c r="A20" i="8"/>
  <c r="J13" i="22"/>
  <c r="A24" i="8"/>
  <c r="E107" i="22"/>
  <c r="A76" i="8"/>
  <c r="E111" i="22"/>
  <c r="A80" i="8"/>
  <c r="E115" i="22"/>
  <c r="A84" i="8"/>
  <c r="A16" i="8"/>
  <c r="A46" i="8"/>
  <c r="A47" i="8"/>
  <c r="A48" i="8"/>
  <c r="A49" i="8"/>
  <c r="A50" i="8"/>
  <c r="A51" i="8"/>
  <c r="A52" i="8"/>
  <c r="A53" i="8"/>
  <c r="A54" i="8"/>
  <c r="A9" i="8"/>
  <c r="A55" i="8"/>
  <c r="A10" i="8"/>
  <c r="A56" i="8"/>
  <c r="A11" i="8"/>
  <c r="A57" i="8"/>
  <c r="A12" i="8"/>
  <c r="A58" i="8"/>
  <c r="A13" i="8"/>
  <c r="A43" i="8"/>
  <c r="A59" i="8"/>
  <c r="A14" i="8"/>
  <c r="A44" i="8"/>
  <c r="A60" i="8"/>
  <c r="A15" i="8"/>
  <c r="A45" i="8"/>
  <c r="A61" i="8"/>
  <c r="C73" i="21" l="1"/>
  <c r="B73" i="21"/>
  <c r="C51" i="21"/>
  <c r="B51" i="21"/>
  <c r="C43" i="21"/>
  <c r="B43" i="21"/>
  <c r="C12" i="21"/>
  <c r="B12" i="21"/>
  <c r="C41" i="21"/>
  <c r="B41" i="21"/>
  <c r="B14" i="21"/>
  <c r="C14" i="21"/>
  <c r="C74" i="21"/>
  <c r="B74" i="21"/>
  <c r="C44" i="21"/>
  <c r="B44" i="21"/>
  <c r="C72" i="21"/>
  <c r="B72" i="21"/>
  <c r="C50" i="21"/>
  <c r="B50" i="21"/>
  <c r="C42" i="21"/>
  <c r="B42" i="21"/>
  <c r="C11" i="21"/>
  <c r="B11" i="21"/>
  <c r="B52" i="21"/>
  <c r="C52" i="21"/>
  <c r="C9" i="21"/>
  <c r="B9" i="21"/>
  <c r="C53" i="21"/>
  <c r="B53" i="21"/>
  <c r="C45" i="21"/>
  <c r="B45" i="21"/>
  <c r="C69" i="21"/>
  <c r="B69" i="21"/>
  <c r="C47" i="21"/>
  <c r="B47" i="21"/>
  <c r="C16" i="21"/>
  <c r="B16" i="21"/>
  <c r="B10" i="21"/>
  <c r="C10" i="21"/>
  <c r="C48" i="21"/>
  <c r="B48" i="21"/>
  <c r="C13" i="21"/>
  <c r="B13" i="21"/>
  <c r="C8" i="21"/>
  <c r="B8" i="21"/>
  <c r="C70" i="21"/>
  <c r="B70" i="21"/>
  <c r="C68" i="21"/>
  <c r="B68" i="21"/>
  <c r="C46" i="21"/>
  <c r="B46" i="21"/>
  <c r="C15" i="21"/>
  <c r="B15" i="21"/>
  <c r="C71" i="21"/>
  <c r="B71" i="21"/>
  <c r="C49" i="21"/>
  <c r="B49" i="21"/>
  <c r="Z61" i="20"/>
  <c r="Z62" i="20" s="1"/>
  <c r="Z60" i="20"/>
  <c r="Z58" i="20"/>
  <c r="Z59" i="20" s="1"/>
  <c r="Z57" i="20"/>
  <c r="Z56" i="20"/>
  <c r="Z54" i="20"/>
  <c r="Z55" i="20" s="1"/>
  <c r="Z53" i="20"/>
  <c r="Z52" i="20"/>
  <c r="Z51" i="20"/>
  <c r="Z50" i="20"/>
  <c r="Z49" i="20"/>
  <c r="Z48" i="20"/>
  <c r="Z47" i="20"/>
  <c r="Z46" i="20"/>
  <c r="Z45" i="20"/>
  <c r="Z44" i="20"/>
  <c r="Z43" i="20"/>
  <c r="Z42" i="20"/>
  <c r="Z41" i="20"/>
  <c r="Z40" i="20"/>
  <c r="Z39" i="20"/>
  <c r="Z38" i="20"/>
  <c r="Z37" i="20"/>
  <c r="Z36" i="20"/>
  <c r="Z35" i="20"/>
  <c r="AG62" i="20" l="1"/>
  <c r="AG61" i="20"/>
  <c r="AG60" i="20"/>
  <c r="AG59" i="20"/>
  <c r="AG58" i="20"/>
  <c r="AG57" i="20"/>
  <c r="AG56" i="20"/>
  <c r="AG55" i="20"/>
  <c r="AG54" i="20"/>
  <c r="AG53" i="20"/>
  <c r="AG52" i="20"/>
  <c r="AG51" i="20"/>
  <c r="AG50" i="20"/>
  <c r="AG49" i="20"/>
  <c r="AG48" i="20"/>
  <c r="AG47" i="20"/>
  <c r="AG46" i="20"/>
  <c r="AG45" i="20"/>
  <c r="AG44" i="20"/>
  <c r="AG43" i="20"/>
  <c r="M23" i="14"/>
  <c r="AE62" i="20"/>
  <c r="M15" i="14"/>
  <c r="AE61" i="20" s="1"/>
  <c r="M11" i="14"/>
  <c r="L23" i="14"/>
  <c r="AE60" i="20" s="1"/>
  <c r="AE59" i="20"/>
  <c r="L15" i="14"/>
  <c r="AE58" i="20" s="1"/>
  <c r="L11" i="14"/>
  <c r="K23" i="14"/>
  <c r="AE57" i="20" s="1"/>
  <c r="AE56" i="20"/>
  <c r="K15" i="14"/>
  <c r="AE55" i="20" s="1"/>
  <c r="K11" i="14"/>
  <c r="AE54" i="20" s="1"/>
  <c r="J23" i="14"/>
  <c r="AE53" i="20" s="1"/>
  <c r="AE52" i="20"/>
  <c r="J15" i="14"/>
  <c r="AE51" i="20" s="1"/>
  <c r="J11" i="14"/>
  <c r="AE50" i="20" s="1"/>
  <c r="I23" i="14"/>
  <c r="AE49" i="20" s="1"/>
  <c r="AE48" i="20"/>
  <c r="I15" i="14"/>
  <c r="AE47" i="20" s="1"/>
  <c r="I11" i="14"/>
  <c r="AE46" i="20" s="1"/>
  <c r="H23" i="14"/>
  <c r="AE45" i="20" s="1"/>
  <c r="AE44" i="20"/>
  <c r="H15" i="14"/>
  <c r="AE43" i="20" s="1"/>
  <c r="H11" i="14"/>
  <c r="G23" i="14"/>
  <c r="G15" i="14"/>
  <c r="G11" i="14"/>
  <c r="F23" i="14"/>
  <c r="F15" i="14"/>
  <c r="F11" i="14"/>
  <c r="E23" i="14"/>
  <c r="E15" i="14"/>
  <c r="E11" i="14"/>
  <c r="D23" i="14"/>
  <c r="D15" i="14"/>
  <c r="D11" i="14"/>
  <c r="C23" i="14"/>
  <c r="C15" i="14"/>
  <c r="C11" i="14"/>
  <c r="B23" i="14"/>
  <c r="B15" i="14"/>
  <c r="B11" i="14"/>
  <c r="O55" i="5" l="1"/>
  <c r="O54" i="5"/>
  <c r="O53" i="5"/>
  <c r="O52" i="5"/>
  <c r="O51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Z15" i="20" l="1"/>
  <c r="Z16" i="20" l="1"/>
  <c r="Z17" i="20" s="1"/>
  <c r="Z18" i="20" s="1"/>
  <c r="Z19" i="20" s="1"/>
  <c r="Z20" i="20" s="1"/>
  <c r="Z21" i="20" s="1"/>
  <c r="Z22" i="20" s="1"/>
  <c r="Z23" i="20" s="1"/>
  <c r="Z24" i="20" s="1"/>
  <c r="Z25" i="20" s="1"/>
  <c r="Z26" i="20" s="1"/>
  <c r="Z27" i="20" s="1"/>
  <c r="Z28" i="20" s="1"/>
  <c r="Z29" i="20" s="1"/>
  <c r="Z30" i="20" s="1"/>
  <c r="Z31" i="20" s="1"/>
  <c r="Z32" i="20" s="1"/>
  <c r="Z33" i="20" s="1"/>
  <c r="Z34" i="20" s="1"/>
  <c r="T63" i="20"/>
  <c r="T62" i="20"/>
  <c r="T61" i="20"/>
  <c r="T60" i="20"/>
  <c r="T59" i="20"/>
  <c r="T58" i="20"/>
  <c r="T57" i="20"/>
  <c r="T56" i="20"/>
  <c r="T55" i="20"/>
  <c r="T54" i="20"/>
  <c r="T53" i="20"/>
  <c r="T52" i="20"/>
  <c r="T51" i="20"/>
  <c r="T50" i="20"/>
  <c r="T49" i="20"/>
  <c r="T48" i="20"/>
  <c r="T47" i="20"/>
  <c r="T46" i="20"/>
  <c r="T45" i="20"/>
  <c r="T44" i="20"/>
  <c r="T43" i="20"/>
  <c r="T42" i="20"/>
  <c r="T41" i="20"/>
  <c r="T40" i="20"/>
  <c r="T39" i="20"/>
  <c r="T38" i="20"/>
  <c r="T37" i="20"/>
  <c r="T36" i="20"/>
  <c r="T35" i="20"/>
  <c r="T34" i="20"/>
  <c r="T33" i="20"/>
  <c r="T32" i="20"/>
  <c r="T31" i="20"/>
  <c r="T30" i="20"/>
  <c r="T29" i="20"/>
  <c r="T28" i="20"/>
  <c r="T27" i="20"/>
  <c r="T26" i="20"/>
  <c r="T25" i="20"/>
  <c r="T24" i="20"/>
  <c r="T23" i="20"/>
  <c r="T22" i="20"/>
  <c r="T21" i="20"/>
  <c r="T20" i="20"/>
  <c r="T19" i="20"/>
  <c r="T18" i="20"/>
  <c r="T17" i="20"/>
  <c r="T16" i="20"/>
  <c r="H4" i="20" l="1"/>
  <c r="H2" i="20"/>
  <c r="H6" i="20"/>
  <c r="J5" i="5"/>
  <c r="F10" i="15" l="1"/>
  <c r="F13" i="15"/>
  <c r="F16" i="15"/>
  <c r="F19" i="15"/>
  <c r="J26" i="15"/>
  <c r="J90" i="15" s="1"/>
  <c r="H38" i="15"/>
  <c r="F42" i="15"/>
  <c r="F45" i="15"/>
  <c r="F48" i="15"/>
  <c r="F51" i="15"/>
  <c r="G61" i="15"/>
  <c r="G93" i="15" s="1"/>
  <c r="G125" i="15" s="1"/>
  <c r="G157" i="15" s="1"/>
  <c r="G189" i="15" s="1"/>
  <c r="G221" i="15" s="1"/>
  <c r="G253" i="15" s="1"/>
  <c r="G285" i="15" s="1"/>
  <c r="G317" i="15" s="1"/>
  <c r="G349" i="15" s="1"/>
  <c r="G381" i="15" s="1"/>
  <c r="H70" i="15"/>
  <c r="F74" i="15"/>
  <c r="F77" i="15"/>
  <c r="F80" i="15"/>
  <c r="F83" i="15"/>
  <c r="H102" i="15"/>
  <c r="F106" i="15"/>
  <c r="F109" i="15"/>
  <c r="F112" i="15"/>
  <c r="F115" i="15"/>
  <c r="H134" i="15"/>
  <c r="F138" i="15"/>
  <c r="F141" i="15"/>
  <c r="F144" i="15"/>
  <c r="F147" i="15"/>
  <c r="H166" i="15"/>
  <c r="F170" i="15"/>
  <c r="F173" i="15"/>
  <c r="F176" i="15"/>
  <c r="F179" i="15"/>
  <c r="H198" i="15"/>
  <c r="F202" i="15"/>
  <c r="F205" i="15"/>
  <c r="F208" i="15"/>
  <c r="F211" i="15"/>
  <c r="H230" i="15"/>
  <c r="F234" i="15"/>
  <c r="F237" i="15"/>
  <c r="F240" i="15"/>
  <c r="F243" i="15"/>
  <c r="H262" i="15"/>
  <c r="F266" i="15"/>
  <c r="F269" i="15"/>
  <c r="F272" i="15"/>
  <c r="F275" i="15"/>
  <c r="H294" i="15"/>
  <c r="F298" i="15"/>
  <c r="F301" i="15"/>
  <c r="F304" i="15"/>
  <c r="F307" i="15"/>
  <c r="H326" i="15"/>
  <c r="F330" i="15"/>
  <c r="F333" i="15"/>
  <c r="F336" i="15"/>
  <c r="F339" i="15"/>
  <c r="H358" i="15"/>
  <c r="F362" i="15"/>
  <c r="F365" i="15"/>
  <c r="F368" i="15"/>
  <c r="F371" i="15"/>
  <c r="S16" i="20"/>
  <c r="U16" i="20"/>
  <c r="J275" i="15" l="1"/>
  <c r="U51" i="20"/>
  <c r="J147" i="15"/>
  <c r="U35" i="20"/>
  <c r="J19" i="15"/>
  <c r="U19" i="20"/>
  <c r="C275" i="15"/>
  <c r="S51" i="20"/>
  <c r="C147" i="15"/>
  <c r="S35" i="20"/>
  <c r="C19" i="15"/>
  <c r="S19" i="20"/>
  <c r="J272" i="15"/>
  <c r="U50" i="20"/>
  <c r="J144" i="15"/>
  <c r="U34" i="20"/>
  <c r="J16" i="15"/>
  <c r="U18" i="20"/>
  <c r="C272" i="15"/>
  <c r="S50" i="20"/>
  <c r="C144" i="15"/>
  <c r="S34" i="20"/>
  <c r="C16" i="15"/>
  <c r="S18" i="20"/>
  <c r="J269" i="15"/>
  <c r="U49" i="20"/>
  <c r="J141" i="15"/>
  <c r="U33" i="20"/>
  <c r="J13" i="15"/>
  <c r="U17" i="20"/>
  <c r="C269" i="15"/>
  <c r="S49" i="20"/>
  <c r="C141" i="15"/>
  <c r="S33" i="20"/>
  <c r="J371" i="15"/>
  <c r="U63" i="20"/>
  <c r="J243" i="15"/>
  <c r="U47" i="20"/>
  <c r="J115" i="15"/>
  <c r="U31" i="20"/>
  <c r="C371" i="15"/>
  <c r="S63" i="20"/>
  <c r="C243" i="15"/>
  <c r="S47" i="20"/>
  <c r="C115" i="15"/>
  <c r="S31" i="20"/>
  <c r="J368" i="15"/>
  <c r="U62" i="20"/>
  <c r="J240" i="15"/>
  <c r="U46" i="20"/>
  <c r="J339" i="15"/>
  <c r="U59" i="20"/>
  <c r="J211" i="15"/>
  <c r="U43" i="20"/>
  <c r="J83" i="15"/>
  <c r="U27" i="20"/>
  <c r="C339" i="15"/>
  <c r="S59" i="20"/>
  <c r="C211" i="15"/>
  <c r="S43" i="20"/>
  <c r="C83" i="15"/>
  <c r="S27" i="20"/>
  <c r="J336" i="15"/>
  <c r="U58" i="20"/>
  <c r="J208" i="15"/>
  <c r="U42" i="20"/>
  <c r="J80" i="15"/>
  <c r="U26" i="20"/>
  <c r="C336" i="15"/>
  <c r="S58" i="20"/>
  <c r="C208" i="15"/>
  <c r="S42" i="20"/>
  <c r="C80" i="15"/>
  <c r="S26" i="20"/>
  <c r="J307" i="15"/>
  <c r="U55" i="20"/>
  <c r="J179" i="15"/>
  <c r="U39" i="20"/>
  <c r="J51" i="15"/>
  <c r="U23" i="20"/>
  <c r="C307" i="15"/>
  <c r="S55" i="20"/>
  <c r="C179" i="15"/>
  <c r="S39" i="20"/>
  <c r="C51" i="15"/>
  <c r="S23" i="20"/>
  <c r="J304" i="15"/>
  <c r="U54" i="20"/>
  <c r="J176" i="15"/>
  <c r="U38" i="20"/>
  <c r="J48" i="15"/>
  <c r="U22" i="20"/>
  <c r="C304" i="15"/>
  <c r="S54" i="20"/>
  <c r="C176" i="15"/>
  <c r="S38" i="20"/>
  <c r="C48" i="15"/>
  <c r="S22" i="20"/>
  <c r="J301" i="15"/>
  <c r="U53" i="20"/>
  <c r="J173" i="15"/>
  <c r="U37" i="20"/>
  <c r="J45" i="15"/>
  <c r="U21" i="20"/>
  <c r="C301" i="15"/>
  <c r="S53" i="20"/>
  <c r="C173" i="15"/>
  <c r="S37" i="20"/>
  <c r="C45" i="15"/>
  <c r="S21" i="20"/>
  <c r="J298" i="15"/>
  <c r="U52" i="20"/>
  <c r="J170" i="15"/>
  <c r="U36" i="20"/>
  <c r="J42" i="15"/>
  <c r="U20" i="20"/>
  <c r="C298" i="15"/>
  <c r="S52" i="20"/>
  <c r="C170" i="15"/>
  <c r="S36" i="20"/>
  <c r="C42" i="15"/>
  <c r="S20" i="20"/>
  <c r="C13" i="15"/>
  <c r="S17" i="20"/>
  <c r="J266" i="15"/>
  <c r="U48" i="20"/>
  <c r="J138" i="15"/>
  <c r="U32" i="20"/>
  <c r="C266" i="15"/>
  <c r="S48" i="20"/>
  <c r="C138" i="15"/>
  <c r="S32" i="20"/>
  <c r="J112" i="15"/>
  <c r="U30" i="20"/>
  <c r="C368" i="15"/>
  <c r="S62" i="20"/>
  <c r="C240" i="15"/>
  <c r="S46" i="20"/>
  <c r="C112" i="15"/>
  <c r="S30" i="20"/>
  <c r="J365" i="15"/>
  <c r="U61" i="20"/>
  <c r="J237" i="15"/>
  <c r="U45" i="20"/>
  <c r="J109" i="15"/>
  <c r="U29" i="20"/>
  <c r="C365" i="15"/>
  <c r="S61" i="20"/>
  <c r="C237" i="15"/>
  <c r="S45" i="20"/>
  <c r="C109" i="15"/>
  <c r="S29" i="20"/>
  <c r="J362" i="15"/>
  <c r="U60" i="20"/>
  <c r="J234" i="15"/>
  <c r="U44" i="20"/>
  <c r="J106" i="15"/>
  <c r="U28" i="20"/>
  <c r="C362" i="15"/>
  <c r="S60" i="20"/>
  <c r="C234" i="15"/>
  <c r="S44" i="20"/>
  <c r="C106" i="15"/>
  <c r="S28" i="20"/>
  <c r="J333" i="15"/>
  <c r="U57" i="20"/>
  <c r="J205" i="15"/>
  <c r="U41" i="20"/>
  <c r="J77" i="15"/>
  <c r="U25" i="20"/>
  <c r="C333" i="15"/>
  <c r="S57" i="20"/>
  <c r="C205" i="15"/>
  <c r="S41" i="20"/>
  <c r="C77" i="15"/>
  <c r="S25" i="20"/>
  <c r="J330" i="15"/>
  <c r="U56" i="20"/>
  <c r="J202" i="15"/>
  <c r="U40" i="20"/>
  <c r="J74" i="15"/>
  <c r="U24" i="20"/>
  <c r="C330" i="15"/>
  <c r="S56" i="20"/>
  <c r="C202" i="15"/>
  <c r="S40" i="20"/>
  <c r="C74" i="15"/>
  <c r="S24" i="20"/>
  <c r="C10" i="15"/>
  <c r="J10" i="15"/>
  <c r="J314" i="15"/>
  <c r="J250" i="15"/>
  <c r="J58" i="15"/>
  <c r="J378" i="15"/>
  <c r="J186" i="15"/>
  <c r="J122" i="15"/>
  <c r="J346" i="15"/>
  <c r="J282" i="15"/>
  <c r="J218" i="15"/>
  <c r="J154" i="15"/>
  <c r="E54" i="5" l="1"/>
  <c r="E103" i="5"/>
  <c r="B116" i="5"/>
  <c r="B115" i="5"/>
  <c r="C84" i="8" s="1"/>
  <c r="B114" i="5"/>
  <c r="B113" i="5"/>
  <c r="B112" i="5"/>
  <c r="B111" i="5"/>
  <c r="B110" i="5"/>
  <c r="B109" i="5"/>
  <c r="B108" i="5"/>
  <c r="B107" i="5"/>
  <c r="H67" i="5"/>
  <c r="H66" i="5"/>
  <c r="H65" i="5"/>
  <c r="H64" i="5"/>
  <c r="H63" i="5"/>
  <c r="H62" i="5"/>
  <c r="H61" i="5"/>
  <c r="H60" i="5"/>
  <c r="H59" i="5"/>
  <c r="H58" i="5"/>
  <c r="B67" i="5"/>
  <c r="B66" i="5"/>
  <c r="B65" i="5"/>
  <c r="B64" i="5"/>
  <c r="B63" i="5"/>
  <c r="B62" i="5"/>
  <c r="B61" i="5"/>
  <c r="B60" i="5"/>
  <c r="B59" i="5"/>
  <c r="B58" i="5"/>
  <c r="J54" i="5"/>
  <c r="E84" i="8" l="1"/>
  <c r="E85" i="8"/>
  <c r="C85" i="8"/>
  <c r="C47" i="8"/>
  <c r="E47" i="8"/>
  <c r="C60" i="8"/>
  <c r="E60" i="8"/>
  <c r="J103" i="5"/>
  <c r="E80" i="8" l="1"/>
  <c r="C80" i="8"/>
  <c r="E58" i="8"/>
  <c r="C58" i="8"/>
  <c r="E50" i="8"/>
  <c r="C50" i="8"/>
  <c r="E42" i="8"/>
  <c r="C42" i="8"/>
  <c r="E79" i="8"/>
  <c r="C79" i="8"/>
  <c r="E57" i="8"/>
  <c r="C57" i="8"/>
  <c r="E49" i="8"/>
  <c r="C49" i="8"/>
  <c r="C82" i="8"/>
  <c r="E82" i="8"/>
  <c r="C52" i="8"/>
  <c r="E52" i="8"/>
  <c r="E44" i="8"/>
  <c r="C44" i="8"/>
  <c r="E77" i="8"/>
  <c r="C77" i="8"/>
  <c r="E55" i="8"/>
  <c r="C55" i="8"/>
  <c r="E76" i="8"/>
  <c r="C76" i="8"/>
  <c r="C54" i="8"/>
  <c r="E54" i="8"/>
  <c r="E46" i="8"/>
  <c r="C46" i="8"/>
  <c r="E83" i="8"/>
  <c r="C83" i="8"/>
  <c r="E61" i="8"/>
  <c r="C61" i="8"/>
  <c r="E53" i="8"/>
  <c r="C53" i="8"/>
  <c r="E45" i="8"/>
  <c r="C45" i="8"/>
  <c r="C78" i="8"/>
  <c r="E78" i="8"/>
  <c r="E56" i="8"/>
  <c r="C56" i="8"/>
  <c r="E48" i="8"/>
  <c r="C48" i="8"/>
  <c r="C81" i="8"/>
  <c r="E81" i="8"/>
  <c r="C59" i="8"/>
  <c r="E59" i="8"/>
  <c r="E51" i="8"/>
  <c r="C51" i="8"/>
  <c r="E43" i="8"/>
  <c r="C43" i="8"/>
  <c r="H18" i="5" l="1"/>
  <c r="H17" i="5"/>
  <c r="H16" i="5"/>
  <c r="H15" i="5"/>
  <c r="H14" i="5"/>
  <c r="H13" i="5"/>
  <c r="H12" i="5"/>
  <c r="H11" i="5"/>
  <c r="H10" i="5"/>
  <c r="B18" i="5"/>
  <c r="B17" i="5"/>
  <c r="B16" i="5"/>
  <c r="B15" i="5"/>
  <c r="B14" i="5"/>
  <c r="B13" i="5"/>
  <c r="B12" i="5"/>
  <c r="B11" i="5"/>
  <c r="B10" i="5"/>
  <c r="B9" i="5"/>
  <c r="C8" i="8" l="1"/>
  <c r="E8" i="8"/>
  <c r="E22" i="8"/>
  <c r="C22" i="8"/>
  <c r="E18" i="5"/>
  <c r="E17" i="5"/>
  <c r="E16" i="5"/>
  <c r="C15" i="8"/>
  <c r="E15" i="8"/>
  <c r="E15" i="5"/>
  <c r="E14" i="5"/>
  <c r="E13" i="5"/>
  <c r="E12" i="5"/>
  <c r="E11" i="5"/>
  <c r="C10" i="8"/>
  <c r="E10" i="8"/>
  <c r="E10" i="5"/>
  <c r="E27" i="8" l="1"/>
  <c r="C27" i="8"/>
  <c r="C26" i="8"/>
  <c r="E26" i="8"/>
  <c r="E25" i="8"/>
  <c r="C25" i="8"/>
  <c r="E24" i="8"/>
  <c r="C24" i="8"/>
  <c r="E23" i="8"/>
  <c r="C23" i="8"/>
  <c r="C21" i="8"/>
  <c r="E21" i="8"/>
  <c r="E20" i="8"/>
  <c r="C20" i="8"/>
  <c r="C19" i="8"/>
  <c r="E19" i="8"/>
  <c r="C18" i="8"/>
  <c r="E18" i="8"/>
  <c r="E17" i="8"/>
  <c r="C17" i="8"/>
  <c r="E16" i="8"/>
  <c r="C16" i="8"/>
  <c r="C14" i="8"/>
  <c r="E14" i="8"/>
  <c r="E13" i="8"/>
  <c r="C13" i="8"/>
  <c r="E12" i="8"/>
  <c r="C12" i="8"/>
  <c r="E11" i="8"/>
  <c r="C11" i="8"/>
  <c r="E9" i="8"/>
  <c r="C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J26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5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90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22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54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86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18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50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82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14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4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78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</commentList>
</comments>
</file>

<file path=xl/sharedStrings.xml><?xml version="1.0" encoding="utf-8"?>
<sst xmlns="http://schemas.openxmlformats.org/spreadsheetml/2006/main" count="3121" uniqueCount="710">
  <si>
    <t>ETO</t>
  </si>
  <si>
    <t>NON-STERILE</t>
  </si>
  <si>
    <t xml:space="preserve">  REQUIRES ETO PROCESSING</t>
  </si>
  <si>
    <t>Busse PO Number:</t>
  </si>
  <si>
    <t>E</t>
  </si>
  <si>
    <t>CATALOG #:</t>
  </si>
  <si>
    <t>Lot #:</t>
  </si>
  <si>
    <t>Qty:</t>
  </si>
  <si>
    <t>Cases</t>
  </si>
  <si>
    <t>COUNTED BY:</t>
  </si>
  <si>
    <t>DATE:</t>
  </si>
  <si>
    <t>PALLET NUMBER:</t>
  </si>
  <si>
    <t>DCO #</t>
  </si>
  <si>
    <t>Form# 09-54-04</t>
  </si>
  <si>
    <t>Cat. # :</t>
  </si>
  <si>
    <r>
      <t>Lot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#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:</t>
    </r>
  </si>
  <si>
    <t>Quantity Checked By:</t>
  </si>
  <si>
    <t>FORM#09-54-05</t>
  </si>
  <si>
    <t>B</t>
  </si>
  <si>
    <t>Diagram Shows Pallet Facing Front</t>
  </si>
  <si>
    <t>Pallet #</t>
  </si>
  <si>
    <t>Catalog #</t>
  </si>
  <si>
    <t>Lot #</t>
  </si>
  <si>
    <t>Quantity</t>
  </si>
  <si>
    <t xml:space="preserve"> Busse Section</t>
  </si>
  <si>
    <t xml:space="preserve"> Checked By:</t>
  </si>
  <si>
    <t xml:space="preserve"> Verified By:</t>
  </si>
  <si>
    <t>BI Lot#:</t>
  </si>
  <si>
    <t>BI Expiration Date:</t>
  </si>
  <si>
    <t xml:space="preserve"> Contract Sterilizer Section</t>
  </si>
  <si>
    <t>Date:</t>
  </si>
  <si>
    <t>Placement Verified By:</t>
  </si>
  <si>
    <t>Sterilization Lot#</t>
  </si>
  <si>
    <t>Form # 09-54-01</t>
  </si>
  <si>
    <t>CHECKLIST</t>
  </si>
  <si>
    <t>1)</t>
  </si>
  <si>
    <t>BIC / PALLET SHEET</t>
  </si>
  <si>
    <t>2)</t>
  </si>
  <si>
    <t>PURCHASE ORDER</t>
  </si>
  <si>
    <t>3)</t>
  </si>
  <si>
    <t>BIOLOGICAL INDICATORS</t>
  </si>
  <si>
    <t>P.O.#: E</t>
  </si>
  <si>
    <t>4)</t>
  </si>
  <si>
    <t>COUNT VERIFICATION REPORT</t>
  </si>
  <si>
    <t>5)</t>
  </si>
  <si>
    <t>STERILIZATION RECORD REVIEW</t>
  </si>
  <si>
    <t>PICKUP FROM:</t>
  </si>
  <si>
    <t>DELIVER TO:</t>
  </si>
  <si>
    <t>Busse Hospital Disposables</t>
  </si>
  <si>
    <t>Long Island Sterilization</t>
  </si>
  <si>
    <t>75 Arkay Drive</t>
  </si>
  <si>
    <t>175 Wireless Blvd.</t>
  </si>
  <si>
    <t>Hauppauge, NY 11788</t>
  </si>
  <si>
    <t>Phone:</t>
  </si>
  <si>
    <t>631-435-4711</t>
  </si>
  <si>
    <t>631-435-4815</t>
  </si>
  <si>
    <t xml:space="preserve">Prepaid </t>
  </si>
  <si>
    <t>Sterilization Load</t>
  </si>
  <si>
    <t>Load Weight</t>
  </si>
  <si>
    <t>Load Delivered By:</t>
  </si>
  <si>
    <t>Load Received By:</t>
  </si>
  <si>
    <t># of Pallets Delivered</t>
  </si>
  <si>
    <t># of Pallets Received</t>
  </si>
  <si>
    <t>NO DAMAGE NOTED</t>
  </si>
  <si>
    <t>Observed Damage</t>
  </si>
  <si>
    <t>Pallet#</t>
  </si>
  <si>
    <t># of Cases</t>
  </si>
  <si>
    <t>Description of Damage</t>
  </si>
  <si>
    <t>Signature</t>
  </si>
  <si>
    <t>Date</t>
  </si>
  <si>
    <t>Contract Sterilizer</t>
  </si>
  <si>
    <t>Make one (1) copy for Truck Driver and one (1) copy for file.</t>
  </si>
  <si>
    <t xml:space="preserve">DCO# </t>
  </si>
  <si>
    <t xml:space="preserve"> STERILIZATION RECORD REVIEW </t>
  </si>
  <si>
    <t>PURCHASE ORDER #:</t>
  </si>
  <si>
    <t>STERILIZATION METHOD:</t>
  </si>
  <si>
    <t>LOT NUMBER</t>
  </si>
  <si>
    <t>CAT. NUMBER</t>
  </si>
  <si>
    <t>STERILIZATION DOCUMENTATION CHECKLIST</t>
  </si>
  <si>
    <t>REQUIRED DOCUMENTS</t>
  </si>
  <si>
    <t>PRESENT
(Y or N)</t>
  </si>
  <si>
    <t>COMPLETE
(Y or N)</t>
  </si>
  <si>
    <t>ACCEPTABLE
(Y or N)</t>
  </si>
  <si>
    <t>Sterilization Report</t>
  </si>
  <si>
    <t>LIS Receipt Record</t>
  </si>
  <si>
    <t>LIS Load Router</t>
  </si>
  <si>
    <t>Preconditioning Summary</t>
  </si>
  <si>
    <t>Aeration Summary</t>
  </si>
  <si>
    <t>BIC Sheet</t>
  </si>
  <si>
    <t>Busse P.O.</t>
  </si>
  <si>
    <t>Test Result Certificate</t>
  </si>
  <si>
    <t>Busse Receiving Report</t>
  </si>
  <si>
    <t>Laboratory Acknowledgement (If applicable)</t>
  </si>
  <si>
    <t>COMMENTS:</t>
  </si>
  <si>
    <t>Reviewed By:</t>
  </si>
  <si>
    <t>Date:__________________</t>
  </si>
  <si>
    <t xml:space="preserve">All sterilization related documents have been determined to be present and complete.               </t>
  </si>
  <si>
    <t>Results are acceptable for Laboratory Testing.</t>
  </si>
  <si>
    <t>Quality Signature /Date</t>
  </si>
  <si>
    <t>Final laboratory report received and filed.</t>
  </si>
  <si>
    <t xml:space="preserve">               Quality Signature /Date</t>
  </si>
  <si>
    <t>019924</t>
  </si>
  <si>
    <t>Form # 10-08-01</t>
  </si>
  <si>
    <t>DV1</t>
  </si>
  <si>
    <t>DV2</t>
  </si>
  <si>
    <t>DV3</t>
  </si>
  <si>
    <t>KOCH</t>
  </si>
  <si>
    <t>CNV1</t>
  </si>
  <si>
    <t>CIRCLE</t>
  </si>
  <si>
    <r>
      <t xml:space="preserve">Purchase Order #: </t>
    </r>
    <r>
      <rPr>
        <sz val="12"/>
        <rFont val="Univers Condensed"/>
        <family val="2"/>
      </rPr>
      <t xml:space="preserve">           </t>
    </r>
    <r>
      <rPr>
        <b/>
        <sz val="11"/>
        <rFont val="Univers Condensed"/>
        <family val="2"/>
      </rPr>
      <t/>
    </r>
  </si>
  <si>
    <t>PRE-STERILIZATION</t>
  </si>
  <si>
    <t>POST STERILIZATION</t>
  </si>
  <si>
    <t>Lot Number</t>
  </si>
  <si>
    <t>Catalog Number</t>
  </si>
  <si>
    <t>Mfg. Quantity</t>
  </si>
  <si>
    <t>Qty Rejected After Inspection</t>
  </si>
  <si>
    <t>Final Count</t>
  </si>
  <si>
    <t>Comments</t>
  </si>
  <si>
    <t>003645</t>
  </si>
  <si>
    <t>Form 10-12-01</t>
  </si>
  <si>
    <r>
      <t>Verified By:</t>
    </r>
    <r>
      <rPr>
        <b/>
        <sz val="8"/>
        <rFont val="Univers Condensed"/>
        <family val="2"/>
      </rPr>
      <t xml:space="preserve"> </t>
    </r>
  </si>
  <si>
    <t>Signature/ Date</t>
  </si>
  <si>
    <t xml:space="preserve">cc: Warehouse Manager </t>
  </si>
  <si>
    <t>Form# 09-54-03</t>
  </si>
  <si>
    <t>Comments:</t>
  </si>
  <si>
    <r>
      <t xml:space="preserve">                                 </t>
    </r>
    <r>
      <rPr>
        <u/>
        <sz val="16"/>
        <rFont val="Tahoma"/>
        <family val="2"/>
      </rPr>
      <t>Biological Indicator Configuration / Pallet Sheet</t>
    </r>
  </si>
  <si>
    <t>ENCLOSED</t>
  </si>
  <si>
    <t xml:space="preserve">31 BIOLOGICAL </t>
  </si>
  <si>
    <t>P.O. # E</t>
  </si>
  <si>
    <t>QUANTITY AND INTEGRITY</t>
  </si>
  <si>
    <t>CHECK BY:</t>
  </si>
  <si>
    <t>Form# 09-54-02</t>
  </si>
  <si>
    <t>INDICATORS</t>
  </si>
  <si>
    <t>Requested</t>
  </si>
  <si>
    <t>WH Issue Date</t>
  </si>
  <si>
    <t>Pulled</t>
  </si>
  <si>
    <t>Posted</t>
  </si>
  <si>
    <t>Racks</t>
  </si>
  <si>
    <t>Parts Prep</t>
  </si>
  <si>
    <t>Ready</t>
  </si>
  <si>
    <t>WC Ready</t>
  </si>
  <si>
    <t>Job Done</t>
  </si>
  <si>
    <t>Request</t>
  </si>
  <si>
    <t xml:space="preserve">   In Parts Prep by</t>
  </si>
  <si>
    <t>Run Date/Time</t>
  </si>
  <si>
    <t>Item</t>
  </si>
  <si>
    <t xml:space="preserve"> </t>
  </si>
  <si>
    <t>Tooling</t>
  </si>
  <si>
    <t>Description</t>
  </si>
  <si>
    <t>@</t>
  </si>
  <si>
    <t>Qty</t>
  </si>
  <si>
    <t xml:space="preserve"> Comments</t>
  </si>
  <si>
    <t>MP</t>
  </si>
  <si>
    <t>Y</t>
  </si>
  <si>
    <t xml:space="preserve"> 1st Shift</t>
  </si>
  <si>
    <t xml:space="preserve"> 2nd Shift</t>
  </si>
  <si>
    <t>X^009^58^68^953^56</t>
  </si>
  <si>
    <t>In Process</t>
  </si>
  <si>
    <t>Refer to Pallet Tag / DHR</t>
  </si>
  <si>
    <t>Completed</t>
  </si>
  <si>
    <t>EO 1</t>
  </si>
  <si>
    <t>EO 3</t>
  </si>
  <si>
    <t>E^170^05^E3^287^00</t>
  </si>
  <si>
    <t>Ster Incision &amp;Drain/Ty50</t>
  </si>
  <si>
    <t>VB^325^02^VB^287^26</t>
  </si>
  <si>
    <t>Ster Yank w/o vent blb/50</t>
  </si>
  <si>
    <t>F^170^25^F7^287^22</t>
  </si>
  <si>
    <t>Ster Suture Removal/50</t>
  </si>
  <si>
    <t>X^013^32^53^953^62</t>
  </si>
  <si>
    <t>Ster DR Murphy N/B/Ty10rx</t>
  </si>
  <si>
    <t>X^008^58^68^924^54</t>
  </si>
  <si>
    <t>STER MOORE 82768 TRAY/20</t>
  </si>
  <si>
    <t>X^009^58^68^924^58</t>
  </si>
  <si>
    <t>Ster C/General Biopsy T10</t>
  </si>
  <si>
    <t>D</t>
  </si>
  <si>
    <t>L^220^11^L1^000^00</t>
  </si>
  <si>
    <t>NON</t>
  </si>
  <si>
    <t>Ster HS SRK 112-5822/50C</t>
  </si>
  <si>
    <t>H^180^01^H1^287^00</t>
  </si>
  <si>
    <t>X^010^58^68^951^56</t>
  </si>
  <si>
    <t>X^011^58^68^951^59</t>
  </si>
  <si>
    <t>Ster Univ B/Ty/W/LID10/RX</t>
  </si>
  <si>
    <t>X^011^58^68^951^58</t>
  </si>
  <si>
    <t>X^010^58^68^924^54</t>
  </si>
  <si>
    <t>Ster Laceration Tray/20</t>
  </si>
  <si>
    <t>X^011^58^68^924^54</t>
  </si>
  <si>
    <t>Ster E.R.Laceration Ty/20</t>
  </si>
  <si>
    <t>STER HS ER LAC112-5823/20</t>
  </si>
  <si>
    <t>CNV2^DV1</t>
  </si>
  <si>
    <t>CNV2^MULTI</t>
  </si>
  <si>
    <t>J^245^13^J1^287^00</t>
  </si>
  <si>
    <t>DLB</t>
  </si>
  <si>
    <t>X^009^58^68^901^56</t>
  </si>
  <si>
    <t>X^011^58^68^922^58</t>
  </si>
  <si>
    <t>X^011^58^68^922^56</t>
  </si>
  <si>
    <t>W^009^00^00^913^59</t>
  </si>
  <si>
    <t>E^170^04^E3^287^10</t>
  </si>
  <si>
    <t>X^010^58^68^924^56</t>
  </si>
  <si>
    <t>EXPEDITE RUSH REQUESTED</t>
  </si>
  <si>
    <t>X^010^58^68^922^56</t>
  </si>
  <si>
    <t>X^011^58^68^924^56</t>
  </si>
  <si>
    <t>X^009^58^68^922^71</t>
  </si>
  <si>
    <t>X^009^58^68^924^56</t>
  </si>
  <si>
    <t>X^013^58^68^922^56</t>
  </si>
  <si>
    <t>Ster Dressing Chg Tray/20</t>
  </si>
  <si>
    <t>2962 due 12/11</t>
  </si>
  <si>
    <t>Ster Circumcision Tray10c</t>
  </si>
  <si>
    <t>One Comp Tray</t>
  </si>
  <si>
    <t>019921</t>
  </si>
  <si>
    <t xml:space="preserve">B
</t>
  </si>
  <si>
    <t xml:space="preserve">  75 Arkay Drive, Hauppauge NY 11788</t>
  </si>
  <si>
    <t>Bill of Lading</t>
  </si>
  <si>
    <t>DCO # 019921</t>
  </si>
  <si>
    <r>
      <t>BI</t>
    </r>
    <r>
      <rPr>
        <sz val="8"/>
        <rFont val="Tahoma"/>
        <family val="2"/>
      </rPr>
      <t>s</t>
    </r>
    <r>
      <rPr>
        <sz val="11"/>
        <rFont val="Tahoma"/>
        <family val="2"/>
      </rPr>
      <t xml:space="preserve"> Placed By:</t>
    </r>
  </si>
  <si>
    <t>Class</t>
  </si>
  <si>
    <t>BI Manufacturer</t>
  </si>
  <si>
    <t xml:space="preserve">Purchase Order #   </t>
  </si>
  <si>
    <t>#2851-DLB</t>
  </si>
  <si>
    <t>Ster Suture-Glide NH /25</t>
  </si>
  <si>
    <t>#2852-DLB</t>
  </si>
  <si>
    <t>Ster S/Debridement T/50CS</t>
  </si>
  <si>
    <t>#2760-DLBS</t>
  </si>
  <si>
    <t>#2814-DLB</t>
  </si>
  <si>
    <t>X^007^58^68^924^54</t>
  </si>
  <si>
    <t>Ster E.R. Laceration T/20</t>
  </si>
  <si>
    <t>LATE</t>
  </si>
  <si>
    <t>#2478-D</t>
  </si>
  <si>
    <t>22A</t>
  </si>
  <si>
    <t>3122R1</t>
  </si>
  <si>
    <t>X^011^59^71^906^64</t>
  </si>
  <si>
    <t>Sterile Surgery Pack 5 cs</t>
  </si>
  <si>
    <t>1110A Hold;3122A Hold;LATE</t>
  </si>
  <si>
    <t>#2812-D</t>
  </si>
  <si>
    <t>08A</t>
  </si>
  <si>
    <t>41065R3</t>
  </si>
  <si>
    <t>Ster Port Access T20EX/RX</t>
  </si>
  <si>
    <t>4106A Use 9308A;EXPEDITE RUSH REQUESTED</t>
  </si>
  <si>
    <t>#2813-DLB</t>
  </si>
  <si>
    <t>B8123R1</t>
  </si>
  <si>
    <t>STER SS 4.5MM P/INS/TY/20</t>
  </si>
  <si>
    <t>VERY LATE</t>
  </si>
  <si>
    <t>#2820-D</t>
  </si>
  <si>
    <t>2066R1</t>
  </si>
  <si>
    <t>Ster V.A.D.Acces/T20EX/RX</t>
  </si>
  <si>
    <t>4106A MAKE W/O; VERY LATE</t>
  </si>
  <si>
    <t>#2817-DLB</t>
  </si>
  <si>
    <t>#2818-D</t>
  </si>
  <si>
    <t>6543R1</t>
  </si>
  <si>
    <t>Ster Basic Biop/T10 EX/RX</t>
  </si>
  <si>
    <t>#2821-D</t>
  </si>
  <si>
    <t>X^010^58^68^906^56</t>
  </si>
  <si>
    <t>Ster MBB Tray 10/CS RX</t>
  </si>
  <si>
    <t>#2822-DLB</t>
  </si>
  <si>
    <t>7883R1</t>
  </si>
  <si>
    <t>Ster Transform/Tray 10cs</t>
  </si>
  <si>
    <t>#2823-D</t>
  </si>
  <si>
    <t>Ster Dr.Murphy Epi/Ty10RX</t>
  </si>
  <si>
    <t>#2824-D</t>
  </si>
  <si>
    <t>X^012^32^53^953^57</t>
  </si>
  <si>
    <t>Ster Epidural Tray 10csRX</t>
  </si>
  <si>
    <t>#2829-D</t>
  </si>
  <si>
    <t>#2830-D</t>
  </si>
  <si>
    <t>#2826-D</t>
  </si>
  <si>
    <t>X^009^32^53^926^54</t>
  </si>
  <si>
    <t>#2780-D</t>
  </si>
  <si>
    <t>3282R4</t>
  </si>
  <si>
    <t>Ster Facet Block Ty 10cs</t>
  </si>
  <si>
    <t>#2831-D</t>
  </si>
  <si>
    <t>3764R2</t>
  </si>
  <si>
    <t>Ster Nerve Block Ty 10CRX</t>
  </si>
  <si>
    <t>#2835-D</t>
  </si>
  <si>
    <t>#2779-D</t>
  </si>
  <si>
    <t>5568R1</t>
  </si>
  <si>
    <t>X^009^58^68^951^58</t>
  </si>
  <si>
    <t>Ster S/S/Epidural Tray/10</t>
  </si>
  <si>
    <t>#2837-D</t>
  </si>
  <si>
    <t>ME</t>
  </si>
  <si>
    <t>MO</t>
  </si>
  <si>
    <t>X^009^58^68^902^59</t>
  </si>
  <si>
    <t>Ster Universal P/Pk T/10C</t>
  </si>
  <si>
    <t>#2782-DLB</t>
  </si>
  <si>
    <t>X^008^58^68^925^56</t>
  </si>
  <si>
    <t>Ster Single Shot Epi/Ty10</t>
  </si>
  <si>
    <t>#2783-D</t>
  </si>
  <si>
    <t>#2784-DLB</t>
  </si>
  <si>
    <t>1728R3</t>
  </si>
  <si>
    <t>Ster S/S Epidural Ty10/cs</t>
  </si>
  <si>
    <t>#2730-DLB</t>
  </si>
  <si>
    <t>8A</t>
  </si>
  <si>
    <t>W9517</t>
  </si>
  <si>
    <t>W^007^00^00^928^51</t>
  </si>
  <si>
    <t>Ster Biopsy Punch Kit 50c</t>
  </si>
  <si>
    <t>1920979W</t>
  </si>
  <si>
    <t>7515FS due 12/6;7522C Hold;7998A due 12/13</t>
  </si>
  <si>
    <t>#2850-DS</t>
  </si>
  <si>
    <t>P^305^14^88^blu^00</t>
  </si>
  <si>
    <t>Ster Drape/200</t>
  </si>
  <si>
    <t>6982A Run Out</t>
  </si>
  <si>
    <t>#2892-DLB</t>
  </si>
  <si>
    <t>1922SN due 12/16</t>
  </si>
  <si>
    <t>#2894-DLBS</t>
  </si>
  <si>
    <t>V^315^08^V1^295^20</t>
  </si>
  <si>
    <t>C/Health K72 Ster10Fr/F50</t>
  </si>
  <si>
    <t>#2895-DLS</t>
  </si>
  <si>
    <t>C/Health K73 Ster12Fr/f50</t>
  </si>
  <si>
    <t>#2891-DLB</t>
  </si>
  <si>
    <t>#2896-DL</t>
  </si>
  <si>
    <t>#2897-DL</t>
  </si>
  <si>
    <t>#2858-DLB</t>
  </si>
  <si>
    <t>#2882-DLB</t>
  </si>
  <si>
    <t>3068R1</t>
  </si>
  <si>
    <t>Ster Epidural P/Pack/10RX</t>
  </si>
  <si>
    <t>NEW REVISION    EXPEDITE RUSH REQUESTED</t>
  </si>
  <si>
    <t>#2845-D</t>
  </si>
  <si>
    <t>5651R2</t>
  </si>
  <si>
    <t>X^017^33^54^904^68</t>
  </si>
  <si>
    <t>Sterile Breast Pack 3/cs</t>
  </si>
  <si>
    <t>5651D Make in House</t>
  </si>
  <si>
    <t>#2889-D</t>
  </si>
  <si>
    <t>5406C-1 Run Out;5651D Make in House;8756A-1 Run Out (1/cs Short)</t>
  </si>
  <si>
    <t>#2859-DLB</t>
  </si>
  <si>
    <t>Ster E.R.Laceration Ty 20</t>
  </si>
  <si>
    <t>#2862-D</t>
  </si>
  <si>
    <t>1928R6</t>
  </si>
  <si>
    <t>X^012^58^68^924^56</t>
  </si>
  <si>
    <t>Ster Arthrogram Tray10cRX</t>
  </si>
  <si>
    <t>DL</t>
  </si>
  <si>
    <t>#2864-DLB</t>
  </si>
  <si>
    <t>Ster Procedure Tray 10/CS</t>
  </si>
  <si>
    <t>#2866-DLB</t>
  </si>
  <si>
    <t>Z^011^38^59^951^58</t>
  </si>
  <si>
    <t>STER UNIVER/B/T10/RX</t>
  </si>
  <si>
    <t>#2871-DL</t>
  </si>
  <si>
    <t>X^012^58^68^951^58</t>
  </si>
  <si>
    <t>Ster S/S/Epidural Ty10cRX</t>
  </si>
  <si>
    <t>1977B-1 Run Out (1/cs Short)</t>
  </si>
  <si>
    <t>#2869-DLB</t>
  </si>
  <si>
    <t>5754R1</t>
  </si>
  <si>
    <t>Ster N/Block Ty22gx5"10EX</t>
  </si>
  <si>
    <t>#2870-DLB</t>
  </si>
  <si>
    <t>6259R1</t>
  </si>
  <si>
    <t>X^010^58^68^951^58</t>
  </si>
  <si>
    <t>Ster Epidural Tray 10/CS</t>
  </si>
  <si>
    <t>#2867-DL</t>
  </si>
  <si>
    <t>Ster S/S/Epid Ty10c/EX/RX</t>
  </si>
  <si>
    <t>#2898-D</t>
  </si>
  <si>
    <t>5084R3</t>
  </si>
  <si>
    <t>Ster Nerve Block Tray10RX</t>
  </si>
  <si>
    <t>#2883-DL</t>
  </si>
  <si>
    <t>X^011^59^71^904^69</t>
  </si>
  <si>
    <t>Ster Hysteroscopy Pack 5c</t>
  </si>
  <si>
    <t>2600B-1 Run Out (1/cs Short) VERY LOW STOCK</t>
  </si>
  <si>
    <t>#2884-D</t>
  </si>
  <si>
    <t>8561R1</t>
  </si>
  <si>
    <t>Ster J/Injection Tray10RX</t>
  </si>
  <si>
    <t>#2885-D</t>
  </si>
  <si>
    <t>1527A Run Out (1/cs Sort)</t>
  </si>
  <si>
    <t>#2872-DL</t>
  </si>
  <si>
    <t>#2873-DL</t>
  </si>
  <si>
    <t>Ster Cervical Tray 10/RX</t>
  </si>
  <si>
    <t>#2874-D</t>
  </si>
  <si>
    <t>Ster Universal Block Ty10</t>
  </si>
  <si>
    <t>#2875-D</t>
  </si>
  <si>
    <t>Ster Neve Block10cs/RX EX</t>
  </si>
  <si>
    <t>#2876-DL</t>
  </si>
  <si>
    <t>#2877-DL</t>
  </si>
  <si>
    <t>Ster S/S Edpidural Ty10CS</t>
  </si>
  <si>
    <t>#2886-D</t>
  </si>
  <si>
    <t>Ster S/S/Epidural Ty 10c</t>
  </si>
  <si>
    <t>EXPEDITE RUSH REQUEST</t>
  </si>
  <si>
    <t>#2899-DLB</t>
  </si>
  <si>
    <t>F^170^25^F7^287^23</t>
  </si>
  <si>
    <t>#2887-D</t>
  </si>
  <si>
    <t>#2888-DLB</t>
  </si>
  <si>
    <t>3292R1</t>
  </si>
  <si>
    <t>X^020^30^50^908^85</t>
  </si>
  <si>
    <t>Ster Angiogram Ty5cs EX</t>
  </si>
  <si>
    <t>2764A-1 Run Out (1/cs Short);3292A in Q3;3292G-1 Hold;8756A-1 Use 8756A-2;THIS KIT REQUIRES EXTRA AERATION“Do not pull or prep this job until instructed.”</t>
  </si>
  <si>
    <t/>
  </si>
  <si>
    <r>
      <t>DCO # 019921</t>
    </r>
    <r>
      <rPr>
        <i/>
        <sz val="10"/>
        <rFont val="Tahoma"/>
        <family val="2"/>
      </rPr>
      <t xml:space="preserve">                                                                                                        </t>
    </r>
  </si>
  <si>
    <t>#1-DLBS</t>
  </si>
  <si>
    <t>A^235^03^A2^287^20</t>
  </si>
  <si>
    <t>Ster O.R Utility Drape/50</t>
  </si>
  <si>
    <t>#2-DLB</t>
  </si>
  <si>
    <t>Ster 2ozRedBulbSyringe24</t>
  </si>
  <si>
    <t>#3-DS</t>
  </si>
  <si>
    <t>S^140^05^S1^287^00</t>
  </si>
  <si>
    <t>Ster Umbilical C/Clamp128</t>
  </si>
  <si>
    <t>ADDITONAL 11 PIECES REQUIRED FOR BIO-BURDEN TESTING</t>
  </si>
  <si>
    <t>#4-DLB</t>
  </si>
  <si>
    <t>Ster Suturing Tray/20</t>
  </si>
  <si>
    <t>#5-DLBS</t>
  </si>
  <si>
    <t>W645B</t>
  </si>
  <si>
    <t>Ster PED/INF Lumbar Ty10c</t>
  </si>
  <si>
    <t>2010002W</t>
  </si>
  <si>
    <t>EXPORTORDER</t>
  </si>
  <si>
    <t>E12345</t>
  </si>
  <si>
    <t>&lt;--- "P4" is a LIST - you can click it to pick a specific TAG</t>
  </si>
  <si>
    <t>Click PRINT ALL AVAILABLE TAGS - to print … all tags in the BIC</t>
  </si>
  <si>
    <t>Click "Update Loop List…" button in order to update "P4" LIST</t>
  </si>
  <si>
    <t>6730B</t>
  </si>
  <si>
    <t>MULTI</t>
  </si>
  <si>
    <t>G^370^15^Y3^000^00</t>
  </si>
  <si>
    <t>BUSSE LOW PROFILE BTM TRY</t>
  </si>
  <si>
    <t>1923A</t>
  </si>
  <si>
    <t>SHALLOW ONE COMP. TRAY</t>
  </si>
  <si>
    <t>RSN #</t>
  </si>
  <si>
    <t>STERILE FINISHED PRODUCT RELEASE/REJECT REPORT</t>
  </si>
  <si>
    <r>
      <t xml:space="preserve">Purchase Order #: </t>
    </r>
    <r>
      <rPr>
        <sz val="11"/>
        <rFont val="Univers Condensed"/>
        <family val="2"/>
      </rPr>
      <t xml:space="preserve">           </t>
    </r>
    <r>
      <rPr>
        <b/>
        <sz val="11"/>
        <rFont val="Univers Condensed"/>
        <family val="2"/>
      </rPr>
      <t/>
    </r>
  </si>
  <si>
    <t>Release Date:</t>
  </si>
  <si>
    <t xml:space="preserve"> Quantity</t>
  </si>
  <si>
    <t>Disposition</t>
  </si>
  <si>
    <t>Warehouse Locations</t>
  </si>
  <si>
    <t>Warehouse Signature</t>
  </si>
  <si>
    <r>
      <t>Released/ Rejected By:</t>
    </r>
    <r>
      <rPr>
        <b/>
        <sz val="8"/>
        <rFont val="Univers Condensed"/>
        <family val="2"/>
      </rPr>
      <t xml:space="preserve"> </t>
    </r>
  </si>
  <si>
    <t>Quality Signature/Date</t>
  </si>
  <si>
    <t>cc:   Quality Department (1), Warehouse (1)</t>
  </si>
  <si>
    <t xml:space="preserve">DCO # </t>
  </si>
  <si>
    <t>017738</t>
  </si>
  <si>
    <t>FORM # 10-08-03</t>
  </si>
  <si>
    <t>#8-DLB</t>
  </si>
  <si>
    <t>Ster 2oz Ear/Ulcer Bulb S</t>
  </si>
  <si>
    <t>#13-DLB</t>
  </si>
  <si>
    <t>8625R1</t>
  </si>
  <si>
    <t>X^012^32^53^924^62</t>
  </si>
  <si>
    <t>Ster Local Try RX EX 10cs</t>
  </si>
  <si>
    <t>#16-DLB</t>
  </si>
  <si>
    <t>6018R1</t>
  </si>
  <si>
    <t>X^010^58^68^954^58</t>
  </si>
  <si>
    <t>Ster 20g/S/S/Epidural T10</t>
  </si>
  <si>
    <t>#17-D</t>
  </si>
  <si>
    <t>X^007^58^68^901^56</t>
  </si>
  <si>
    <t>Sterile Procedure Ty10/cs</t>
  </si>
  <si>
    <t>#19-DLB</t>
  </si>
  <si>
    <t>X^012^58^68^951^59</t>
  </si>
  <si>
    <t>Ster Nerve Block Tray 10c</t>
  </si>
  <si>
    <t>#14-DL</t>
  </si>
  <si>
    <t>X^012^32^53^951^62</t>
  </si>
  <si>
    <t>Ster Support Tray 10cs</t>
  </si>
  <si>
    <t>#15-DLB</t>
  </si>
  <si>
    <t>2SN</t>
  </si>
  <si>
    <t>X^008^58^68^926^56</t>
  </si>
  <si>
    <t>Ster Suture Ty/W/S/G/10CS</t>
  </si>
  <si>
    <t>1922SN due 1/8</t>
  </si>
  <si>
    <t>#11-DLBS</t>
  </si>
  <si>
    <t>W647B</t>
  </si>
  <si>
    <t>Ster Lumbar Tray W/18g10c</t>
  </si>
  <si>
    <t>2010004W</t>
  </si>
  <si>
    <t>#12-DLBS</t>
  </si>
  <si>
    <t>W153</t>
  </si>
  <si>
    <t>TBL^DV2</t>
  </si>
  <si>
    <t>Z^999^99^Z9^999^99</t>
  </si>
  <si>
    <t>Ster3/8"Tbg&amp;Hdl&amp;Adpt/25</t>
  </si>
  <si>
    <t>2020034W</t>
  </si>
  <si>
    <t xml:space="preserve">ADDITIONAL 11 PIECES REQUIRED FOR BIO-BURDEN TESTING </t>
  </si>
  <si>
    <t>1614A</t>
  </si>
  <si>
    <t>K^245^14^K2^000^00</t>
  </si>
  <si>
    <t>SHALLOW TRAY-2PREP WELLS</t>
  </si>
  <si>
    <t>6720T</t>
  </si>
  <si>
    <t>K^245^16^K3^000^00</t>
  </si>
  <si>
    <t>BUSSE SM PAINMGMT TRY TOP</t>
  </si>
  <si>
    <t>#57-DLB</t>
  </si>
  <si>
    <t>A^235^06^A1^287^00</t>
  </si>
  <si>
    <t>Ster Instrument Tray/20</t>
  </si>
  <si>
    <t>#33-DLB</t>
  </si>
  <si>
    <t>F^170^01^F6^287^55</t>
  </si>
  <si>
    <t>Ster 1oz Ear/Ulcer Bulb S</t>
  </si>
  <si>
    <t>LOW STOCK EXPEDITE</t>
  </si>
  <si>
    <t>#6-D</t>
  </si>
  <si>
    <t>B6705R1</t>
  </si>
  <si>
    <t>Ster 3.22 PELL/IN/Ty#2/20</t>
  </si>
  <si>
    <t>BIC / Pallet Sheet</t>
  </si>
  <si>
    <t>BI Test Result Certificate</t>
  </si>
  <si>
    <t>Internal Laboratory Test Result Certificate</t>
  </si>
  <si>
    <t>External Laboratory Test Result Certificate</t>
  </si>
  <si>
    <t>Nonconformance Report (if applicable)</t>
  </si>
  <si>
    <t>#58-DLB</t>
  </si>
  <si>
    <t>A^235^06^A1^287^30</t>
  </si>
  <si>
    <t>Ster Incision&amp;Drainage/20</t>
  </si>
  <si>
    <t>#73-DLB</t>
  </si>
  <si>
    <t>E^170^05^E3^287^07</t>
  </si>
  <si>
    <t>Ster Suture Removal Kit50</t>
  </si>
  <si>
    <t>#74-DLB</t>
  </si>
  <si>
    <t>E^170^04^E8^287^10</t>
  </si>
  <si>
    <t>Ster 5 1/2"CrvdKelly/50cs</t>
  </si>
  <si>
    <t>#75-DLB</t>
  </si>
  <si>
    <t>Ster 5 1/2"Str Kelly H/50</t>
  </si>
  <si>
    <t>#72-DLB</t>
  </si>
  <si>
    <t>E^170^06^E5^287^00</t>
  </si>
  <si>
    <t>Ster StapleRemover S-H/30</t>
  </si>
  <si>
    <t>#32-DLBS</t>
  </si>
  <si>
    <t>V^315^01^V3^287^45</t>
  </si>
  <si>
    <t>Ster 80cc Mucus Trap/100</t>
  </si>
  <si>
    <t xml:space="preserve"> ADDITIONAL 11 PIECES REQUIRED FOR BIO-BURDEN TESTING</t>
  </si>
  <si>
    <t>#42-DLB</t>
  </si>
  <si>
    <t>Ster 7mm Str. Curette /25</t>
  </si>
  <si>
    <t>LOW STOCK</t>
  </si>
  <si>
    <t>#43-DLB</t>
  </si>
  <si>
    <t>Ster 8mm Str. Curette/25</t>
  </si>
  <si>
    <t>#44-DLB</t>
  </si>
  <si>
    <t>Ster 7MM Cvd Curette/25</t>
  </si>
  <si>
    <t>Ster 1oz Bulb Syringe/50</t>
  </si>
  <si>
    <t>S190126</t>
  </si>
  <si>
    <t>Use 7660B Sample 4590</t>
  </si>
  <si>
    <t>#60-DLB</t>
  </si>
  <si>
    <t>F^170^25^F10^295^22</t>
  </si>
  <si>
    <t>HS STP RMVR #570-0620 /48</t>
  </si>
  <si>
    <t>#61-DLB</t>
  </si>
  <si>
    <t>F^170^25^F10^287^22</t>
  </si>
  <si>
    <t>Ster Staple Remover/48</t>
  </si>
  <si>
    <t>#9-DLB</t>
  </si>
  <si>
    <t>6878R1</t>
  </si>
  <si>
    <t>X^008^58^68^901^56</t>
  </si>
  <si>
    <t>Sterile Nerve Block Ty10c</t>
  </si>
  <si>
    <t>#7-DLB</t>
  </si>
  <si>
    <t>#10-DLB</t>
  </si>
  <si>
    <t>2655R1</t>
  </si>
  <si>
    <t>Ster Nerve Block Ty 10cs</t>
  </si>
  <si>
    <t>#23-DLB</t>
  </si>
  <si>
    <t>B7345R1</t>
  </si>
  <si>
    <t>X^010^58^68^901^56</t>
  </si>
  <si>
    <t>Ster 3.2MM Pellet/In/T/20</t>
  </si>
  <si>
    <t>#24-DLB</t>
  </si>
  <si>
    <t>B8108R1</t>
  </si>
  <si>
    <t>Ster SS 3.2MM/P/Ins/Ty20c</t>
  </si>
  <si>
    <t>#25-D</t>
  </si>
  <si>
    <t>8583R1</t>
  </si>
  <si>
    <t>Ster Dr. Carnes N/B 10/RX</t>
  </si>
  <si>
    <t>#26-D</t>
  </si>
  <si>
    <t>9559R2</t>
  </si>
  <si>
    <t>X^010^58^68^951^59</t>
  </si>
  <si>
    <t>Ster Support Tray 10/cs</t>
  </si>
  <si>
    <t>#19-DS</t>
  </si>
  <si>
    <t>W648B</t>
  </si>
  <si>
    <t>W^009^00^00^924^59</t>
  </si>
  <si>
    <t>Ster Lumbar Tray W/20g10c</t>
  </si>
  <si>
    <t>2010003W</t>
  </si>
  <si>
    <t>#20-DLBS</t>
  </si>
  <si>
    <t>W649B</t>
  </si>
  <si>
    <t>Ster Lumbar Tray w/22g10c</t>
  </si>
  <si>
    <t>2010007W</t>
  </si>
  <si>
    <t>#21-DLB</t>
  </si>
  <si>
    <t>W1993R2</t>
  </si>
  <si>
    <t>W^009^00^00^914^59</t>
  </si>
  <si>
    <t>Ster Austin R/A/M/Ty10cRX</t>
  </si>
  <si>
    <t>2010001W</t>
  </si>
  <si>
    <t xml:space="preserve">1992C Make in House </t>
  </si>
  <si>
    <t>#71-DS</t>
  </si>
  <si>
    <t>W150</t>
  </si>
  <si>
    <t>Ster 1/2"Tbg&amp;Hdle&amp;Adap/25</t>
  </si>
  <si>
    <t>2020047W</t>
  </si>
  <si>
    <t>#86-DLB</t>
  </si>
  <si>
    <t>E^170^29^E3^295^45</t>
  </si>
  <si>
    <t>M(63200)STER IV S/KIT 50</t>
  </si>
  <si>
    <t>#95-DLB</t>
  </si>
  <si>
    <t>STER 5 1/2"S/BLUNT/S/50CS</t>
  </si>
  <si>
    <t>#105-D</t>
  </si>
  <si>
    <t>E^170^05^E8^287^07</t>
  </si>
  <si>
    <t>Ster 5 1/4" S/B Scr/100</t>
  </si>
  <si>
    <t>#77-DLB</t>
  </si>
  <si>
    <t>Ster 11MM Cvd Curette/ 25</t>
  </si>
  <si>
    <t>#78-DLBS</t>
  </si>
  <si>
    <t>Ster Yank w/o Vent/50</t>
  </si>
  <si>
    <t>#79-DLB</t>
  </si>
  <si>
    <t>Ster 9mm Str. Curette/25</t>
  </si>
  <si>
    <t>#88-DLB</t>
  </si>
  <si>
    <t>#27-DLB</t>
  </si>
  <si>
    <t>X^009^58^68^926^56</t>
  </si>
  <si>
    <t>Ster Lacer Ty/W/Sut/G/10C</t>
  </si>
  <si>
    <t>#34-DLB</t>
  </si>
  <si>
    <t>8786R1</t>
  </si>
  <si>
    <t>Ster Pellet INSERT Ty20cs</t>
  </si>
  <si>
    <t>#35-DLB</t>
  </si>
  <si>
    <t>X^008^58^68^924^56</t>
  </si>
  <si>
    <t>DR.Gage sterile Pain Ty20</t>
  </si>
  <si>
    <t>#62-D</t>
  </si>
  <si>
    <t>B8110R1</t>
  </si>
  <si>
    <t>Ster SS 3.2mm P/Ins/Ty20</t>
  </si>
  <si>
    <t>#63-D</t>
  </si>
  <si>
    <t>X^007^59^71^928^57</t>
  </si>
  <si>
    <t>Ster Veterinay Basic T5cs</t>
  </si>
  <si>
    <t>THIS KIT REQURES EXTRA AERATION</t>
  </si>
  <si>
    <t>#48-D</t>
  </si>
  <si>
    <t>B1118</t>
  </si>
  <si>
    <t>Ster Female P/Insert K20c</t>
  </si>
  <si>
    <t>8408C Make in House</t>
  </si>
  <si>
    <t>#49-DLB</t>
  </si>
  <si>
    <t>5684R1</t>
  </si>
  <si>
    <t>X^009^58^68^922^58</t>
  </si>
  <si>
    <t>Ster Nerve Block Ty10C EX</t>
  </si>
  <si>
    <t>#50-DLB</t>
  </si>
  <si>
    <t>6133R1</t>
  </si>
  <si>
    <t>X^008^58^68^906^58</t>
  </si>
  <si>
    <t>#51-DLB</t>
  </si>
  <si>
    <t>#52-DLB</t>
  </si>
  <si>
    <t>8499R1</t>
  </si>
  <si>
    <t>X^009^58^68^902^56</t>
  </si>
  <si>
    <t>STERILE PAIN TRAY 20/CS</t>
  </si>
  <si>
    <t>#53-DLB</t>
  </si>
  <si>
    <t>9258R1</t>
  </si>
  <si>
    <t>Ster Epidural Ty 10 RX EX</t>
  </si>
  <si>
    <t>#37-DLB</t>
  </si>
  <si>
    <t>W8917R1</t>
  </si>
  <si>
    <t>CNV2^DV2</t>
  </si>
  <si>
    <t>W^010^00^00^950^56</t>
  </si>
  <si>
    <t>Ster Bone M/Biopsy Ty10RX</t>
  </si>
  <si>
    <t>2020024W</t>
  </si>
  <si>
    <t>6300A Make in House</t>
  </si>
  <si>
    <t>#29-D</t>
  </si>
  <si>
    <t>W7998R1</t>
  </si>
  <si>
    <t>Ster Skin Biopsy Kit 50c</t>
  </si>
  <si>
    <t>2020001W</t>
  </si>
  <si>
    <t>#39-D</t>
  </si>
  <si>
    <t>WPPCD645</t>
  </si>
  <si>
    <t>W^008^00^00^913^59</t>
  </si>
  <si>
    <t>S/PYROGEN PROCESS C/D/LUM</t>
  </si>
  <si>
    <t>2010005W</t>
  </si>
  <si>
    <t>#38-DLB</t>
  </si>
  <si>
    <t>W656</t>
  </si>
  <si>
    <t>W^010^00^00^914^59</t>
  </si>
  <si>
    <t>SterMyelogramTray 10cs RX</t>
  </si>
  <si>
    <t>2010013W</t>
  </si>
  <si>
    <t>EXTRA CASE INCLUDED FOR PYROGEN TESTING</t>
  </si>
  <si>
    <t>6500A-2</t>
  </si>
  <si>
    <t>G^370^16^G3^000^00</t>
  </si>
  <si>
    <t>BUSSEAMNIO/ARTHRO24MILTRY</t>
  </si>
  <si>
    <t>6520A-1</t>
  </si>
  <si>
    <t>G^370^16^G5^000^00</t>
  </si>
  <si>
    <t>24MIL BONEMARROWTRAY/TOP</t>
  </si>
  <si>
    <t>M^220^12^M1^000^00</t>
  </si>
  <si>
    <t>Two Comp Tray</t>
  </si>
  <si>
    <t>All sterilization related documents have been determined to be present, complete and meets the Sterilization</t>
  </si>
  <si>
    <t>process requirements.</t>
  </si>
  <si>
    <t>No growth was found in the BI's and the BI's result is acceptable per ISO 11135:1014.</t>
  </si>
  <si>
    <t>Reviewed By and Date:</t>
  </si>
  <si>
    <t>#105-DLB</t>
  </si>
  <si>
    <t>#163-DLB</t>
  </si>
  <si>
    <t>VA^325^08^VA^287^25</t>
  </si>
  <si>
    <t>Ster Posi-Grip Forcep/100</t>
  </si>
  <si>
    <t>ADDITIONAL 11 PIECES REQUIRED FOR BIO-BURDEN TESTING</t>
  </si>
  <si>
    <t>#108-DS</t>
  </si>
  <si>
    <t>V^315^02^V1^287^30</t>
  </si>
  <si>
    <t>Ster 12FR Frazier/50</t>
  </si>
  <si>
    <t>#109-DLBS</t>
  </si>
  <si>
    <t>V^315^02^V1^287^20</t>
  </si>
  <si>
    <t>Ster 8FR Frazier/50</t>
  </si>
  <si>
    <t>EXPORT ORDER</t>
  </si>
  <si>
    <t>#114-DLBS</t>
  </si>
  <si>
    <t>C/Health K71 Ster 8FR/F50</t>
  </si>
  <si>
    <t>#134-DLBS</t>
  </si>
  <si>
    <t>1629 due 1/15</t>
  </si>
  <si>
    <t>#115-DLB</t>
  </si>
  <si>
    <t>Ster Suture Kit/50</t>
  </si>
  <si>
    <t>#90-DLB</t>
  </si>
  <si>
    <t>X^007^59^71^000^57</t>
  </si>
  <si>
    <t>Ster Vetinary B/Pack 5/cs</t>
  </si>
  <si>
    <t>THIS KIT REQUIRES EXTRA AERATION</t>
  </si>
  <si>
    <t>#65-DLB</t>
  </si>
  <si>
    <t>B1120</t>
  </si>
  <si>
    <t>Ster Male4.5MM P/Inse T20</t>
  </si>
  <si>
    <t>8408C Make in House; LATE</t>
  </si>
  <si>
    <t>#116-DL</t>
  </si>
  <si>
    <t>B8109</t>
  </si>
  <si>
    <t>SterSS 3.2MM P/I MEDPVP20</t>
  </si>
  <si>
    <t>#106-DLB</t>
  </si>
  <si>
    <t>2740R2</t>
  </si>
  <si>
    <t>X^008^58^68^922^56</t>
  </si>
  <si>
    <t>Ster Nerve Block Ty10cs</t>
  </si>
  <si>
    <t xml:space="preserve"> LATE</t>
  </si>
  <si>
    <t>#138-D</t>
  </si>
  <si>
    <t>8329A Reject</t>
  </si>
  <si>
    <t>#81-DLB</t>
  </si>
  <si>
    <t>X^011^58^68^902^59</t>
  </si>
  <si>
    <t>#84-DLB</t>
  </si>
  <si>
    <t>8488R1</t>
  </si>
  <si>
    <t>#111-D</t>
  </si>
  <si>
    <t>5552R1</t>
  </si>
  <si>
    <t>X^009^58^68^922^56</t>
  </si>
  <si>
    <t>Sterile Epidural Ty10c/RX</t>
  </si>
  <si>
    <t>#112-D</t>
  </si>
  <si>
    <t>5553R2</t>
  </si>
  <si>
    <t>Ster Univ Block Try 10/CS</t>
  </si>
  <si>
    <t>#91-DLS</t>
  </si>
  <si>
    <t>W957</t>
  </si>
  <si>
    <t>SterS/ArthrogrmTry10cs RX</t>
  </si>
  <si>
    <t>2010016W</t>
  </si>
  <si>
    <t>#100-DLS</t>
  </si>
  <si>
    <t>W646</t>
  </si>
  <si>
    <t>SterPedLumbr w/oMan/10 RX</t>
  </si>
  <si>
    <t>2010018W</t>
  </si>
  <si>
    <t>#101-D</t>
  </si>
  <si>
    <t>W946</t>
  </si>
  <si>
    <t>SterPedLumbr SAFETY/10 RX</t>
  </si>
  <si>
    <t>2010014W</t>
  </si>
  <si>
    <t>7102A due 1/20</t>
  </si>
  <si>
    <t>#120-DLBS</t>
  </si>
  <si>
    <t>Ster Trach Set/24</t>
  </si>
  <si>
    <t xml:space="preserve">EXPEDITE ON BACK ORDER </t>
  </si>
  <si>
    <t>#122-DLBS</t>
  </si>
  <si>
    <t>EXPEDITE LOW STOCK</t>
  </si>
  <si>
    <t>#123-DLBS</t>
  </si>
  <si>
    <t>Ster Trach Set 20/cs</t>
  </si>
  <si>
    <t>ADDITIONAL CASE REQUIRED BY M VERA FOR RE-VALIDATION</t>
  </si>
  <si>
    <t>#124-DLBS</t>
  </si>
  <si>
    <t>Sterile Trach Set 20cs</t>
  </si>
  <si>
    <t>DLBS</t>
  </si>
  <si>
    <t>#119-DLB</t>
  </si>
  <si>
    <t>B9175R1</t>
  </si>
  <si>
    <t>Ster F/SS 3.5mm P/Ins T20</t>
  </si>
  <si>
    <t>2257B Make in House;8408C Make in House; 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</si>
</sst>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d\,\ yyyy"/>
  </numFmts>
  <fonts count="95">
    <font>
      <sz val="10"/>
      <name val="Arial Rounded MT Bold"/>
      <family val="2"/>
    </font>
    <font>
      <b/>
      <sz val="14"/>
      <name val="Arial Rounded MT Bold"/>
      <family val="2"/>
    </font>
    <font>
      <b/>
      <sz val="10"/>
      <name val="Arial Rounded MT Bold"/>
      <family val="2"/>
    </font>
    <font>
      <sz val="28"/>
      <name val="Arial Rounded MT Bold"/>
      <family val="2"/>
    </font>
    <font>
      <sz val="16"/>
      <name val="Arial Rounded MT Bold"/>
      <family val="2"/>
    </font>
    <font>
      <sz val="26"/>
      <name val="Arial Rounded MT Bold"/>
      <family val="2"/>
    </font>
    <font>
      <sz val="20"/>
      <name val="Arial Rounded MT Bold"/>
      <family val="2"/>
    </font>
    <font>
      <sz val="32"/>
      <name val="Arial Rounded MT Bold"/>
      <family val="2"/>
    </font>
    <font>
      <sz val="48"/>
      <name val="Arial Rounded MT Bold"/>
      <family val="2"/>
    </font>
    <font>
      <sz val="22"/>
      <name val="Arial Rounded MT Bold"/>
      <family val="2"/>
    </font>
    <font>
      <sz val="14"/>
      <name val="Arial Rounded MT Bold"/>
      <family val="2"/>
    </font>
    <font>
      <sz val="12"/>
      <name val="Arial Rounded MT Bold"/>
      <family val="2"/>
    </font>
    <font>
      <sz val="18"/>
      <name val="Arial Rounded MT Bold"/>
      <family val="2"/>
    </font>
    <font>
      <sz val="36"/>
      <name val="Arial Rounded MT Bold"/>
      <family val="2"/>
    </font>
    <font>
      <b/>
      <i/>
      <sz val="10"/>
      <name val="Arial"/>
      <family val="2"/>
    </font>
    <font>
      <i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name val="Times New Roman"/>
      <family val="1"/>
    </font>
    <font>
      <sz val="120"/>
      <name val="Arial Rounded MT Bold"/>
      <family val="2"/>
    </font>
    <font>
      <sz val="72"/>
      <name val="Times New Roman"/>
      <family val="1"/>
    </font>
    <font>
      <sz val="72"/>
      <name val="Arial Rounded MT Bold"/>
      <family val="2"/>
    </font>
    <font>
      <sz val="10"/>
      <name val="Tahoma"/>
      <family val="2"/>
    </font>
    <font>
      <sz val="8"/>
      <name val="Tahoma"/>
      <family val="2"/>
    </font>
    <font>
      <sz val="11"/>
      <name val="Tahoma"/>
      <family val="2"/>
    </font>
    <font>
      <sz val="48"/>
      <name val="Busse99"/>
    </font>
    <font>
      <sz val="16"/>
      <name val="Tahoma"/>
      <family val="2"/>
    </font>
    <font>
      <u/>
      <sz val="16"/>
      <name val="Tahoma"/>
      <family val="2"/>
    </font>
    <font>
      <b/>
      <sz val="11"/>
      <name val="Tahoma"/>
      <family val="2"/>
    </font>
    <font>
      <sz val="11"/>
      <color theme="0"/>
      <name val="Tahoma"/>
      <family val="2"/>
    </font>
    <font>
      <sz val="20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b/>
      <sz val="12"/>
      <name val="Tahoma"/>
      <family val="2"/>
    </font>
    <font>
      <b/>
      <sz val="20"/>
      <name val="Tahoma"/>
      <family val="2"/>
    </font>
    <font>
      <b/>
      <i/>
      <sz val="8"/>
      <name val="Arial"/>
      <family val="2"/>
    </font>
    <font>
      <b/>
      <sz val="48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sz val="14"/>
      <name val="Times New Roman"/>
      <family val="1"/>
    </font>
    <font>
      <b/>
      <sz val="16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6"/>
      <name val="Univers Condensed"/>
      <family val="2"/>
    </font>
    <font>
      <b/>
      <sz val="10"/>
      <name val="Univers Condensed"/>
      <family val="2"/>
    </font>
    <font>
      <sz val="11"/>
      <color indexed="9"/>
      <name val="Tahoma"/>
      <family val="2"/>
    </font>
    <font>
      <b/>
      <sz val="11"/>
      <color indexed="9"/>
      <name val="Univers Condensed"/>
      <family val="2"/>
    </font>
    <font>
      <b/>
      <sz val="12"/>
      <color indexed="9"/>
      <name val="Univers Condensed"/>
      <family val="2"/>
    </font>
    <font>
      <sz val="10"/>
      <name val="Univers Condensed"/>
      <family val="2"/>
    </font>
    <font>
      <sz val="11"/>
      <name val="Univers Condensed"/>
      <family val="2"/>
    </font>
    <font>
      <sz val="11"/>
      <name val="Times New Roman"/>
      <family val="1"/>
    </font>
    <font>
      <sz val="11"/>
      <name val="Tahoma"/>
      <family val="2"/>
    </font>
    <font>
      <sz val="10.5"/>
      <name val="Times New Roman"/>
      <family val="1"/>
    </font>
    <font>
      <sz val="10.5"/>
      <name val="Tahoma"/>
      <family val="2"/>
    </font>
    <font>
      <i/>
      <sz val="8"/>
      <name val="Univers Condensed"/>
      <family val="2"/>
    </font>
    <font>
      <i/>
      <sz val="8"/>
      <name val="Tahoma"/>
      <family val="2"/>
    </font>
    <font>
      <b/>
      <sz val="12"/>
      <name val="Univers Condensed"/>
      <family val="2"/>
    </font>
    <font>
      <sz val="12"/>
      <name val="Univers Condensed"/>
      <family val="2"/>
    </font>
    <font>
      <b/>
      <sz val="11"/>
      <name val="Univers Condensed"/>
      <family val="2"/>
    </font>
    <font>
      <sz val="12"/>
      <name val="Tahoma"/>
      <family val="2"/>
    </font>
    <font>
      <b/>
      <sz val="14"/>
      <name val="Univers Condensed"/>
      <family val="2"/>
    </font>
    <font>
      <b/>
      <sz val="12"/>
      <color indexed="9"/>
      <name val="Times New Roman"/>
      <family val="1"/>
    </font>
    <font>
      <b/>
      <sz val="11"/>
      <color indexed="9"/>
      <name val="Tahoma"/>
      <family val="2"/>
    </font>
    <font>
      <sz val="8"/>
      <name val="Univers Condensed"/>
      <family val="2"/>
    </font>
    <font>
      <b/>
      <sz val="8"/>
      <name val="Univers Condensed"/>
      <family val="2"/>
    </font>
    <font>
      <i/>
      <sz val="7"/>
      <name val="Univers Condensed"/>
      <family val="2"/>
    </font>
    <font>
      <sz val="6"/>
      <name val="Univers Condensed"/>
      <family val="2"/>
    </font>
    <font>
      <b/>
      <sz val="28"/>
      <name val="Arial"/>
      <family val="2"/>
    </font>
    <font>
      <b/>
      <sz val="24"/>
      <name val="Arial"/>
      <family val="2"/>
    </font>
    <font>
      <sz val="10"/>
      <color theme="0" tint="-4.9989318521683403E-2"/>
      <name val="Arial Rounded MT Bold"/>
      <family val="2"/>
    </font>
    <font>
      <b/>
      <sz val="11"/>
      <name val="Arial Rounded MT Bold"/>
      <family val="2"/>
    </font>
    <font>
      <b/>
      <sz val="12"/>
      <name val="Arial Rounded MT Bold"/>
      <family val="2"/>
    </font>
    <font>
      <sz val="10"/>
      <color rgb="FF000000"/>
      <name val="Arial Rounded MT Bold"/>
      <family val="2"/>
    </font>
    <font>
      <b/>
      <sz val="16"/>
      <name val="Arial Rounded MT Bold"/>
      <family val="2"/>
    </font>
    <font>
      <sz val="8"/>
      <name val="Arial"/>
      <family val="2"/>
    </font>
    <font>
      <u/>
      <sz val="48"/>
      <name val="Times New Roman"/>
      <family val="1"/>
    </font>
    <font>
      <b/>
      <i/>
      <sz val="8"/>
      <name val="Tahoma"/>
      <family val="2"/>
    </font>
    <font>
      <sz val="10"/>
      <color rgb="FFFF0000"/>
      <name val="Arial Rounded MT Bold"/>
      <family val="2"/>
    </font>
    <font>
      <sz val="10"/>
      <color theme="0"/>
      <name val="Arial Rounded MT Bold"/>
      <family val="2"/>
    </font>
    <font>
      <b/>
      <i/>
      <sz val="12"/>
      <name val="Tahoma"/>
      <family val="2"/>
    </font>
    <font>
      <i/>
      <sz val="10"/>
      <name val="Tahoma"/>
      <family val="2"/>
    </font>
    <font>
      <sz val="10"/>
      <color theme="0" tint="-0.34998626667073579"/>
      <name val="Arial Rounded MT Bold"/>
      <family val="2"/>
    </font>
    <font>
      <i/>
      <sz val="11"/>
      <color indexed="9"/>
      <name val="Rage Italic"/>
      <family val="4"/>
    </font>
    <font>
      <sz val="5"/>
      <name val="Univers Condensed"/>
      <family val="2"/>
    </font>
    <font>
      <sz val="10"/>
      <color rgb="FF000000"/>
      <name val="Calibri"/>
      <family val="2"/>
      <scheme val="minor"/>
    </font>
    <font>
      <sz val="11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i/>
      <sz val="15"/>
      <name val="Tahoma"/>
      <family val="2"/>
    </font>
    <font>
      <sz val="15"/>
      <name val="Tahoma"/>
      <family val="2"/>
    </font>
    <font>
      <b/>
      <sz val="12"/>
      <color theme="1"/>
      <name val="Tahoma"/>
      <family val="2"/>
    </font>
    <font>
      <b/>
      <i/>
      <sz val="12"/>
      <color theme="1"/>
      <name val="Tahoma"/>
      <family val="2"/>
    </font>
    <font>
      <i/>
      <sz val="12"/>
      <color theme="1"/>
      <name val="Tahoma"/>
      <family val="2"/>
    </font>
    <font>
      <sz val="12"/>
      <color theme="1"/>
      <name val="Tahoma"/>
      <family val="2"/>
    </font>
    <font>
      <sz val="16"/>
      <name val="Univers Condensed"/>
      <family val="2"/>
    </font>
    <font>
      <sz val="14"/>
      <name val="Univers Condensed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4" fillId="0" borderId="0"/>
    <xf numFmtId="0" fontId="24" fillId="0" borderId="0"/>
  </cellStyleXfs>
  <cellXfs count="49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/>
    <xf numFmtId="0" fontId="1" fillId="0" borderId="0" xfId="0" applyFont="1" applyAlignment="1">
      <alignment horizontal="right"/>
    </xf>
    <xf numFmtId="0" fontId="4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 applyBorder="1" applyAlignment="1">
      <alignment horizontal="right"/>
    </xf>
    <xf numFmtId="0" fontId="6" fillId="0" borderId="1" xfId="0" applyFont="1" applyBorder="1" applyAlignment="1"/>
    <xf numFmtId="0" fontId="0" fillId="0" borderId="1" xfId="0" applyBorder="1"/>
    <xf numFmtId="0" fontId="9" fillId="0" borderId="1" xfId="0" applyFont="1" applyBorder="1" applyAlignment="1">
      <alignment horizontal="right"/>
    </xf>
    <xf numFmtId="0" fontId="5" fillId="0" borderId="1" xfId="0" applyFont="1" applyBorder="1" applyAlignment="1" applyProtection="1">
      <alignment horizontal="left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Border="1" applyAlignment="1" applyProtection="1">
      <alignment horizontal="right"/>
      <protection locked="0"/>
    </xf>
    <xf numFmtId="0" fontId="10" fillId="0" borderId="1" xfId="0" applyFont="1" applyBorder="1"/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0" fontId="4" fillId="0" borderId="0" xfId="0" applyFont="1" applyAlignment="1">
      <alignment horizontal="right"/>
    </xf>
    <xf numFmtId="0" fontId="10" fillId="0" borderId="0" xfId="0" applyFont="1"/>
    <xf numFmtId="0" fontId="0" fillId="0" borderId="0" xfId="0" applyAlignment="1">
      <alignment horizontal="right"/>
    </xf>
    <xf numFmtId="0" fontId="11" fillId="0" borderId="0" xfId="0" applyFont="1"/>
    <xf numFmtId="0" fontId="11" fillId="0" borderId="0" xfId="0" applyFont="1" applyBorder="1" applyAlignment="1" applyProtection="1">
      <protection locked="0"/>
    </xf>
    <xf numFmtId="0" fontId="12" fillId="0" borderId="0" xfId="0" applyFont="1" applyAlignment="1"/>
    <xf numFmtId="0" fontId="12" fillId="0" borderId="0" xfId="0" applyFont="1"/>
    <xf numFmtId="0" fontId="12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5" fillId="0" borderId="0" xfId="0" applyFont="1"/>
    <xf numFmtId="3" fontId="0" fillId="0" borderId="0" xfId="0" applyNumberFormat="1"/>
    <xf numFmtId="0" fontId="0" fillId="0" borderId="0" xfId="0" applyAlignment="1"/>
    <xf numFmtId="0" fontId="19" fillId="0" borderId="0" xfId="0" applyFont="1"/>
    <xf numFmtId="0" fontId="20" fillId="0" borderId="0" xfId="0" applyFont="1"/>
    <xf numFmtId="0" fontId="3" fillId="0" borderId="0" xfId="0" applyFont="1"/>
    <xf numFmtId="0" fontId="22" fillId="0" borderId="0" xfId="0" applyFont="1"/>
    <xf numFmtId="0" fontId="25" fillId="0" borderId="0" xfId="1" applyFont="1"/>
    <xf numFmtId="0" fontId="24" fillId="0" borderId="0" xfId="1"/>
    <xf numFmtId="0" fontId="29" fillId="0" borderId="0" xfId="1" applyFont="1"/>
    <xf numFmtId="0" fontId="24" fillId="0" borderId="0" xfId="1" applyFont="1"/>
    <xf numFmtId="0" fontId="24" fillId="2" borderId="5" xfId="1" applyFill="1" applyBorder="1"/>
    <xf numFmtId="0" fontId="24" fillId="2" borderId="6" xfId="1" applyFill="1" applyBorder="1"/>
    <xf numFmtId="0" fontId="24" fillId="0" borderId="0" xfId="1" applyBorder="1"/>
    <xf numFmtId="0" fontId="24" fillId="2" borderId="0" xfId="1" applyFill="1" applyProtection="1">
      <protection locked="0"/>
    </xf>
    <xf numFmtId="0" fontId="24" fillId="0" borderId="3" xfId="1" applyBorder="1" applyProtection="1">
      <protection locked="0"/>
    </xf>
    <xf numFmtId="0" fontId="24" fillId="0" borderId="7" xfId="1" applyBorder="1" applyAlignment="1" applyProtection="1">
      <alignment horizontal="center"/>
      <protection locked="0"/>
    </xf>
    <xf numFmtId="0" fontId="24" fillId="0" borderId="18" xfId="1" applyBorder="1" applyAlignment="1" applyProtection="1">
      <alignment horizontal="center"/>
      <protection locked="0"/>
    </xf>
    <xf numFmtId="0" fontId="24" fillId="0" borderId="19" xfId="1" applyBorder="1" applyAlignment="1" applyProtection="1">
      <alignment horizontal="center"/>
      <protection locked="0"/>
    </xf>
    <xf numFmtId="0" fontId="24" fillId="0" borderId="8" xfId="1" applyBorder="1" applyProtection="1">
      <protection locked="0"/>
    </xf>
    <xf numFmtId="0" fontId="24" fillId="0" borderId="7" xfId="1" applyBorder="1" applyProtection="1">
      <protection locked="0"/>
    </xf>
    <xf numFmtId="0" fontId="24" fillId="0" borderId="18" xfId="1" applyBorder="1" applyProtection="1">
      <protection locked="0"/>
    </xf>
    <xf numFmtId="0" fontId="24" fillId="0" borderId="19" xfId="1" applyBorder="1" applyProtection="1">
      <protection locked="0"/>
    </xf>
    <xf numFmtId="0" fontId="24" fillId="0" borderId="10" xfId="1" applyBorder="1" applyProtection="1">
      <protection locked="0"/>
    </xf>
    <xf numFmtId="0" fontId="24" fillId="0" borderId="11" xfId="1" applyBorder="1" applyProtection="1">
      <protection locked="0"/>
    </xf>
    <xf numFmtId="0" fontId="24" fillId="0" borderId="21" xfId="1" applyBorder="1" applyProtection="1">
      <protection locked="0"/>
    </xf>
    <xf numFmtId="0" fontId="32" fillId="0" borderId="2" xfId="1" applyFont="1" applyBorder="1"/>
    <xf numFmtId="0" fontId="24" fillId="0" borderId="3" xfId="1" applyBorder="1"/>
    <xf numFmtId="0" fontId="23" fillId="0" borderId="3" xfId="1" applyFont="1" applyBorder="1" applyAlignment="1" applyProtection="1">
      <alignment horizontal="left"/>
      <protection locked="0"/>
    </xf>
    <xf numFmtId="0" fontId="24" fillId="0" borderId="4" xfId="1" applyBorder="1" applyProtection="1">
      <protection locked="0"/>
    </xf>
    <xf numFmtId="49" fontId="14" fillId="0" borderId="0" xfId="1" applyNumberFormat="1" applyFont="1"/>
    <xf numFmtId="0" fontId="15" fillId="0" borderId="0" xfId="1" applyFont="1" applyBorder="1"/>
    <xf numFmtId="0" fontId="35" fillId="0" borderId="0" xfId="1" applyFont="1" applyBorder="1"/>
    <xf numFmtId="0" fontId="15" fillId="0" borderId="0" xfId="1" applyFont="1"/>
    <xf numFmtId="0" fontId="14" fillId="0" borderId="0" xfId="1" applyFont="1" applyBorder="1" applyAlignment="1">
      <alignment horizontal="right"/>
    </xf>
    <xf numFmtId="0" fontId="36" fillId="0" borderId="0" xfId="0" applyFont="1" applyAlignment="1">
      <alignment textRotation="90"/>
    </xf>
    <xf numFmtId="0" fontId="37" fillId="0" borderId="0" xfId="0" applyFont="1"/>
    <xf numFmtId="0" fontId="39" fillId="0" borderId="0" xfId="0" applyFont="1" applyAlignment="1">
      <alignment horizontal="right"/>
    </xf>
    <xf numFmtId="0" fontId="39" fillId="0" borderId="0" xfId="0" applyFont="1"/>
    <xf numFmtId="0" fontId="40" fillId="0" borderId="0" xfId="0" applyFont="1"/>
    <xf numFmtId="0" fontId="41" fillId="0" borderId="0" xfId="0" applyFont="1"/>
    <xf numFmtId="0" fontId="36" fillId="0" borderId="0" xfId="0" applyFont="1" applyAlignment="1">
      <alignment horizontal="right" vertical="top" textRotation="90"/>
    </xf>
    <xf numFmtId="0" fontId="37" fillId="0" borderId="0" xfId="0" applyFont="1" applyAlignment="1">
      <alignment horizontal="right"/>
    </xf>
    <xf numFmtId="0" fontId="37" fillId="0" borderId="22" xfId="0" applyFont="1" applyBorder="1"/>
    <xf numFmtId="49" fontId="37" fillId="0" borderId="22" xfId="0" applyNumberFormat="1" applyFont="1" applyBorder="1"/>
    <xf numFmtId="0" fontId="37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37" fillId="0" borderId="9" xfId="0" applyFont="1" applyBorder="1"/>
    <xf numFmtId="0" fontId="42" fillId="0" borderId="0" xfId="0" applyFont="1"/>
    <xf numFmtId="0" fontId="25" fillId="0" borderId="24" xfId="0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24" fillId="0" borderId="0" xfId="0" applyFont="1"/>
    <xf numFmtId="0" fontId="49" fillId="0" borderId="24" xfId="0" applyFont="1" applyBorder="1" applyAlignment="1" applyProtection="1">
      <alignment horizontal="left" vertical="top"/>
      <protection hidden="1"/>
    </xf>
    <xf numFmtId="0" fontId="49" fillId="0" borderId="25" xfId="0" applyFont="1" applyBorder="1" applyAlignment="1" applyProtection="1">
      <alignment horizontal="left" vertical="top"/>
      <protection hidden="1"/>
    </xf>
    <xf numFmtId="0" fontId="24" fillId="0" borderId="25" xfId="0" applyFont="1" applyBorder="1" applyProtection="1">
      <protection hidden="1"/>
    </xf>
    <xf numFmtId="0" fontId="24" fillId="0" borderId="26" xfId="0" applyFont="1" applyBorder="1" applyProtection="1">
      <protection hidden="1"/>
    </xf>
    <xf numFmtId="0" fontId="0" fillId="0" borderId="22" xfId="0" applyBorder="1"/>
    <xf numFmtId="0" fontId="0" fillId="0" borderId="7" xfId="0" applyBorder="1"/>
    <xf numFmtId="0" fontId="0" fillId="0" borderId="30" xfId="0" applyBorder="1"/>
    <xf numFmtId="0" fontId="0" fillId="0" borderId="8" xfId="0" applyBorder="1"/>
    <xf numFmtId="0" fontId="0" fillId="0" borderId="5" xfId="0" applyBorder="1"/>
    <xf numFmtId="0" fontId="24" fillId="0" borderId="22" xfId="0" applyFont="1" applyBorder="1" applyProtection="1">
      <protection hidden="1"/>
    </xf>
    <xf numFmtId="0" fontId="24" fillId="0" borderId="0" xfId="0" applyFont="1" applyProtection="1">
      <protection hidden="1"/>
    </xf>
    <xf numFmtId="0" fontId="24" fillId="0" borderId="5" xfId="0" applyFont="1" applyBorder="1" applyProtection="1">
      <protection hidden="1"/>
    </xf>
    <xf numFmtId="0" fontId="49" fillId="0" borderId="27" xfId="0" applyFont="1" applyBorder="1" applyAlignment="1" applyProtection="1">
      <alignment horizontal="left" vertical="top"/>
      <protection hidden="1"/>
    </xf>
    <xf numFmtId="0" fontId="49" fillId="0" borderId="0" xfId="0" applyFont="1" applyAlignment="1" applyProtection="1">
      <alignment horizontal="left" vertical="top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50" fillId="0" borderId="27" xfId="0" applyFont="1" applyBorder="1" applyProtection="1">
      <protection hidden="1"/>
    </xf>
    <xf numFmtId="0" fontId="50" fillId="0" borderId="0" xfId="0" applyFont="1" applyProtection="1">
      <protection hidden="1"/>
    </xf>
    <xf numFmtId="0" fontId="51" fillId="0" borderId="0" xfId="0" applyFont="1" applyProtection="1">
      <protection hidden="1"/>
    </xf>
    <xf numFmtId="0" fontId="52" fillId="0" borderId="27" xfId="0" applyFont="1" applyBorder="1" applyAlignment="1" applyProtection="1">
      <alignment vertical="top"/>
      <protection hidden="1"/>
    </xf>
    <xf numFmtId="0" fontId="52" fillId="0" borderId="0" xfId="0" applyFont="1" applyAlignment="1" applyProtection="1">
      <alignment vertical="top"/>
      <protection hidden="1"/>
    </xf>
    <xf numFmtId="0" fontId="53" fillId="0" borderId="0" xfId="0" applyFont="1" applyProtection="1">
      <protection hidden="1"/>
    </xf>
    <xf numFmtId="0" fontId="53" fillId="0" borderId="22" xfId="0" applyFont="1" applyBorder="1" applyProtection="1">
      <protection hidden="1"/>
    </xf>
    <xf numFmtId="0" fontId="0" fillId="0" borderId="7" xfId="0" applyBorder="1" applyProtection="1">
      <protection hidden="1"/>
    </xf>
    <xf numFmtId="0" fontId="49" fillId="0" borderId="27" xfId="0" applyFont="1" applyBorder="1" applyProtection="1">
      <protection hidden="1"/>
    </xf>
    <xf numFmtId="0" fontId="49" fillId="0" borderId="0" xfId="0" applyFont="1" applyProtection="1">
      <protection hidden="1"/>
    </xf>
    <xf numFmtId="0" fontId="54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22" xfId="0" applyBorder="1" applyProtection="1">
      <protection hidden="1"/>
    </xf>
    <xf numFmtId="0" fontId="0" fillId="0" borderId="27" xfId="0" applyBorder="1" applyProtection="1">
      <protection hidden="1"/>
    </xf>
    <xf numFmtId="0" fontId="55" fillId="0" borderId="29" xfId="0" applyFont="1" applyBorder="1" applyProtection="1">
      <protection hidden="1"/>
    </xf>
    <xf numFmtId="0" fontId="55" fillId="0" borderId="7" xfId="0" applyFont="1" applyBorder="1" applyAlignment="1" applyProtection="1">
      <alignment horizontal="right"/>
      <protection hidden="1"/>
    </xf>
    <xf numFmtId="49" fontId="37" fillId="0" borderId="0" xfId="0" applyNumberFormat="1" applyFont="1"/>
    <xf numFmtId="49" fontId="37" fillId="0" borderId="0" xfId="0" applyNumberFormat="1" applyFont="1" applyAlignment="1">
      <alignment horizontal="center"/>
    </xf>
    <xf numFmtId="49" fontId="59" fillId="0" borderId="0" xfId="0" applyNumberFormat="1" applyFont="1"/>
    <xf numFmtId="0" fontId="47" fillId="4" borderId="40" xfId="0" applyFont="1" applyFill="1" applyBorder="1" applyAlignment="1">
      <alignment horizontal="center" vertical="center" wrapText="1"/>
    </xf>
    <xf numFmtId="0" fontId="47" fillId="4" borderId="25" xfId="0" applyFont="1" applyFill="1" applyBorder="1" applyAlignment="1">
      <alignment horizontal="center" vertical="center" wrapText="1"/>
    </xf>
    <xf numFmtId="0" fontId="61" fillId="0" borderId="15" xfId="0" applyFont="1" applyBorder="1" applyAlignment="1" applyProtection="1">
      <alignment horizontal="center" vertical="center"/>
      <protection locked="0"/>
    </xf>
    <xf numFmtId="0" fontId="62" fillId="0" borderId="15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49" fontId="15" fillId="0" borderId="0" xfId="0" applyNumberFormat="1" applyFont="1" applyAlignment="1">
      <alignment vertical="top"/>
    </xf>
    <xf numFmtId="49" fontId="15" fillId="0" borderId="0" xfId="0" quotePrefix="1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right" vertical="top"/>
    </xf>
    <xf numFmtId="49" fontId="66" fillId="0" borderId="0" xfId="0" applyNumberFormat="1" applyFont="1"/>
    <xf numFmtId="0" fontId="6" fillId="0" borderId="0" xfId="0" applyFont="1"/>
    <xf numFmtId="0" fontId="55" fillId="0" borderId="0" xfId="0" applyFont="1"/>
    <xf numFmtId="0" fontId="55" fillId="0" borderId="0" xfId="0" applyFont="1" applyAlignment="1">
      <alignment horizontal="right"/>
    </xf>
    <xf numFmtId="14" fontId="24" fillId="0" borderId="0" xfId="1" quotePrefix="1" applyNumberFormat="1"/>
    <xf numFmtId="0" fontId="24" fillId="0" borderId="0" xfId="1" quotePrefix="1"/>
    <xf numFmtId="14" fontId="0" fillId="0" borderId="0" xfId="0" applyNumberFormat="1"/>
    <xf numFmtId="49" fontId="24" fillId="0" borderId="0" xfId="1" applyNumberFormat="1"/>
    <xf numFmtId="0" fontId="8" fillId="0" borderId="0" xfId="0" applyFont="1" applyBorder="1" applyAlignment="1">
      <alignment horizontal="right"/>
    </xf>
    <xf numFmtId="0" fontId="24" fillId="0" borderId="0" xfId="0" applyNumberFormat="1" applyFont="1" applyProtection="1">
      <protection hidden="1"/>
    </xf>
    <xf numFmtId="0" fontId="0" fillId="0" borderId="0" xfId="0" applyFont="1"/>
    <xf numFmtId="0" fontId="69" fillId="0" borderId="0" xfId="0" applyFont="1"/>
    <xf numFmtId="0" fontId="24" fillId="0" borderId="0" xfId="1" applyFill="1"/>
    <xf numFmtId="0" fontId="0" fillId="0" borderId="0" xfId="0" applyFont="1" applyFill="1" applyProtection="1">
      <protection hidden="1"/>
    </xf>
    <xf numFmtId="0" fontId="44" fillId="0" borderId="0" xfId="0" applyFont="1" applyFill="1" applyProtection="1">
      <protection hidden="1"/>
    </xf>
    <xf numFmtId="0" fontId="24" fillId="0" borderId="0" xfId="1" applyFill="1" applyBorder="1"/>
    <xf numFmtId="0" fontId="30" fillId="0" borderId="0" xfId="1" applyFont="1" applyFill="1" applyBorder="1" applyAlignment="1" applyProtection="1">
      <alignment horizontal="center"/>
      <protection locked="0"/>
    </xf>
    <xf numFmtId="0" fontId="30" fillId="0" borderId="1" xfId="1" applyFont="1" applyFill="1" applyBorder="1" applyAlignment="1" applyProtection="1">
      <alignment horizontal="center"/>
      <protection locked="0"/>
    </xf>
    <xf numFmtId="0" fontId="30" fillId="0" borderId="37" xfId="1" applyFont="1" applyFill="1" applyBorder="1" applyAlignment="1" applyProtection="1">
      <alignment horizontal="center"/>
      <protection locked="0"/>
    </xf>
    <xf numFmtId="0" fontId="24" fillId="0" borderId="0" xfId="1" applyFill="1" applyProtection="1">
      <protection locked="0"/>
    </xf>
    <xf numFmtId="0" fontId="24" fillId="0" borderId="41" xfId="1" applyFill="1" applyBorder="1" applyAlignment="1" applyProtection="1">
      <alignment horizontal="center"/>
      <protection locked="0"/>
    </xf>
    <xf numFmtId="0" fontId="24" fillId="0" borderId="42" xfId="1" applyFill="1" applyBorder="1" applyAlignment="1" applyProtection="1">
      <alignment horizontal="center"/>
      <protection locked="0"/>
    </xf>
    <xf numFmtId="0" fontId="24" fillId="0" borderId="43" xfId="1" applyFill="1" applyBorder="1" applyAlignment="1" applyProtection="1">
      <alignment horizontal="center"/>
      <protection locked="0"/>
    </xf>
    <xf numFmtId="0" fontId="32" fillId="0" borderId="2" xfId="1" applyFont="1" applyFill="1" applyBorder="1" applyAlignment="1">
      <alignment horizontal="left"/>
    </xf>
    <xf numFmtId="0" fontId="28" fillId="0" borderId="2" xfId="1" applyFont="1" applyFill="1" applyBorder="1" applyAlignment="1" applyProtection="1">
      <protection locked="0"/>
    </xf>
    <xf numFmtId="49" fontId="24" fillId="0" borderId="3" xfId="1" applyNumberFormat="1" applyFill="1" applyBorder="1" applyProtection="1">
      <protection locked="0"/>
    </xf>
    <xf numFmtId="0" fontId="34" fillId="0" borderId="4" xfId="1" applyFont="1" applyFill="1" applyBorder="1" applyAlignment="1" applyProtection="1">
      <alignment horizontal="center"/>
      <protection locked="0"/>
    </xf>
    <xf numFmtId="0" fontId="73" fillId="0" borderId="22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0" fillId="0" borderId="5" xfId="0" applyBorder="1"/>
    <xf numFmtId="0" fontId="0" fillId="0" borderId="0" xfId="0"/>
    <xf numFmtId="0" fontId="0" fillId="0" borderId="9" xfId="0" applyBorder="1"/>
    <xf numFmtId="0" fontId="41" fillId="0" borderId="9" xfId="0" applyFont="1" applyBorder="1" applyAlignment="1">
      <alignment horizontal="center"/>
    </xf>
    <xf numFmtId="0" fontId="36" fillId="0" borderId="0" xfId="0" applyFont="1" applyAlignment="1">
      <alignment horizontal="center" textRotation="90"/>
    </xf>
    <xf numFmtId="0" fontId="41" fillId="0" borderId="0" xfId="0" applyFont="1" applyAlignment="1">
      <alignment horizontal="center"/>
    </xf>
    <xf numFmtId="49" fontId="37" fillId="0" borderId="22" xfId="0" applyNumberFormat="1" applyFont="1" applyBorder="1" applyAlignment="1">
      <alignment horizontal="center"/>
    </xf>
    <xf numFmtId="0" fontId="24" fillId="0" borderId="0" xfId="1" applyAlignment="1">
      <alignment horizontal="center"/>
    </xf>
    <xf numFmtId="0" fontId="0" fillId="0" borderId="0" xfId="0"/>
    <xf numFmtId="49" fontId="55" fillId="0" borderId="0" xfId="0" applyNumberFormat="1" applyFont="1"/>
    <xf numFmtId="0" fontId="74" fillId="0" borderId="0" xfId="0" applyFont="1" applyAlignment="1">
      <alignment textRotation="90"/>
    </xf>
    <xf numFmtId="0" fontId="36" fillId="0" borderId="0" xfId="0" applyFont="1" applyAlignment="1">
      <alignment vertical="top" textRotation="90"/>
    </xf>
    <xf numFmtId="0" fontId="24" fillId="0" borderId="20" xfId="1" applyBorder="1" applyAlignment="1">
      <alignment vertical="center"/>
    </xf>
    <xf numFmtId="0" fontId="22" fillId="0" borderId="15" xfId="1" applyFont="1" applyBorder="1" applyAlignment="1">
      <alignment wrapText="1"/>
    </xf>
    <xf numFmtId="0" fontId="24" fillId="0" borderId="15" xfId="1" applyBorder="1" applyAlignment="1">
      <alignment vertical="center"/>
    </xf>
    <xf numFmtId="0" fontId="24" fillId="0" borderId="17" xfId="1" applyBorder="1" applyAlignment="1">
      <alignment wrapText="1"/>
    </xf>
    <xf numFmtId="0" fontId="32" fillId="0" borderId="2" xfId="1" applyFont="1" applyFill="1" applyBorder="1" applyAlignment="1" applyProtection="1">
      <alignment horizontal="left"/>
      <protection locked="0"/>
    </xf>
    <xf numFmtId="0" fontId="22" fillId="0" borderId="36" xfId="1" applyFont="1" applyFill="1" applyBorder="1" applyAlignment="1">
      <alignment wrapText="1"/>
    </xf>
    <xf numFmtId="0" fontId="76" fillId="0" borderId="0" xfId="0" applyFont="1" applyAlignment="1">
      <alignment horizontal="right"/>
    </xf>
    <xf numFmtId="0" fontId="23" fillId="0" borderId="0" xfId="0" applyFont="1"/>
    <xf numFmtId="49" fontId="76" fillId="0" borderId="0" xfId="0" applyNumberFormat="1" applyFont="1"/>
    <xf numFmtId="0" fontId="67" fillId="0" borderId="0" xfId="0" applyFont="1"/>
    <xf numFmtId="0" fontId="68" fillId="0" borderId="0" xfId="0" applyFont="1"/>
    <xf numFmtId="0" fontId="22" fillId="0" borderId="38" xfId="1" applyFont="1" applyFill="1" applyBorder="1" applyAlignment="1">
      <alignment wrapText="1"/>
    </xf>
    <xf numFmtId="0" fontId="0" fillId="0" borderId="0" xfId="0"/>
    <xf numFmtId="0" fontId="22" fillId="0" borderId="0" xfId="0" applyFont="1"/>
    <xf numFmtId="0" fontId="77" fillId="0" borderId="0" xfId="0" applyFont="1" applyAlignment="1"/>
    <xf numFmtId="0" fontId="77" fillId="0" borderId="0" xfId="0" applyFont="1"/>
    <xf numFmtId="0" fontId="78" fillId="0" borderId="0" xfId="0" applyFont="1"/>
    <xf numFmtId="0" fontId="79" fillId="0" borderId="0" xfId="0" applyFont="1" applyAlignment="1">
      <alignment horizontal="left"/>
    </xf>
    <xf numFmtId="0" fontId="80" fillId="0" borderId="0" xfId="0" applyFont="1" applyAlignment="1">
      <alignment horizontal="left"/>
    </xf>
    <xf numFmtId="0" fontId="81" fillId="0" borderId="0" xfId="0" applyFont="1"/>
    <xf numFmtId="0" fontId="77" fillId="0" borderId="0" xfId="0" applyFont="1" applyAlignment="1">
      <alignment vertical="center"/>
    </xf>
    <xf numFmtId="0" fontId="0" fillId="0" borderId="0" xfId="0"/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49" fontId="0" fillId="0" borderId="0" xfId="0" applyNumberFormat="1"/>
    <xf numFmtId="0" fontId="24" fillId="0" borderId="0" xfId="2"/>
    <xf numFmtId="0" fontId="24" fillId="0" borderId="0" xfId="2" applyAlignment="1">
      <alignment horizontal="center"/>
    </xf>
    <xf numFmtId="0" fontId="24" fillId="0" borderId="22" xfId="2" applyBorder="1"/>
    <xf numFmtId="0" fontId="25" fillId="0" borderId="0" xfId="2" applyFont="1"/>
    <xf numFmtId="0" fontId="24" fillId="0" borderId="0" xfId="2" applyAlignment="1">
      <alignment horizontal="center"/>
    </xf>
    <xf numFmtId="0" fontId="37" fillId="0" borderId="0" xfId="2" applyFont="1"/>
    <xf numFmtId="0" fontId="58" fillId="0" borderId="0" xfId="2" applyFont="1" applyAlignment="1">
      <alignment horizontal="left"/>
    </xf>
    <xf numFmtId="0" fontId="58" fillId="0" borderId="0" xfId="2" applyFont="1"/>
    <xf numFmtId="0" fontId="37" fillId="0" borderId="0" xfId="2" applyFont="1" applyAlignment="1">
      <alignment horizontal="center"/>
    </xf>
    <xf numFmtId="0" fontId="47" fillId="4" borderId="44" xfId="2" applyFont="1" applyFill="1" applyBorder="1" applyAlignment="1">
      <alignment horizontal="center" vertical="top" wrapText="1"/>
    </xf>
    <xf numFmtId="0" fontId="47" fillId="4" borderId="45" xfId="2" applyFont="1" applyFill="1" applyBorder="1" applyAlignment="1">
      <alignment horizontal="center" vertical="top" wrapText="1"/>
    </xf>
    <xf numFmtId="0" fontId="47" fillId="4" borderId="46" xfId="2" applyFont="1" applyFill="1" applyBorder="1" applyAlignment="1">
      <alignment horizontal="center" vertical="top" wrapText="1"/>
    </xf>
    <xf numFmtId="0" fontId="47" fillId="4" borderId="46" xfId="2" applyFont="1" applyFill="1" applyBorder="1" applyAlignment="1">
      <alignment horizontal="center" vertical="top" wrapText="1"/>
    </xf>
    <xf numFmtId="0" fontId="44" fillId="0" borderId="23" xfId="2" applyFont="1" applyBorder="1" applyAlignment="1">
      <alignment vertical="top" wrapText="1"/>
    </xf>
    <xf numFmtId="0" fontId="63" fillId="0" borderId="0" xfId="2" applyFont="1"/>
    <xf numFmtId="0" fontId="83" fillId="0" borderId="0" xfId="2" applyFont="1"/>
    <xf numFmtId="0" fontId="66" fillId="0" borderId="0" xfId="2" applyFont="1"/>
    <xf numFmtId="0" fontId="24" fillId="0" borderId="0" xfId="2"/>
    <xf numFmtId="0" fontId="15" fillId="0" borderId="0" xfId="2" applyFont="1" applyAlignment="1">
      <alignment horizontal="right"/>
    </xf>
    <xf numFmtId="0" fontId="15" fillId="0" borderId="0" xfId="2" applyFont="1"/>
    <xf numFmtId="0" fontId="0" fillId="0" borderId="3" xfId="0" applyFill="1" applyBorder="1" applyAlignment="1"/>
    <xf numFmtId="0" fontId="24" fillId="0" borderId="0" xfId="2"/>
    <xf numFmtId="0" fontId="25" fillId="0" borderId="24" xfId="2" applyFont="1" applyBorder="1"/>
    <xf numFmtId="0" fontId="24" fillId="0" borderId="25" xfId="2" applyBorder="1"/>
    <xf numFmtId="0" fontId="24" fillId="0" borderId="26" xfId="2" applyBorder="1"/>
    <xf numFmtId="0" fontId="24" fillId="0" borderId="27" xfId="2" applyBorder="1"/>
    <xf numFmtId="0" fontId="24" fillId="0" borderId="0" xfId="2" applyProtection="1">
      <protection hidden="1"/>
    </xf>
    <xf numFmtId="0" fontId="24" fillId="0" borderId="5" xfId="2" applyBorder="1" applyProtection="1">
      <protection hidden="1"/>
    </xf>
    <xf numFmtId="0" fontId="44" fillId="0" borderId="0" xfId="2" applyFont="1" applyProtection="1">
      <protection hidden="1"/>
    </xf>
    <xf numFmtId="0" fontId="48" fillId="0" borderId="23" xfId="2" applyFont="1" applyBorder="1" applyAlignment="1" applyProtection="1">
      <alignment vertical="top"/>
      <protection hidden="1"/>
    </xf>
    <xf numFmtId="0" fontId="48" fillId="0" borderId="30" xfId="2" applyFont="1" applyBorder="1" applyAlignment="1" applyProtection="1">
      <alignment vertical="top"/>
      <protection hidden="1"/>
    </xf>
    <xf numFmtId="0" fontId="22" fillId="0" borderId="0" xfId="2" applyFont="1"/>
    <xf numFmtId="0" fontId="22" fillId="5" borderId="23" xfId="2" applyFont="1" applyFill="1" applyBorder="1" applyAlignment="1" applyProtection="1">
      <alignment horizontal="center"/>
      <protection hidden="1"/>
    </xf>
    <xf numFmtId="0" fontId="22" fillId="5" borderId="8" xfId="2" applyFont="1" applyFill="1" applyBorder="1" applyAlignment="1" applyProtection="1">
      <alignment horizontal="center"/>
      <protection hidden="1"/>
    </xf>
    <xf numFmtId="0" fontId="49" fillId="0" borderId="24" xfId="2" applyFont="1" applyBorder="1" applyAlignment="1" applyProtection="1">
      <alignment horizontal="left" vertical="top"/>
      <protection hidden="1"/>
    </xf>
    <xf numFmtId="0" fontId="49" fillId="0" borderId="25" xfId="2" applyFont="1" applyBorder="1" applyAlignment="1" applyProtection="1">
      <alignment horizontal="left" vertical="top"/>
      <protection hidden="1"/>
    </xf>
    <xf numFmtId="0" fontId="24" fillId="0" borderId="25" xfId="2" applyBorder="1" applyProtection="1">
      <protection hidden="1"/>
    </xf>
    <xf numFmtId="0" fontId="24" fillId="0" borderId="26" xfId="2" applyBorder="1" applyProtection="1">
      <protection hidden="1"/>
    </xf>
    <xf numFmtId="0" fontId="24" fillId="0" borderId="5" xfId="2" applyBorder="1"/>
    <xf numFmtId="0" fontId="24" fillId="0" borderId="22" xfId="2" applyBorder="1" applyProtection="1">
      <protection hidden="1"/>
    </xf>
    <xf numFmtId="0" fontId="49" fillId="0" borderId="27" xfId="2" applyFont="1" applyBorder="1" applyAlignment="1" applyProtection="1">
      <alignment horizontal="left" vertical="top"/>
      <protection hidden="1"/>
    </xf>
    <xf numFmtId="0" fontId="24" fillId="5" borderId="5" xfId="2" applyFill="1" applyBorder="1" applyAlignment="1" applyProtection="1">
      <alignment horizontal="center"/>
      <protection hidden="1"/>
    </xf>
    <xf numFmtId="0" fontId="49" fillId="0" borderId="27" xfId="2" applyFont="1" applyBorder="1" applyProtection="1">
      <protection hidden="1"/>
    </xf>
    <xf numFmtId="0" fontId="49" fillId="0" borderId="0" xfId="2" applyFont="1"/>
    <xf numFmtId="0" fontId="49" fillId="0" borderId="0" xfId="2" applyFont="1" applyProtection="1">
      <protection hidden="1"/>
    </xf>
    <xf numFmtId="0" fontId="49" fillId="0" borderId="5" xfId="2" applyFont="1" applyBorder="1" applyProtection="1">
      <protection hidden="1"/>
    </xf>
    <xf numFmtId="0" fontId="49" fillId="0" borderId="27" xfId="2" applyFont="1" applyBorder="1" applyAlignment="1" applyProtection="1">
      <alignment vertical="top"/>
      <protection hidden="1"/>
    </xf>
    <xf numFmtId="0" fontId="54" fillId="0" borderId="0" xfId="2" applyFont="1" applyAlignment="1" applyProtection="1">
      <alignment horizontal="center"/>
      <protection hidden="1"/>
    </xf>
    <xf numFmtId="0" fontId="24" fillId="0" borderId="0" xfId="2" applyAlignment="1" applyProtection="1">
      <alignment horizontal="center"/>
      <protection hidden="1"/>
    </xf>
    <xf numFmtId="0" fontId="24" fillId="0" borderId="5" xfId="2" applyBorder="1" applyAlignment="1" applyProtection="1">
      <alignment horizontal="center"/>
      <protection hidden="1"/>
    </xf>
    <xf numFmtId="0" fontId="84" fillId="0" borderId="27" xfId="2" applyFont="1" applyBorder="1" applyAlignment="1">
      <alignment horizontal="center" vertical="center"/>
    </xf>
    <xf numFmtId="0" fontId="84" fillId="0" borderId="0" xfId="2" applyFont="1" applyAlignment="1">
      <alignment horizontal="right" vertical="center"/>
    </xf>
    <xf numFmtId="0" fontId="54" fillId="0" borderId="0" xfId="2" applyFont="1" applyProtection="1">
      <protection hidden="1"/>
    </xf>
    <xf numFmtId="0" fontId="24" fillId="0" borderId="27" xfId="2" applyBorder="1" applyProtection="1">
      <protection hidden="1"/>
    </xf>
    <xf numFmtId="0" fontId="55" fillId="0" borderId="29" xfId="2" applyFont="1" applyBorder="1" applyProtection="1">
      <protection hidden="1"/>
    </xf>
    <xf numFmtId="0" fontId="55" fillId="0" borderId="7" xfId="2" applyFont="1" applyBorder="1" applyAlignment="1" applyProtection="1">
      <alignment horizontal="right"/>
      <protection hidden="1"/>
    </xf>
    <xf numFmtId="0" fontId="4" fillId="0" borderId="0" xfId="0" applyFont="1" applyBorder="1" applyAlignment="1">
      <alignment horizontal="left"/>
    </xf>
    <xf numFmtId="0" fontId="0" fillId="0" borderId="0" xfId="0" applyBorder="1"/>
    <xf numFmtId="0" fontId="24" fillId="0" borderId="0" xfId="2" applyNumberFormat="1" applyFont="1" applyProtection="1">
      <protection hidden="1"/>
    </xf>
    <xf numFmtId="0" fontId="85" fillId="0" borderId="0" xfId="2" applyFont="1"/>
    <xf numFmtId="0" fontId="86" fillId="0" borderId="0" xfId="2" applyFont="1"/>
    <xf numFmtId="21" fontId="0" fillId="0" borderId="0" xfId="0" applyNumberFormat="1"/>
    <xf numFmtId="22" fontId="0" fillId="0" borderId="0" xfId="0" applyNumberFormat="1"/>
    <xf numFmtId="0" fontId="87" fillId="0" borderId="7" xfId="1" applyFont="1" applyFill="1" applyBorder="1" applyAlignment="1" applyProtection="1">
      <alignment horizontal="center" vertical="center"/>
    </xf>
    <xf numFmtId="0" fontId="87" fillId="6" borderId="7" xfId="1" applyFont="1" applyFill="1" applyBorder="1" applyAlignment="1" applyProtection="1">
      <alignment horizontal="center" vertical="center"/>
    </xf>
    <xf numFmtId="0" fontId="88" fillId="0" borderId="8" xfId="1" applyFont="1" applyFill="1" applyBorder="1" applyAlignment="1" applyProtection="1">
      <alignment horizontal="center" vertical="center"/>
      <protection locked="0"/>
    </xf>
    <xf numFmtId="0" fontId="88" fillId="0" borderId="9" xfId="1" applyFont="1" applyFill="1" applyBorder="1" applyAlignment="1" applyProtection="1">
      <alignment horizontal="center" vertical="center"/>
      <protection locked="0"/>
    </xf>
    <xf numFmtId="0" fontId="88" fillId="0" borderId="5" xfId="1" applyFont="1" applyFill="1" applyBorder="1" applyAlignment="1" applyProtection="1">
      <alignment vertical="center"/>
      <protection locked="0"/>
    </xf>
    <xf numFmtId="0" fontId="88" fillId="0" borderId="6" xfId="1" applyFont="1" applyFill="1" applyBorder="1" applyAlignment="1" applyProtection="1">
      <alignment vertical="center"/>
      <protection locked="0"/>
    </xf>
    <xf numFmtId="0" fontId="88" fillId="0" borderId="5" xfId="1" applyFont="1" applyFill="1" applyBorder="1" applyAlignment="1" applyProtection="1">
      <alignment horizontal="center" vertical="center"/>
      <protection locked="0"/>
    </xf>
    <xf numFmtId="0" fontId="88" fillId="0" borderId="6" xfId="1" applyFont="1" applyFill="1" applyBorder="1" applyAlignment="1" applyProtection="1">
      <alignment horizontal="center" vertical="center"/>
      <protection locked="0"/>
    </xf>
    <xf numFmtId="0" fontId="28" fillId="0" borderId="7" xfId="1" applyFont="1" applyFill="1" applyBorder="1" applyAlignment="1">
      <alignment vertical="center"/>
    </xf>
    <xf numFmtId="0" fontId="28" fillId="0" borderId="5" xfId="1" applyFont="1" applyFill="1" applyBorder="1" applyAlignment="1">
      <alignment vertical="center"/>
    </xf>
    <xf numFmtId="0" fontId="5" fillId="0" borderId="0" xfId="0" applyFont="1" applyBorder="1" applyAlignment="1">
      <alignment horizontal="center"/>
    </xf>
    <xf numFmtId="0" fontId="24" fillId="0" borderId="0" xfId="2"/>
    <xf numFmtId="0" fontId="24" fillId="0" borderId="5" xfId="2" applyBorder="1"/>
    <xf numFmtId="0" fontId="0" fillId="0" borderId="0" xfId="0"/>
    <xf numFmtId="0" fontId="24" fillId="0" borderId="0" xfId="2" applyAlignment="1">
      <alignment horizontal="center"/>
    </xf>
    <xf numFmtId="0" fontId="47" fillId="4" borderId="46" xfId="2" applyFont="1" applyFill="1" applyBorder="1" applyAlignment="1">
      <alignment horizontal="center" vertical="top" wrapText="1"/>
    </xf>
    <xf numFmtId="0" fontId="0" fillId="0" borderId="9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24" fillId="0" borderId="0" xfId="2" applyBorder="1"/>
    <xf numFmtId="0" fontId="24" fillId="0" borderId="0" xfId="2" applyBorder="1" applyProtection="1">
      <protection hidden="1"/>
    </xf>
    <xf numFmtId="0" fontId="49" fillId="0" borderId="0" xfId="2" applyFont="1" applyBorder="1" applyAlignment="1" applyProtection="1">
      <alignment horizontal="left" vertical="top"/>
      <protection hidden="1"/>
    </xf>
    <xf numFmtId="0" fontId="24" fillId="5" borderId="0" xfId="2" applyFill="1" applyBorder="1" applyAlignment="1" applyProtection="1">
      <alignment horizontal="center"/>
      <protection hidden="1"/>
    </xf>
    <xf numFmtId="0" fontId="49" fillId="0" borderId="0" xfId="2" applyFont="1" applyBorder="1" applyProtection="1">
      <protection hidden="1"/>
    </xf>
    <xf numFmtId="0" fontId="49" fillId="0" borderId="0" xfId="2" applyFont="1" applyBorder="1"/>
    <xf numFmtId="0" fontId="24" fillId="0" borderId="0" xfId="2" applyBorder="1" applyAlignment="1" applyProtection="1">
      <alignment horizontal="center"/>
      <protection hidden="1"/>
    </xf>
    <xf numFmtId="0" fontId="49" fillId="0" borderId="27" xfId="2" applyFont="1" applyBorder="1" applyAlignment="1" applyProtection="1">
      <protection hidden="1"/>
    </xf>
    <xf numFmtId="0" fontId="49" fillId="0" borderId="0" xfId="2" applyFont="1" applyBorder="1" applyAlignment="1" applyProtection="1">
      <protection hidden="1"/>
    </xf>
    <xf numFmtId="0" fontId="49" fillId="0" borderId="5" xfId="2" applyFont="1" applyBorder="1" applyAlignment="1" applyProtection="1">
      <protection hidden="1"/>
    </xf>
    <xf numFmtId="0" fontId="49" fillId="0" borderId="27" xfId="2" applyFont="1" applyBorder="1"/>
    <xf numFmtId="0" fontId="89" fillId="0" borderId="9" xfId="2" applyNumberFormat="1" applyFont="1" applyBorder="1" applyAlignment="1" applyProtection="1">
      <alignment horizontal="center" vertical="center"/>
      <protection locked="0"/>
    </xf>
    <xf numFmtId="0" fontId="89" fillId="0" borderId="9" xfId="2" applyNumberFormat="1" applyFont="1" applyBorder="1" applyAlignment="1" applyProtection="1">
      <alignment horizontal="center" vertical="center" wrapText="1"/>
      <protection locked="0"/>
    </xf>
    <xf numFmtId="0" fontId="89" fillId="0" borderId="9" xfId="2" applyFont="1" applyBorder="1" applyAlignment="1" applyProtection="1">
      <alignment horizontal="center" vertical="center" wrapText="1"/>
      <protection locked="0"/>
    </xf>
    <xf numFmtId="0" fontId="89" fillId="0" borderId="49" xfId="2" applyFont="1" applyBorder="1" applyAlignment="1" applyProtection="1">
      <alignment horizontal="center" vertical="center" wrapText="1"/>
      <protection locked="0"/>
    </xf>
    <xf numFmtId="0" fontId="89" fillId="0" borderId="49" xfId="2" applyFont="1" applyBorder="1" applyAlignment="1" applyProtection="1">
      <alignment horizontal="center" vertical="center"/>
      <protection locked="0"/>
    </xf>
    <xf numFmtId="0" fontId="89" fillId="0" borderId="18" xfId="2" applyNumberFormat="1" applyFont="1" applyBorder="1" applyAlignment="1" applyProtection="1">
      <alignment horizontal="center" vertical="center" wrapText="1"/>
      <protection locked="0"/>
    </xf>
    <xf numFmtId="0" fontId="89" fillId="0" borderId="50" xfId="2" applyFont="1" applyBorder="1" applyAlignment="1" applyProtection="1">
      <alignment horizontal="center" vertical="center"/>
      <protection locked="0"/>
    </xf>
    <xf numFmtId="0" fontId="89" fillId="0" borderId="50" xfId="2" applyFont="1" applyBorder="1" applyAlignment="1" applyProtection="1">
      <alignment horizontal="center" vertical="center" wrapText="1"/>
      <protection locked="0"/>
    </xf>
    <xf numFmtId="0" fontId="89" fillId="0" borderId="9" xfId="2" applyFont="1" applyBorder="1" applyAlignment="1" applyProtection="1">
      <alignment horizontal="center" vertical="center"/>
      <protection locked="0"/>
    </xf>
    <xf numFmtId="0" fontId="90" fillId="0" borderId="9" xfId="2" applyFont="1" applyBorder="1" applyAlignment="1" applyProtection="1">
      <alignment horizontal="center" vertical="center" wrapText="1"/>
      <protection locked="0"/>
    </xf>
    <xf numFmtId="0" fontId="91" fillId="0" borderId="9" xfId="2" applyFont="1" applyBorder="1" applyAlignment="1" applyProtection="1">
      <alignment horizontal="center" vertical="center" wrapText="1"/>
      <protection locked="0"/>
    </xf>
    <xf numFmtId="0" fontId="92" fillId="0" borderId="9" xfId="2" applyFont="1" applyBorder="1" applyAlignment="1" applyProtection="1">
      <alignment horizontal="center" vertical="center" wrapText="1"/>
      <protection locked="0"/>
    </xf>
    <xf numFmtId="0" fontId="28" fillId="0" borderId="16" xfId="1" applyFont="1" applyFill="1" applyBorder="1" applyAlignment="1" applyProtection="1">
      <alignment horizontal="left"/>
      <protection locked="0"/>
    </xf>
    <xf numFmtId="0" fontId="66" fillId="0" borderId="0" xfId="2" applyFont="1" applyAlignment="1">
      <alignment horizontal="left"/>
    </xf>
    <xf numFmtId="0" fontId="24" fillId="0" borderId="0" xfId="2" applyAlignment="1"/>
    <xf numFmtId="0" fontId="59" fillId="0" borderId="0" xfId="2" applyFont="1" applyAlignment="1"/>
    <xf numFmtId="0" fontId="47" fillId="4" borderId="45" xfId="2" applyFont="1" applyFill="1" applyBorder="1" applyAlignment="1">
      <alignment horizontal="center" vertical="top"/>
    </xf>
    <xf numFmtId="0" fontId="15" fillId="0" borderId="0" xfId="2" quotePrefix="1" applyFont="1" applyAlignment="1"/>
    <xf numFmtId="0" fontId="24" fillId="0" borderId="0" xfId="2"/>
    <xf numFmtId="0" fontId="26" fillId="0" borderId="0" xfId="1" applyFont="1" applyAlignment="1">
      <alignment horizontal="center" vertical="center"/>
    </xf>
    <xf numFmtId="0" fontId="27" fillId="0" borderId="0" xfId="1" applyFont="1" applyAlignment="1">
      <alignment horizontal="center" vertical="center"/>
    </xf>
    <xf numFmtId="0" fontId="28" fillId="0" borderId="0" xfId="1" applyFont="1" applyAlignment="1">
      <alignment horizontal="right" vertical="center"/>
    </xf>
    <xf numFmtId="0" fontId="31" fillId="0" borderId="12" xfId="1" applyFont="1" applyFill="1" applyBorder="1" applyAlignment="1">
      <alignment horizontal="center"/>
    </xf>
    <xf numFmtId="0" fontId="24" fillId="0" borderId="32" xfId="1" applyFill="1" applyBorder="1" applyAlignment="1">
      <alignment horizontal="center"/>
    </xf>
    <xf numFmtId="0" fontId="24" fillId="0" borderId="33" xfId="1" applyFill="1" applyBorder="1" applyAlignment="1">
      <alignment horizontal="center"/>
    </xf>
    <xf numFmtId="0" fontId="24" fillId="0" borderId="31" xfId="1" applyFill="1" applyBorder="1" applyAlignment="1">
      <alignment horizontal="left"/>
    </xf>
    <xf numFmtId="0" fontId="24" fillId="0" borderId="35" xfId="1" applyFill="1" applyBorder="1" applyAlignment="1">
      <alignment horizontal="left"/>
    </xf>
    <xf numFmtId="0" fontId="28" fillId="0" borderId="16" xfId="1" applyFont="1" applyFill="1" applyBorder="1" applyAlignment="1" applyProtection="1">
      <alignment horizontal="left"/>
      <protection locked="0"/>
    </xf>
    <xf numFmtId="0" fontId="28" fillId="0" borderId="3" xfId="1" applyFont="1" applyFill="1" applyBorder="1" applyAlignment="1" applyProtection="1">
      <alignment horizontal="left"/>
      <protection locked="0"/>
    </xf>
    <xf numFmtId="0" fontId="24" fillId="0" borderId="0" xfId="1" applyAlignment="1">
      <alignment horizontal="center"/>
    </xf>
    <xf numFmtId="0" fontId="31" fillId="0" borderId="12" xfId="1" applyFont="1" applyBorder="1" applyAlignment="1">
      <alignment horizontal="center"/>
    </xf>
    <xf numFmtId="0" fontId="24" fillId="0" borderId="13" xfId="1" applyBorder="1" applyAlignment="1">
      <alignment horizontal="center"/>
    </xf>
    <xf numFmtId="0" fontId="24" fillId="0" borderId="14" xfId="1" applyBorder="1" applyAlignment="1">
      <alignment horizontal="center"/>
    </xf>
    <xf numFmtId="49" fontId="33" fillId="0" borderId="3" xfId="1" applyNumberFormat="1" applyFont="1" applyFill="1" applyBorder="1" applyAlignment="1">
      <alignment horizontal="left"/>
    </xf>
    <xf numFmtId="0" fontId="33" fillId="0" borderId="4" xfId="1" applyNumberFormat="1" applyFont="1" applyFill="1" applyBorder="1" applyAlignment="1">
      <alignment horizontal="left"/>
    </xf>
    <xf numFmtId="49" fontId="0" fillId="0" borderId="3" xfId="0" applyNumberForma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30" fillId="0" borderId="13" xfId="1" applyFont="1" applyFill="1" applyBorder="1" applyAlignment="1" applyProtection="1">
      <alignment horizontal="left" vertical="top"/>
      <protection locked="0"/>
    </xf>
    <xf numFmtId="0" fontId="30" fillId="0" borderId="14" xfId="1" applyFont="1" applyFill="1" applyBorder="1" applyAlignment="1" applyProtection="1">
      <alignment horizontal="left" vertical="top"/>
      <protection locked="0"/>
    </xf>
    <xf numFmtId="0" fontId="8" fillId="0" borderId="0" xfId="0" applyFont="1" applyBorder="1" applyAlignment="1" applyProtection="1">
      <alignment horizontal="left"/>
      <protection locked="0"/>
    </xf>
    <xf numFmtId="0" fontId="12" fillId="0" borderId="1" xfId="0" applyFont="1" applyBorder="1" applyAlignment="1">
      <alignment horizontal="center"/>
    </xf>
    <xf numFmtId="0" fontId="12" fillId="0" borderId="0" xfId="0" applyFont="1" applyBorder="1" applyAlignment="1" applyProtection="1">
      <alignment horizontal="center"/>
      <protection locked="0"/>
    </xf>
    <xf numFmtId="14" fontId="4" fillId="0" borderId="0" xfId="0" applyNumberFormat="1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2" fillId="0" borderId="0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79" fillId="0" borderId="0" xfId="0" applyFont="1" applyAlignment="1">
      <alignment horizontal="right"/>
    </xf>
    <xf numFmtId="0" fontId="80" fillId="0" borderId="0" xfId="0" applyFont="1" applyAlignment="1">
      <alignment horizontal="right"/>
    </xf>
    <xf numFmtId="49" fontId="55" fillId="0" borderId="22" xfId="2" applyNumberFormat="1" applyFont="1" applyBorder="1" applyAlignment="1" applyProtection="1">
      <alignment horizontal="left"/>
      <protection hidden="1"/>
    </xf>
    <xf numFmtId="0" fontId="48" fillId="0" borderId="9" xfId="2" applyFont="1" applyBorder="1" applyAlignment="1" applyProtection="1">
      <alignment horizontal="center" vertical="top"/>
      <protection hidden="1"/>
    </xf>
    <xf numFmtId="0" fontId="22" fillId="5" borderId="23" xfId="2" applyFont="1" applyFill="1" applyBorder="1" applyAlignment="1" applyProtection="1">
      <alignment horizontal="center"/>
      <protection hidden="1"/>
    </xf>
    <xf numFmtId="0" fontId="22" fillId="5" borderId="8" xfId="2" applyFont="1" applyFill="1" applyBorder="1" applyAlignment="1" applyProtection="1">
      <alignment horizontal="center"/>
      <protection hidden="1"/>
    </xf>
    <xf numFmtId="0" fontId="49" fillId="0" borderId="22" xfId="2" applyFont="1" applyBorder="1" applyAlignment="1" applyProtection="1">
      <alignment horizontal="center"/>
      <protection hidden="1"/>
    </xf>
    <xf numFmtId="0" fontId="49" fillId="0" borderId="7" xfId="2" applyFont="1" applyBorder="1" applyAlignment="1" applyProtection="1">
      <alignment horizontal="center"/>
      <protection hidden="1"/>
    </xf>
    <xf numFmtId="0" fontId="49" fillId="0" borderId="22" xfId="2" applyFont="1" applyBorder="1" applyAlignment="1" applyProtection="1">
      <alignment horizontal="center" vertical="top"/>
      <protection hidden="1"/>
    </xf>
    <xf numFmtId="0" fontId="49" fillId="0" borderId="7" xfId="2" applyFont="1" applyBorder="1" applyAlignment="1" applyProtection="1">
      <alignment horizontal="center" vertical="top"/>
      <protection hidden="1"/>
    </xf>
    <xf numFmtId="0" fontId="54" fillId="0" borderId="0" xfId="2" applyFont="1" applyBorder="1" applyAlignment="1" applyProtection="1">
      <alignment horizontal="center"/>
      <protection hidden="1"/>
    </xf>
    <xf numFmtId="0" fontId="24" fillId="0" borderId="0" xfId="2" applyBorder="1" applyAlignment="1">
      <alignment horizontal="center"/>
    </xf>
    <xf numFmtId="0" fontId="24" fillId="0" borderId="5" xfId="2" applyBorder="1" applyAlignment="1">
      <alignment horizontal="center"/>
    </xf>
    <xf numFmtId="0" fontId="24" fillId="0" borderId="22" xfId="2" applyBorder="1" applyAlignment="1" applyProtection="1">
      <alignment horizontal="center"/>
      <protection hidden="1"/>
    </xf>
    <xf numFmtId="0" fontId="47" fillId="4" borderId="28" xfId="2" applyFont="1" applyFill="1" applyBorder="1" applyAlignment="1" applyProtection="1">
      <alignment horizontal="center" vertical="center"/>
      <protection hidden="1"/>
    </xf>
    <xf numFmtId="0" fontId="24" fillId="0" borderId="28" xfId="2" applyBorder="1"/>
    <xf numFmtId="0" fontId="44" fillId="0" borderId="24" xfId="2" applyFont="1" applyBorder="1" applyAlignment="1" applyProtection="1">
      <alignment horizontal="center" vertical="center"/>
      <protection hidden="1"/>
    </xf>
    <xf numFmtId="0" fontId="44" fillId="0" borderId="25" xfId="2" applyFont="1" applyBorder="1" applyAlignment="1" applyProtection="1">
      <alignment horizontal="center" vertical="center"/>
      <protection hidden="1"/>
    </xf>
    <xf numFmtId="0" fontId="44" fillId="0" borderId="29" xfId="2" applyFont="1" applyBorder="1" applyAlignment="1" applyProtection="1">
      <alignment horizontal="center" vertical="center"/>
      <protection hidden="1"/>
    </xf>
    <xf numFmtId="0" fontId="44" fillId="0" borderId="22" xfId="2" applyFont="1" applyBorder="1" applyAlignment="1" applyProtection="1">
      <alignment horizontal="center" vertical="center"/>
      <protection hidden="1"/>
    </xf>
    <xf numFmtId="0" fontId="44" fillId="0" borderId="24" xfId="2" applyFont="1" applyBorder="1" applyAlignment="1" applyProtection="1">
      <alignment horizontal="center" vertical="center" wrapText="1"/>
      <protection hidden="1"/>
    </xf>
    <xf numFmtId="0" fontId="44" fillId="0" borderId="26" xfId="2" applyFont="1" applyBorder="1" applyAlignment="1" applyProtection="1">
      <alignment horizontal="center" vertical="center" wrapText="1"/>
      <protection hidden="1"/>
    </xf>
    <xf numFmtId="0" fontId="44" fillId="0" borderId="29" xfId="2" applyFont="1" applyBorder="1" applyAlignment="1" applyProtection="1">
      <alignment horizontal="center" vertical="center" wrapText="1"/>
      <protection hidden="1"/>
    </xf>
    <xf numFmtId="0" fontId="44" fillId="0" borderId="7" xfId="2" applyFont="1" applyBorder="1" applyAlignment="1" applyProtection="1">
      <alignment horizontal="center" vertical="center" wrapText="1"/>
      <protection hidden="1"/>
    </xf>
    <xf numFmtId="0" fontId="44" fillId="0" borderId="26" xfId="2" applyFont="1" applyBorder="1" applyAlignment="1" applyProtection="1">
      <alignment horizontal="center" vertical="center"/>
      <protection hidden="1"/>
    </xf>
    <xf numFmtId="0" fontId="44" fillId="0" borderId="7" xfId="2" applyFont="1" applyBorder="1" applyAlignment="1" applyProtection="1">
      <alignment horizontal="center" vertical="center"/>
      <protection hidden="1"/>
    </xf>
    <xf numFmtId="0" fontId="24" fillId="0" borderId="23" xfId="2" applyNumberFormat="1" applyFont="1" applyBorder="1" applyAlignment="1" applyProtection="1">
      <alignment horizontal="center"/>
      <protection hidden="1"/>
    </xf>
    <xf numFmtId="0" fontId="24" fillId="0" borderId="30" xfId="2" applyNumberFormat="1" applyFont="1" applyBorder="1" applyAlignment="1" applyProtection="1">
      <alignment horizontal="center"/>
      <protection hidden="1"/>
    </xf>
    <xf numFmtId="0" fontId="24" fillId="0" borderId="8" xfId="2" applyNumberFormat="1" applyFont="1" applyBorder="1" applyAlignment="1" applyProtection="1">
      <alignment horizontal="center"/>
      <protection hidden="1"/>
    </xf>
    <xf numFmtId="0" fontId="24" fillId="0" borderId="9" xfId="2" applyNumberFormat="1" applyFont="1" applyBorder="1" applyAlignment="1" applyProtection="1">
      <alignment horizontal="center"/>
      <protection hidden="1"/>
    </xf>
    <xf numFmtId="0" fontId="43" fillId="0" borderId="27" xfId="2" applyFont="1" applyBorder="1" applyAlignment="1" applyProtection="1">
      <alignment horizontal="center"/>
      <protection hidden="1"/>
    </xf>
    <xf numFmtId="0" fontId="24" fillId="0" borderId="0" xfId="2"/>
    <xf numFmtId="0" fontId="24" fillId="0" borderId="5" xfId="2" applyBorder="1"/>
    <xf numFmtId="0" fontId="44" fillId="0" borderId="27" xfId="2" applyFont="1" applyBorder="1" applyProtection="1">
      <protection hidden="1"/>
    </xf>
    <xf numFmtId="0" fontId="22" fillId="0" borderId="0" xfId="2" applyFont="1"/>
    <xf numFmtId="0" fontId="24" fillId="0" borderId="22" xfId="2" applyFont="1" applyBorder="1" applyAlignment="1" applyProtection="1">
      <alignment horizontal="center"/>
      <protection hidden="1"/>
    </xf>
    <xf numFmtId="0" fontId="24" fillId="0" borderId="7" xfId="2" applyFont="1" applyBorder="1" applyAlignment="1" applyProtection="1">
      <alignment horizontal="center"/>
      <protection hidden="1"/>
    </xf>
    <xf numFmtId="0" fontId="46" fillId="4" borderId="27" xfId="2" applyFont="1" applyFill="1" applyBorder="1" applyAlignment="1" applyProtection="1">
      <alignment horizontal="center" vertical="center"/>
      <protection hidden="1"/>
    </xf>
    <xf numFmtId="0" fontId="46" fillId="4" borderId="9" xfId="2" applyFont="1" applyFill="1" applyBorder="1" applyAlignment="1" applyProtection="1">
      <alignment horizontal="center" vertical="center"/>
      <protection hidden="1"/>
    </xf>
    <xf numFmtId="0" fontId="54" fillId="0" borderId="25" xfId="0" applyFont="1" applyBorder="1" applyAlignment="1" applyProtection="1">
      <alignment horizontal="center"/>
      <protection hidden="1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applyBorder="1" applyAlignment="1" applyProtection="1">
      <alignment horizontal="center"/>
      <protection hidden="1"/>
    </xf>
    <xf numFmtId="49" fontId="55" fillId="0" borderId="22" xfId="0" applyNumberFormat="1" applyFont="1" applyBorder="1" applyAlignment="1" applyProtection="1">
      <alignment horizontal="left"/>
      <protection hidden="1"/>
    </xf>
    <xf numFmtId="0" fontId="0" fillId="0" borderId="22" xfId="0" applyBorder="1" applyAlignment="1">
      <alignment horizontal="left"/>
    </xf>
    <xf numFmtId="0" fontId="48" fillId="0" borderId="23" xfId="0" applyFont="1" applyBorder="1" applyAlignment="1" applyProtection="1">
      <alignment horizontal="left" vertical="top"/>
      <protection hidden="1"/>
    </xf>
    <xf numFmtId="0" fontId="48" fillId="0" borderId="30" xfId="0" applyFont="1" applyBorder="1" applyAlignment="1" applyProtection="1">
      <alignment horizontal="left" vertical="top"/>
      <protection hidden="1"/>
    </xf>
    <xf numFmtId="0" fontId="48" fillId="0" borderId="8" xfId="0" applyFont="1" applyBorder="1" applyAlignment="1" applyProtection="1">
      <alignment horizontal="left" vertical="top"/>
      <protection hidden="1"/>
    </xf>
    <xf numFmtId="0" fontId="22" fillId="5" borderId="23" xfId="0" applyFont="1" applyFill="1" applyBorder="1" applyAlignment="1" applyProtection="1">
      <alignment horizontal="center"/>
      <protection hidden="1"/>
    </xf>
    <xf numFmtId="0" fontId="22" fillId="5" borderId="8" xfId="0" applyFont="1" applyFill="1" applyBorder="1" applyAlignment="1" applyProtection="1">
      <alignment horizontal="center"/>
      <protection hidden="1"/>
    </xf>
    <xf numFmtId="0" fontId="22" fillId="0" borderId="23" xfId="0" applyFont="1" applyBorder="1" applyAlignment="1" applyProtection="1">
      <alignment horizontal="center"/>
      <protection hidden="1"/>
    </xf>
    <xf numFmtId="0" fontId="22" fillId="0" borderId="8" xfId="0" applyFont="1" applyBorder="1" applyAlignment="1" applyProtection="1">
      <alignment horizontal="center"/>
      <protection hidden="1"/>
    </xf>
    <xf numFmtId="0" fontId="44" fillId="0" borderId="24" xfId="0" applyFont="1" applyBorder="1" applyAlignment="1" applyProtection="1">
      <alignment horizontal="center" vertical="center"/>
      <protection hidden="1"/>
    </xf>
    <xf numFmtId="0" fontId="44" fillId="0" borderId="25" xfId="0" applyFont="1" applyBorder="1" applyAlignment="1" applyProtection="1">
      <alignment horizontal="center" vertical="center"/>
      <protection hidden="1"/>
    </xf>
    <xf numFmtId="0" fontId="44" fillId="0" borderId="26" xfId="0" applyFont="1" applyBorder="1" applyAlignment="1" applyProtection="1">
      <alignment horizontal="center" vertical="center"/>
      <protection hidden="1"/>
    </xf>
    <xf numFmtId="0" fontId="44" fillId="0" borderId="29" xfId="0" applyFont="1" applyBorder="1" applyAlignment="1" applyProtection="1">
      <alignment horizontal="center" vertical="center"/>
      <protection hidden="1"/>
    </xf>
    <xf numFmtId="0" fontId="44" fillId="0" borderId="22" xfId="0" applyFont="1" applyBorder="1" applyAlignment="1" applyProtection="1">
      <alignment horizontal="center" vertical="center"/>
      <protection hidden="1"/>
    </xf>
    <xf numFmtId="0" fontId="44" fillId="0" borderId="7" xfId="0" applyFont="1" applyBorder="1" applyAlignment="1" applyProtection="1">
      <alignment horizontal="center" vertical="center"/>
      <protection hidden="1"/>
    </xf>
    <xf numFmtId="0" fontId="44" fillId="0" borderId="24" xfId="0" applyFont="1" applyBorder="1" applyAlignment="1" applyProtection="1">
      <alignment horizontal="center" vertical="center" wrapText="1"/>
      <protection hidden="1"/>
    </xf>
    <xf numFmtId="0" fontId="44" fillId="0" borderId="26" xfId="0" applyFont="1" applyBorder="1" applyAlignment="1" applyProtection="1">
      <alignment horizontal="center" vertical="center" wrapText="1"/>
      <protection hidden="1"/>
    </xf>
    <xf numFmtId="0" fontId="44" fillId="0" borderId="29" xfId="0" applyFont="1" applyBorder="1" applyAlignment="1" applyProtection="1">
      <alignment horizontal="center" vertical="center" wrapText="1"/>
      <protection hidden="1"/>
    </xf>
    <xf numFmtId="0" fontId="44" fillId="0" borderId="7" xfId="0" applyFont="1" applyBorder="1" applyAlignment="1" applyProtection="1">
      <alignment horizontal="center" vertical="center" wrapText="1"/>
      <protection hidden="1"/>
    </xf>
    <xf numFmtId="0" fontId="44" fillId="0" borderId="24" xfId="0" applyFont="1" applyBorder="1" applyAlignment="1" applyProtection="1">
      <alignment horizontal="center" wrapText="1"/>
      <protection hidden="1"/>
    </xf>
    <xf numFmtId="0" fontId="44" fillId="0" borderId="26" xfId="0" applyFont="1" applyBorder="1" applyAlignment="1" applyProtection="1">
      <alignment horizontal="center"/>
      <protection hidden="1"/>
    </xf>
    <xf numFmtId="0" fontId="44" fillId="0" borderId="29" xfId="0" applyFont="1" applyBorder="1" applyAlignment="1" applyProtection="1">
      <alignment horizontal="center"/>
      <protection hidden="1"/>
    </xf>
    <xf numFmtId="0" fontId="44" fillId="0" borderId="7" xfId="0" applyFont="1" applyBorder="1" applyAlignment="1" applyProtection="1">
      <alignment horizontal="center"/>
      <protection hidden="1"/>
    </xf>
    <xf numFmtId="0" fontId="24" fillId="0" borderId="23" xfId="0" applyNumberFormat="1" applyFont="1" applyBorder="1" applyAlignment="1" applyProtection="1">
      <alignment horizontal="center"/>
      <protection hidden="1"/>
    </xf>
    <xf numFmtId="0" fontId="24" fillId="0" borderId="30" xfId="0" applyNumberFormat="1" applyFont="1" applyBorder="1" applyAlignment="1" applyProtection="1">
      <alignment horizontal="center"/>
      <protection hidden="1"/>
    </xf>
    <xf numFmtId="0" fontId="24" fillId="0" borderId="8" xfId="0" applyNumberFormat="1" applyFont="1" applyBorder="1" applyAlignment="1" applyProtection="1">
      <alignment horizontal="center"/>
      <protection hidden="1"/>
    </xf>
    <xf numFmtId="0" fontId="24" fillId="0" borderId="9" xfId="0" applyNumberFormat="1" applyFont="1" applyBorder="1" applyAlignment="1" applyProtection="1">
      <alignment horizontal="center"/>
      <protection hidden="1"/>
    </xf>
    <xf numFmtId="0" fontId="47" fillId="4" borderId="28" xfId="0" applyFont="1" applyFill="1" applyBorder="1" applyAlignment="1" applyProtection="1">
      <alignment horizontal="center" vertical="center"/>
      <protection hidden="1"/>
    </xf>
    <xf numFmtId="0" fontId="0" fillId="0" borderId="28" xfId="0" applyBorder="1"/>
    <xf numFmtId="0" fontId="46" fillId="4" borderId="27" xfId="0" applyFont="1" applyFill="1" applyBorder="1" applyAlignment="1" applyProtection="1">
      <alignment horizontal="center" vertical="center"/>
      <protection hidden="1"/>
    </xf>
    <xf numFmtId="0" fontId="0" fillId="0" borderId="0" xfId="0"/>
    <xf numFmtId="0" fontId="0" fillId="0" borderId="5" xfId="0" applyBorder="1"/>
    <xf numFmtId="0" fontId="46" fillId="4" borderId="9" xfId="0" applyFont="1" applyFill="1" applyBorder="1" applyAlignment="1" applyProtection="1">
      <alignment horizontal="center" vertical="center"/>
      <protection hidden="1"/>
    </xf>
    <xf numFmtId="0" fontId="43" fillId="0" borderId="27" xfId="0" applyFont="1" applyBorder="1" applyAlignment="1" applyProtection="1">
      <alignment horizontal="center"/>
      <protection hidden="1"/>
    </xf>
    <xf numFmtId="0" fontId="44" fillId="0" borderId="27" xfId="0" applyFont="1" applyBorder="1" applyProtection="1">
      <protection hidden="1"/>
    </xf>
    <xf numFmtId="0" fontId="22" fillId="0" borderId="0" xfId="0" applyFont="1"/>
    <xf numFmtId="0" fontId="24" fillId="0" borderId="22" xfId="0" applyFont="1" applyFill="1" applyBorder="1" applyAlignment="1" applyProtection="1">
      <alignment horizontal="center"/>
      <protection hidden="1"/>
    </xf>
    <xf numFmtId="0" fontId="24" fillId="0" borderId="7" xfId="0" applyFont="1" applyFill="1" applyBorder="1" applyAlignment="1" applyProtection="1">
      <alignment horizontal="center"/>
      <protection hidden="1"/>
    </xf>
    <xf numFmtId="0" fontId="0" fillId="0" borderId="0" xfId="0" applyFont="1" applyAlignment="1">
      <alignment horizontal="center"/>
    </xf>
    <xf numFmtId="0" fontId="65" fillId="0" borderId="25" xfId="2" applyFont="1" applyBorder="1" applyAlignment="1">
      <alignment horizontal="center" vertical="center"/>
    </xf>
    <xf numFmtId="0" fontId="24" fillId="0" borderId="25" xfId="2" applyBorder="1" applyAlignment="1">
      <alignment horizontal="center" vertical="center"/>
    </xf>
    <xf numFmtId="0" fontId="66" fillId="0" borderId="0" xfId="2" applyFont="1" applyAlignment="1">
      <alignment horizontal="left"/>
    </xf>
    <xf numFmtId="0" fontId="60" fillId="0" borderId="0" xfId="2" applyFont="1" applyAlignment="1">
      <alignment horizontal="center"/>
    </xf>
    <xf numFmtId="0" fontId="24" fillId="0" borderId="0" xfId="2" applyAlignment="1">
      <alignment horizontal="center"/>
    </xf>
    <xf numFmtId="0" fontId="47" fillId="4" borderId="47" xfId="2" applyFont="1" applyFill="1" applyBorder="1" applyAlignment="1">
      <alignment horizontal="center" vertical="top" wrapText="1"/>
    </xf>
    <xf numFmtId="0" fontId="47" fillId="4" borderId="48" xfId="2" applyFont="1" applyFill="1" applyBorder="1" applyAlignment="1">
      <alignment horizontal="center" vertical="top" wrapText="1"/>
    </xf>
    <xf numFmtId="0" fontId="47" fillId="4" borderId="46" xfId="2" applyFont="1" applyFill="1" applyBorder="1" applyAlignment="1">
      <alignment horizontal="center" vertical="top" wrapText="1"/>
    </xf>
    <xf numFmtId="0" fontId="44" fillId="0" borderId="30" xfId="2" applyFont="1" applyBorder="1" applyAlignment="1">
      <alignment vertical="top" wrapText="1"/>
    </xf>
    <xf numFmtId="0" fontId="44" fillId="0" borderId="8" xfId="2" applyFont="1" applyBorder="1" applyAlignment="1">
      <alignment vertical="top" wrapText="1"/>
    </xf>
    <xf numFmtId="14" fontId="62" fillId="0" borderId="22" xfId="2" applyNumberFormat="1" applyFont="1" applyBorder="1" applyAlignment="1">
      <alignment horizontal="right" vertical="top"/>
    </xf>
    <xf numFmtId="0" fontId="82" fillId="0" borderId="22" xfId="2" applyFont="1" applyBorder="1" applyAlignment="1">
      <alignment horizontal="right" vertical="top"/>
    </xf>
    <xf numFmtId="0" fontId="63" fillId="0" borderId="2" xfId="0" applyFont="1" applyBorder="1"/>
    <xf numFmtId="0" fontId="63" fillId="0" borderId="3" xfId="0" applyFont="1" applyBorder="1"/>
    <xf numFmtId="0" fontId="63" fillId="0" borderId="4" xfId="0" applyFont="1" applyBorder="1"/>
    <xf numFmtId="49" fontId="58" fillId="0" borderId="0" xfId="0" applyNumberFormat="1" applyFont="1" applyAlignment="1">
      <alignment horizontal="left"/>
    </xf>
    <xf numFmtId="0" fontId="0" fillId="0" borderId="22" xfId="0" applyBorder="1" applyProtection="1">
      <protection locked="0"/>
    </xf>
    <xf numFmtId="0" fontId="65" fillId="0" borderId="25" xfId="0" applyFont="1" applyBorder="1" applyAlignment="1">
      <alignment horizontal="center"/>
    </xf>
    <xf numFmtId="0" fontId="70" fillId="0" borderId="54" xfId="0" applyNumberFormat="1" applyFont="1" applyFill="1" applyBorder="1" applyAlignment="1" applyProtection="1">
      <alignment horizontal="center" vertical="center"/>
      <protection locked="0"/>
    </xf>
    <xf numFmtId="0" fontId="70" fillId="0" borderId="10" xfId="0" applyNumberFormat="1" applyFont="1" applyFill="1" applyBorder="1" applyAlignment="1" applyProtection="1">
      <alignment horizontal="center" vertical="center"/>
      <protection locked="0"/>
    </xf>
    <xf numFmtId="0" fontId="71" fillId="0" borderId="23" xfId="0" applyNumberFormat="1" applyFont="1" applyFill="1" applyBorder="1" applyAlignment="1" applyProtection="1">
      <alignment horizontal="center" vertical="center"/>
      <protection locked="0" hidden="1"/>
    </xf>
    <xf numFmtId="0" fontId="71" fillId="0" borderId="8" xfId="0" applyNumberFormat="1" applyFont="1" applyFill="1" applyBorder="1" applyAlignment="1" applyProtection="1">
      <alignment horizontal="center" vertical="center"/>
      <protection locked="0" hidden="1"/>
    </xf>
    <xf numFmtId="0" fontId="71" fillId="0" borderId="39" xfId="0" applyNumberFormat="1" applyFont="1" applyFill="1" applyBorder="1" applyAlignment="1" applyProtection="1">
      <alignment horizontal="center" vertical="center"/>
      <protection locked="0" hidden="1"/>
    </xf>
    <xf numFmtId="0" fontId="0" fillId="0" borderId="23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9" xfId="0" applyBorder="1" applyProtection="1">
      <protection locked="0"/>
    </xf>
    <xf numFmtId="0" fontId="71" fillId="0" borderId="51" xfId="0" applyNumberFormat="1" applyFont="1" applyFill="1" applyBorder="1" applyAlignment="1" applyProtection="1">
      <alignment horizontal="center" vertical="center"/>
      <protection locked="0" hidden="1"/>
    </xf>
    <xf numFmtId="0" fontId="71" fillId="0" borderId="10" xfId="0" applyNumberFormat="1" applyFont="1" applyFill="1" applyBorder="1" applyAlignment="1" applyProtection="1">
      <alignment horizontal="center" vertical="center"/>
      <protection locked="0" hidden="1"/>
    </xf>
    <xf numFmtId="0" fontId="71" fillId="0" borderId="53" xfId="0" applyNumberFormat="1" applyFont="1" applyFill="1" applyBorder="1" applyAlignment="1" applyProtection="1">
      <alignment horizontal="center" vertical="center"/>
      <protection locked="0" hidden="1"/>
    </xf>
    <xf numFmtId="0" fontId="0" fillId="0" borderId="51" xfId="0" applyBorder="1" applyProtection="1">
      <protection locked="0"/>
    </xf>
    <xf numFmtId="0" fontId="0" fillId="0" borderId="52" xfId="0" applyBorder="1" applyProtection="1">
      <protection locked="0"/>
    </xf>
    <xf numFmtId="0" fontId="0" fillId="0" borderId="53" xfId="0" applyBorder="1" applyProtection="1">
      <protection locked="0"/>
    </xf>
    <xf numFmtId="0" fontId="70" fillId="0" borderId="2" xfId="0" applyNumberFormat="1" applyFont="1" applyFill="1" applyBorder="1" applyAlignment="1" applyProtection="1">
      <alignment horizontal="center" vertical="center"/>
      <protection locked="0"/>
    </xf>
    <xf numFmtId="0" fontId="70" fillId="0" borderId="55" xfId="0" applyNumberFormat="1" applyFont="1" applyFill="1" applyBorder="1" applyAlignment="1" applyProtection="1">
      <alignment horizontal="center" vertical="center"/>
      <protection locked="0"/>
    </xf>
    <xf numFmtId="0" fontId="45" fillId="0" borderId="23" xfId="0" applyFont="1" applyBorder="1" applyProtection="1">
      <protection locked="0"/>
    </xf>
    <xf numFmtId="0" fontId="45" fillId="0" borderId="30" xfId="0" applyFont="1" applyBorder="1" applyProtection="1">
      <protection locked="0"/>
    </xf>
    <xf numFmtId="0" fontId="45" fillId="0" borderId="39" xfId="0" applyFont="1" applyBorder="1" applyProtection="1">
      <protection locked="0"/>
    </xf>
    <xf numFmtId="0" fontId="56" fillId="0" borderId="0" xfId="0" applyFont="1" applyAlignment="1">
      <alignment horizontal="center"/>
    </xf>
    <xf numFmtId="0" fontId="60" fillId="0" borderId="12" xfId="0" applyFont="1" applyBorder="1" applyAlignment="1">
      <alignment horizontal="center"/>
    </xf>
    <xf numFmtId="0" fontId="60" fillId="0" borderId="13" xfId="0" applyFont="1" applyBorder="1" applyAlignment="1">
      <alignment horizontal="center"/>
    </xf>
    <xf numFmtId="0" fontId="60" fillId="0" borderId="14" xfId="0" applyFont="1" applyBorder="1" applyAlignment="1">
      <alignment horizontal="center"/>
    </xf>
    <xf numFmtId="49" fontId="47" fillId="4" borderId="38" xfId="0" applyNumberFormat="1" applyFont="1" applyFill="1" applyBorder="1" applyAlignment="1">
      <alignment horizontal="center" vertical="center" wrapText="1"/>
    </xf>
    <xf numFmtId="49" fontId="47" fillId="4" borderId="30" xfId="0" applyNumberFormat="1" applyFont="1" applyFill="1" applyBorder="1" applyAlignment="1">
      <alignment horizontal="center" vertical="center" wrapText="1"/>
    </xf>
    <xf numFmtId="0" fontId="47" fillId="4" borderId="30" xfId="0" applyFont="1" applyFill="1" applyBorder="1" applyAlignment="1">
      <alignment horizontal="center" vertical="center" wrapText="1"/>
    </xf>
    <xf numFmtId="0" fontId="47" fillId="4" borderId="39" xfId="0" applyFont="1" applyFill="1" applyBorder="1" applyAlignment="1">
      <alignment horizontal="center" vertical="center" wrapText="1"/>
    </xf>
    <xf numFmtId="0" fontId="47" fillId="4" borderId="30" xfId="0" applyFont="1" applyFill="1" applyBorder="1" applyAlignment="1">
      <alignment horizontal="center" vertical="center"/>
    </xf>
    <xf numFmtId="0" fontId="47" fillId="4" borderId="39" xfId="0" applyFont="1" applyFill="1" applyBorder="1" applyAlignment="1">
      <alignment horizontal="center" vertical="center"/>
    </xf>
    <xf numFmtId="0" fontId="25" fillId="0" borderId="0" xfId="0" applyFont="1"/>
    <xf numFmtId="0" fontId="43" fillId="0" borderId="0" xfId="0" applyFont="1" applyAlignment="1">
      <alignment horizontal="center" vertical="center"/>
    </xf>
    <xf numFmtId="0" fontId="70" fillId="0" borderId="38" xfId="0" applyNumberFormat="1" applyFont="1" applyFill="1" applyBorder="1" applyAlignment="1" applyProtection="1">
      <alignment horizontal="center" vertical="center"/>
      <protection locked="0"/>
    </xf>
    <xf numFmtId="0" fontId="70" fillId="0" borderId="8" xfId="0" applyNumberFormat="1" applyFont="1" applyFill="1" applyBorder="1" applyAlignment="1" applyProtection="1">
      <alignment horizontal="center" vertical="center"/>
      <protection locked="0"/>
    </xf>
    <xf numFmtId="0" fontId="68" fillId="0" borderId="0" xfId="0" applyFont="1" applyAlignment="1">
      <alignment horizontal="center"/>
    </xf>
    <xf numFmtId="0" fontId="67" fillId="0" borderId="22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38" fillId="3" borderId="0" xfId="0" applyFont="1" applyFill="1" applyAlignment="1">
      <alignment horizontal="center"/>
    </xf>
    <xf numFmtId="0" fontId="36" fillId="0" borderId="0" xfId="0" applyFont="1" applyBorder="1" applyAlignment="1">
      <alignment horizontal="right" textRotation="90"/>
    </xf>
    <xf numFmtId="0" fontId="75" fillId="0" borderId="27" xfId="0" applyFont="1" applyBorder="1" applyAlignment="1">
      <alignment horizontal="center" textRotation="90"/>
    </xf>
    <xf numFmtId="0" fontId="25" fillId="0" borderId="0" xfId="0" applyFont="1" applyAlignment="1">
      <alignment horizontal="left" textRotation="90" wrapText="1"/>
    </xf>
    <xf numFmtId="0" fontId="37" fillId="0" borderId="23" xfId="0" applyFont="1" applyBorder="1" applyAlignment="1">
      <alignment horizontal="center"/>
    </xf>
    <xf numFmtId="0" fontId="37" fillId="0" borderId="8" xfId="0" applyFont="1" applyBorder="1" applyAlignment="1">
      <alignment horizontal="center"/>
    </xf>
    <xf numFmtId="0" fontId="37" fillId="0" borderId="9" xfId="0" applyFont="1" applyBorder="1" applyAlignment="1">
      <alignment horizontal="center"/>
    </xf>
    <xf numFmtId="0" fontId="37" fillId="0" borderId="30" xfId="0" applyFont="1" applyBorder="1" applyAlignment="1">
      <alignment horizontal="center"/>
    </xf>
    <xf numFmtId="0" fontId="41" fillId="0" borderId="9" xfId="0" applyFont="1" applyBorder="1" applyAlignment="1">
      <alignment horizontal="center"/>
    </xf>
    <xf numFmtId="0" fontId="74" fillId="0" borderId="0" xfId="0" applyFont="1" applyAlignment="1">
      <alignment horizontal="left" textRotation="90"/>
    </xf>
    <xf numFmtId="0" fontId="36" fillId="0" borderId="0" xfId="0" applyFont="1" applyBorder="1" applyAlignment="1">
      <alignment horizontal="left" vertical="top" textRotation="90"/>
    </xf>
    <xf numFmtId="0" fontId="41" fillId="0" borderId="0" xfId="0" applyFont="1" applyAlignment="1">
      <alignment horizontal="center"/>
    </xf>
    <xf numFmtId="0" fontId="37" fillId="0" borderId="22" xfId="0" applyFont="1" applyBorder="1" applyAlignment="1">
      <alignment horizontal="center"/>
    </xf>
    <xf numFmtId="49" fontId="37" fillId="0" borderId="22" xfId="0" applyNumberFormat="1" applyFont="1" applyBorder="1" applyAlignment="1">
      <alignment horizontal="center"/>
    </xf>
    <xf numFmtId="0" fontId="74" fillId="0" borderId="0" xfId="0" applyFont="1" applyAlignment="1">
      <alignment horizontal="left" textRotation="90" wrapText="1"/>
    </xf>
    <xf numFmtId="0" fontId="41" fillId="0" borderId="23" xfId="0" applyFont="1" applyBorder="1" applyAlignment="1">
      <alignment horizontal="center"/>
    </xf>
    <xf numFmtId="0" fontId="41" fillId="0" borderId="8" xfId="0" applyFont="1" applyBorder="1" applyAlignment="1">
      <alignment horizontal="center"/>
    </xf>
    <xf numFmtId="0" fontId="24" fillId="0" borderId="0" xfId="2" applyFont="1"/>
    <xf numFmtId="0" fontId="43" fillId="0" borderId="22" xfId="2" applyFont="1" applyBorder="1" applyAlignment="1" applyProtection="1">
      <alignment horizontal="center" vertical="top" wrapText="1"/>
      <protection locked="0"/>
    </xf>
    <xf numFmtId="0" fontId="93" fillId="0" borderId="22" xfId="2" applyFont="1" applyBorder="1" applyProtection="1">
      <protection locked="0"/>
    </xf>
    <xf numFmtId="164" fontId="60" fillId="0" borderId="22" xfId="2" applyNumberFormat="1" applyFont="1" applyBorder="1" applyAlignment="1" applyProtection="1">
      <alignment horizontal="left"/>
      <protection locked="0"/>
    </xf>
    <xf numFmtId="0" fontId="94" fillId="0" borderId="22" xfId="2" applyFont="1" applyBorder="1" applyProtection="1">
      <protection locked="0"/>
    </xf>
  </cellXfs>
  <cellStyles count="3">
    <cellStyle name="Normal" xfId="0" builtinId="0"/>
    <cellStyle name="Normal 2" xfId="2" xr:uid="{00000000-0005-0000-0000-000001000000}"/>
    <cellStyle name="Normal_FORM #'s 09-32-01 and 09-35-01 Rev A Biological Indicator Sheet" xfId="1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28575</xdr:rowOff>
    </xdr:from>
    <xdr:to>
      <xdr:col>1</xdr:col>
      <xdr:colOff>1114425</xdr:colOff>
      <xdr:row>7</xdr:row>
      <xdr:rowOff>142875</xdr:rowOff>
    </xdr:to>
    <xdr:grpSp>
      <xdr:nvGrpSpPr>
        <xdr:cNvPr id="2" name="Group 1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752600" y="1539875"/>
          <a:ext cx="1114425" cy="114300"/>
          <a:chOff x="63" y="166"/>
          <a:chExt cx="94" cy="13"/>
        </a:xfrm>
      </xdr:grpSpPr>
      <xdr:sp macro="" textlink="">
        <xdr:nvSpPr>
          <xdr:cNvPr id="3" name="Rectangle 140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" name="Rectangle 141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Rectangle 142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Freeform 143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5</xdr:col>
      <xdr:colOff>1181100</xdr:colOff>
      <xdr:row>7</xdr:row>
      <xdr:rowOff>28575</xdr:rowOff>
    </xdr:from>
    <xdr:to>
      <xdr:col>6</xdr:col>
      <xdr:colOff>1057275</xdr:colOff>
      <xdr:row>7</xdr:row>
      <xdr:rowOff>152400</xdr:rowOff>
    </xdr:to>
    <xdr:grpSp>
      <xdr:nvGrpSpPr>
        <xdr:cNvPr id="7" name="Group 13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>
          <a:grpSpLocks/>
        </xdr:cNvGrpSpPr>
      </xdr:nvGrpSpPr>
      <xdr:grpSpPr bwMode="auto">
        <a:xfrm>
          <a:off x="7797800" y="1539875"/>
          <a:ext cx="1082675" cy="123825"/>
          <a:chOff x="63" y="166"/>
          <a:chExt cx="94" cy="13"/>
        </a:xfrm>
      </xdr:grpSpPr>
      <xdr:sp macro="" textlink="">
        <xdr:nvSpPr>
          <xdr:cNvPr id="8" name="Rectangle 133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9" name="Rectangle 134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35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Freeform 136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523875</xdr:colOff>
      <xdr:row>39</xdr:row>
      <xdr:rowOff>0</xdr:rowOff>
    </xdr:from>
    <xdr:to>
      <xdr:col>8</xdr:col>
      <xdr:colOff>28575</xdr:colOff>
      <xdr:row>39</xdr:row>
      <xdr:rowOff>0</xdr:rowOff>
    </xdr:to>
    <xdr:sp macro="" textlink="">
      <xdr:nvSpPr>
        <xdr:cNvPr id="12" name="Line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ShapeType="1"/>
        </xdr:cNvSpPr>
      </xdr:nvSpPr>
      <xdr:spPr bwMode="auto">
        <a:xfrm flipH="1">
          <a:off x="6924675" y="6315075"/>
          <a:ext cx="419100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1066800</xdr:colOff>
      <xdr:row>7</xdr:row>
      <xdr:rowOff>38100</xdr:rowOff>
    </xdr:from>
    <xdr:to>
      <xdr:col>12</xdr:col>
      <xdr:colOff>1085850</xdr:colOff>
      <xdr:row>7</xdr:row>
      <xdr:rowOff>161925</xdr:rowOff>
    </xdr:to>
    <xdr:grpSp>
      <xdr:nvGrpSpPr>
        <xdr:cNvPr id="13" name="Group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>
          <a:grpSpLocks/>
        </xdr:cNvGrpSpPr>
      </xdr:nvGrpSpPr>
      <xdr:grpSpPr bwMode="auto">
        <a:xfrm>
          <a:off x="14922500" y="1549400"/>
          <a:ext cx="1225550" cy="123825"/>
          <a:chOff x="1007" y="198"/>
          <a:chExt cx="94" cy="13"/>
        </a:xfrm>
      </xdr:grpSpPr>
      <xdr:sp macro="" textlink="">
        <xdr:nvSpPr>
          <xdr:cNvPr id="14" name="Rectangle 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15" name="Rectangl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6" name="Rectangle 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7" name="Freeform 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8</xdr:col>
      <xdr:colOff>1133475</xdr:colOff>
      <xdr:row>7</xdr:row>
      <xdr:rowOff>28575</xdr:rowOff>
    </xdr:from>
    <xdr:to>
      <xdr:col>9</xdr:col>
      <xdr:colOff>1123950</xdr:colOff>
      <xdr:row>7</xdr:row>
      <xdr:rowOff>152400</xdr:rowOff>
    </xdr:to>
    <xdr:grpSp>
      <xdr:nvGrpSpPr>
        <xdr:cNvPr id="18" name="Group 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>
          <a:grpSpLocks/>
        </xdr:cNvGrpSpPr>
      </xdr:nvGrpSpPr>
      <xdr:grpSpPr bwMode="auto">
        <a:xfrm>
          <a:off x="11369675" y="1539875"/>
          <a:ext cx="1196975" cy="123825"/>
          <a:chOff x="63" y="166"/>
          <a:chExt cx="94" cy="13"/>
        </a:xfrm>
      </xdr:grpSpPr>
      <xdr:sp macro="" textlink="">
        <xdr:nvSpPr>
          <xdr:cNvPr id="19" name="Rectangle 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0" name="Rectangle 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1" name="Rectangle 1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" name="Freeform 1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6</xdr:col>
      <xdr:colOff>1047750</xdr:colOff>
      <xdr:row>7</xdr:row>
      <xdr:rowOff>28575</xdr:rowOff>
    </xdr:from>
    <xdr:to>
      <xdr:col>7</xdr:col>
      <xdr:colOff>1066800</xdr:colOff>
      <xdr:row>7</xdr:row>
      <xdr:rowOff>152400</xdr:rowOff>
    </xdr:to>
    <xdr:grpSp>
      <xdr:nvGrpSpPr>
        <xdr:cNvPr id="23" name="Group 1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>
          <a:grpSpLocks/>
        </xdr:cNvGrpSpPr>
      </xdr:nvGrpSpPr>
      <xdr:grpSpPr bwMode="auto">
        <a:xfrm>
          <a:off x="8870950" y="1539875"/>
          <a:ext cx="1225550" cy="123825"/>
          <a:chOff x="63" y="166"/>
          <a:chExt cx="94" cy="13"/>
        </a:xfrm>
      </xdr:grpSpPr>
      <xdr:sp macro="" textlink="">
        <xdr:nvSpPr>
          <xdr:cNvPr id="24" name="Rectangle 1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5" name="Rectangle 1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6" name="Rectangle 1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7" name="Freeform 1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9</xdr:col>
      <xdr:colOff>1066800</xdr:colOff>
      <xdr:row>7</xdr:row>
      <xdr:rowOff>38100</xdr:rowOff>
    </xdr:from>
    <xdr:to>
      <xdr:col>10</xdr:col>
      <xdr:colOff>1047750</xdr:colOff>
      <xdr:row>7</xdr:row>
      <xdr:rowOff>161925</xdr:rowOff>
    </xdr:to>
    <xdr:grpSp>
      <xdr:nvGrpSpPr>
        <xdr:cNvPr id="28" name="Group 22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>
          <a:grpSpLocks/>
        </xdr:cNvGrpSpPr>
      </xdr:nvGrpSpPr>
      <xdr:grpSpPr bwMode="auto">
        <a:xfrm>
          <a:off x="12509500" y="1549400"/>
          <a:ext cx="1187450" cy="123825"/>
          <a:chOff x="63" y="166"/>
          <a:chExt cx="94" cy="13"/>
        </a:xfrm>
      </xdr:grpSpPr>
      <xdr:sp macro="" textlink="">
        <xdr:nvSpPr>
          <xdr:cNvPr id="29" name="Rectangle 23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0" name="Rectangle 24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1" name="Rectangle 25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2" name="Freeform 26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1038225</xdr:colOff>
      <xdr:row>7</xdr:row>
      <xdr:rowOff>28575</xdr:rowOff>
    </xdr:from>
    <xdr:to>
      <xdr:col>11</xdr:col>
      <xdr:colOff>1066800</xdr:colOff>
      <xdr:row>7</xdr:row>
      <xdr:rowOff>152400</xdr:rowOff>
    </xdr:to>
    <xdr:grpSp>
      <xdr:nvGrpSpPr>
        <xdr:cNvPr id="33" name="Group 27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>
          <a:grpSpLocks/>
        </xdr:cNvGrpSpPr>
      </xdr:nvGrpSpPr>
      <xdr:grpSpPr bwMode="auto">
        <a:xfrm>
          <a:off x="13687425" y="1539875"/>
          <a:ext cx="1235075" cy="123825"/>
          <a:chOff x="1007" y="198"/>
          <a:chExt cx="94" cy="13"/>
        </a:xfrm>
      </xdr:grpSpPr>
      <xdr:sp macro="" textlink="">
        <xdr:nvSpPr>
          <xdr:cNvPr id="34" name="Rectangle 28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5" name="Rectangle 29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6" name="Rectangle 30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7" name="Freeform 31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1114425</xdr:colOff>
      <xdr:row>7</xdr:row>
      <xdr:rowOff>28575</xdr:rowOff>
    </xdr:from>
    <xdr:to>
      <xdr:col>8</xdr:col>
      <xdr:colOff>1085850</xdr:colOff>
      <xdr:row>7</xdr:row>
      <xdr:rowOff>152400</xdr:rowOff>
    </xdr:to>
    <xdr:grpSp>
      <xdr:nvGrpSpPr>
        <xdr:cNvPr id="38" name="Group 32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>
          <a:grpSpLocks/>
        </xdr:cNvGrpSpPr>
      </xdr:nvGrpSpPr>
      <xdr:grpSpPr bwMode="auto">
        <a:xfrm>
          <a:off x="10144125" y="1539875"/>
          <a:ext cx="1177925" cy="123825"/>
          <a:chOff x="63" y="166"/>
          <a:chExt cx="94" cy="13"/>
        </a:xfrm>
      </xdr:grpSpPr>
      <xdr:sp macro="" textlink="">
        <xdr:nvSpPr>
          <xdr:cNvPr id="39" name="Rectangle 33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0" name="Rectangle 34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1" name="Rectangle 35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2" name="Freeform 36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1114425</xdr:colOff>
      <xdr:row>7</xdr:row>
      <xdr:rowOff>28575</xdr:rowOff>
    </xdr:from>
    <xdr:to>
      <xdr:col>5</xdr:col>
      <xdr:colOff>1066800</xdr:colOff>
      <xdr:row>7</xdr:row>
      <xdr:rowOff>152400</xdr:rowOff>
    </xdr:to>
    <xdr:grpSp>
      <xdr:nvGrpSpPr>
        <xdr:cNvPr id="43" name="Group 3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>
          <a:grpSpLocks/>
        </xdr:cNvGrpSpPr>
      </xdr:nvGrpSpPr>
      <xdr:grpSpPr bwMode="auto">
        <a:xfrm>
          <a:off x="6524625" y="1539875"/>
          <a:ext cx="1158875" cy="123825"/>
          <a:chOff x="63" y="166"/>
          <a:chExt cx="94" cy="13"/>
        </a:xfrm>
      </xdr:grpSpPr>
      <xdr:sp macro="" textlink="">
        <xdr:nvSpPr>
          <xdr:cNvPr id="44" name="Rectangle 38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5" name="Rectangle 39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6" name="Rectangle 40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7" name="Freeform 41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1066800</xdr:colOff>
      <xdr:row>7</xdr:row>
      <xdr:rowOff>28575</xdr:rowOff>
    </xdr:from>
    <xdr:to>
      <xdr:col>4</xdr:col>
      <xdr:colOff>1057275</xdr:colOff>
      <xdr:row>7</xdr:row>
      <xdr:rowOff>152400</xdr:rowOff>
    </xdr:to>
    <xdr:grpSp>
      <xdr:nvGrpSpPr>
        <xdr:cNvPr id="48" name="Group 42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>
          <a:grpSpLocks/>
        </xdr:cNvGrpSpPr>
      </xdr:nvGrpSpPr>
      <xdr:grpSpPr bwMode="auto">
        <a:xfrm>
          <a:off x="5232400" y="1539875"/>
          <a:ext cx="1235075" cy="123825"/>
          <a:chOff x="63" y="166"/>
          <a:chExt cx="94" cy="13"/>
        </a:xfrm>
      </xdr:grpSpPr>
      <xdr:sp macro="" textlink="">
        <xdr:nvSpPr>
          <xdr:cNvPr id="49" name="Rectangle 43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0" name="Rectangle 44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1" name="Rectangle 45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2" name="Freeform 46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1047750</xdr:colOff>
      <xdr:row>7</xdr:row>
      <xdr:rowOff>19050</xdr:rowOff>
    </xdr:from>
    <xdr:to>
      <xdr:col>3</xdr:col>
      <xdr:colOff>1066800</xdr:colOff>
      <xdr:row>7</xdr:row>
      <xdr:rowOff>142875</xdr:rowOff>
    </xdr:to>
    <xdr:grpSp>
      <xdr:nvGrpSpPr>
        <xdr:cNvPr id="53" name="Group 47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>
          <a:grpSpLocks/>
        </xdr:cNvGrpSpPr>
      </xdr:nvGrpSpPr>
      <xdr:grpSpPr bwMode="auto">
        <a:xfrm>
          <a:off x="4006850" y="1530350"/>
          <a:ext cx="1225550" cy="123825"/>
          <a:chOff x="63" y="166"/>
          <a:chExt cx="94" cy="13"/>
        </a:xfrm>
      </xdr:grpSpPr>
      <xdr:sp macro="" textlink="">
        <xdr:nvSpPr>
          <xdr:cNvPr id="54" name="Rectangle 48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5" name="Rectangle 49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6" name="Rectangle 50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7" name="Freeform 5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1057275</xdr:colOff>
      <xdr:row>7</xdr:row>
      <xdr:rowOff>28575</xdr:rowOff>
    </xdr:from>
    <xdr:to>
      <xdr:col>2</xdr:col>
      <xdr:colOff>1057275</xdr:colOff>
      <xdr:row>7</xdr:row>
      <xdr:rowOff>152400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>
          <a:grpSpLocks/>
        </xdr:cNvGrpSpPr>
      </xdr:nvGrpSpPr>
      <xdr:grpSpPr bwMode="auto">
        <a:xfrm>
          <a:off x="2809875" y="1539875"/>
          <a:ext cx="1206500" cy="123825"/>
          <a:chOff x="63" y="166"/>
          <a:chExt cx="94" cy="13"/>
        </a:xfrm>
      </xdr:grpSpPr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2" name="Freeform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9525</xdr:colOff>
      <xdr:row>2</xdr:row>
      <xdr:rowOff>171450</xdr:rowOff>
    </xdr:from>
    <xdr:to>
      <xdr:col>2</xdr:col>
      <xdr:colOff>885825</xdr:colOff>
      <xdr:row>7</xdr:row>
      <xdr:rowOff>28575</xdr:rowOff>
    </xdr:to>
    <xdr:sp macro="" textlink="">
      <xdr:nvSpPr>
        <xdr:cNvPr id="63" name="Rectangle 7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>
          <a:spLocks noChangeArrowheads="1"/>
        </xdr:cNvSpPr>
      </xdr:nvSpPr>
      <xdr:spPr bwMode="auto">
        <a:xfrm>
          <a:off x="1838325" y="485775"/>
          <a:ext cx="87630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2</xdr:row>
      <xdr:rowOff>161925</xdr:rowOff>
    </xdr:from>
    <xdr:to>
      <xdr:col>1</xdr:col>
      <xdr:colOff>847725</xdr:colOff>
      <xdr:row>7</xdr:row>
      <xdr:rowOff>19050</xdr:rowOff>
    </xdr:to>
    <xdr:sp macro="" textlink="">
      <xdr:nvSpPr>
        <xdr:cNvPr id="64" name="Rectangle 119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Arrowheads="1"/>
        </xdr:cNvSpPr>
      </xdr:nvSpPr>
      <xdr:spPr bwMode="auto">
        <a:xfrm>
          <a:off x="914400" y="485775"/>
          <a:ext cx="847725" cy="666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3</xdr:col>
      <xdr:colOff>9525</xdr:colOff>
      <xdr:row>2</xdr:row>
      <xdr:rowOff>171450</xdr:rowOff>
    </xdr:from>
    <xdr:to>
      <xdr:col>3</xdr:col>
      <xdr:colOff>857250</xdr:colOff>
      <xdr:row>7</xdr:row>
      <xdr:rowOff>28575</xdr:rowOff>
    </xdr:to>
    <xdr:sp macro="" textlink="">
      <xdr:nvSpPr>
        <xdr:cNvPr id="65" name="Rectangle 120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>
          <a:spLocks noChangeArrowheads="1"/>
        </xdr:cNvSpPr>
      </xdr:nvSpPr>
      <xdr:spPr bwMode="auto">
        <a:xfrm>
          <a:off x="2752725" y="485775"/>
          <a:ext cx="847725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4</xdr:col>
      <xdr:colOff>9525</xdr:colOff>
      <xdr:row>2</xdr:row>
      <xdr:rowOff>171450</xdr:rowOff>
    </xdr:from>
    <xdr:to>
      <xdr:col>4</xdr:col>
      <xdr:colOff>857250</xdr:colOff>
      <xdr:row>7</xdr:row>
      <xdr:rowOff>28575</xdr:rowOff>
    </xdr:to>
    <xdr:sp macro="" textlink="">
      <xdr:nvSpPr>
        <xdr:cNvPr id="66" name="Rectangle 12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>
          <a:spLocks noChangeArrowheads="1"/>
        </xdr:cNvSpPr>
      </xdr:nvSpPr>
      <xdr:spPr bwMode="auto">
        <a:xfrm>
          <a:off x="3667125" y="485775"/>
          <a:ext cx="847725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5</xdr:col>
      <xdr:colOff>9525</xdr:colOff>
      <xdr:row>2</xdr:row>
      <xdr:rowOff>171450</xdr:rowOff>
    </xdr:from>
    <xdr:to>
      <xdr:col>5</xdr:col>
      <xdr:colOff>857250</xdr:colOff>
      <xdr:row>7</xdr:row>
      <xdr:rowOff>28575</xdr:rowOff>
    </xdr:to>
    <xdr:sp macro="" textlink="">
      <xdr:nvSpPr>
        <xdr:cNvPr id="67" name="Rectangle 122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>
          <a:spLocks noChangeArrowheads="1"/>
        </xdr:cNvSpPr>
      </xdr:nvSpPr>
      <xdr:spPr bwMode="auto">
        <a:xfrm>
          <a:off x="4581525" y="485775"/>
          <a:ext cx="847725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6</xdr:col>
      <xdr:colOff>9525</xdr:colOff>
      <xdr:row>2</xdr:row>
      <xdr:rowOff>171450</xdr:rowOff>
    </xdr:from>
    <xdr:to>
      <xdr:col>6</xdr:col>
      <xdr:colOff>857250</xdr:colOff>
      <xdr:row>7</xdr:row>
      <xdr:rowOff>28575</xdr:rowOff>
    </xdr:to>
    <xdr:sp macro="" textlink="">
      <xdr:nvSpPr>
        <xdr:cNvPr id="68" name="Rectangle 123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>
          <a:spLocks noChangeArrowheads="1"/>
        </xdr:cNvSpPr>
      </xdr:nvSpPr>
      <xdr:spPr bwMode="auto">
        <a:xfrm>
          <a:off x="5495925" y="485775"/>
          <a:ext cx="847725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7</xdr:col>
      <xdr:colOff>9525</xdr:colOff>
      <xdr:row>2</xdr:row>
      <xdr:rowOff>171450</xdr:rowOff>
    </xdr:from>
    <xdr:to>
      <xdr:col>7</xdr:col>
      <xdr:colOff>847725</xdr:colOff>
      <xdr:row>7</xdr:row>
      <xdr:rowOff>28575</xdr:rowOff>
    </xdr:to>
    <xdr:sp macro="" textlink="">
      <xdr:nvSpPr>
        <xdr:cNvPr id="69" name="Rectangle 125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>
          <a:spLocks noChangeArrowheads="1"/>
        </xdr:cNvSpPr>
      </xdr:nvSpPr>
      <xdr:spPr bwMode="auto">
        <a:xfrm>
          <a:off x="6410325" y="485775"/>
          <a:ext cx="83820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8</xdr:col>
      <xdr:colOff>9525</xdr:colOff>
      <xdr:row>2</xdr:row>
      <xdr:rowOff>171450</xdr:rowOff>
    </xdr:from>
    <xdr:to>
      <xdr:col>8</xdr:col>
      <xdr:colOff>885825</xdr:colOff>
      <xdr:row>7</xdr:row>
      <xdr:rowOff>28575</xdr:rowOff>
    </xdr:to>
    <xdr:sp macro="" textlink="">
      <xdr:nvSpPr>
        <xdr:cNvPr id="70" name="Rectangle 127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>
          <a:spLocks noChangeArrowheads="1"/>
        </xdr:cNvSpPr>
      </xdr:nvSpPr>
      <xdr:spPr bwMode="auto">
        <a:xfrm>
          <a:off x="7324725" y="485775"/>
          <a:ext cx="87630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9</xdr:col>
      <xdr:colOff>9525</xdr:colOff>
      <xdr:row>2</xdr:row>
      <xdr:rowOff>161925</xdr:rowOff>
    </xdr:from>
    <xdr:to>
      <xdr:col>9</xdr:col>
      <xdr:colOff>857250</xdr:colOff>
      <xdr:row>7</xdr:row>
      <xdr:rowOff>19050</xdr:rowOff>
    </xdr:to>
    <xdr:sp macro="" textlink="">
      <xdr:nvSpPr>
        <xdr:cNvPr id="71" name="Rectangle 128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>
          <a:spLocks noChangeArrowheads="1"/>
        </xdr:cNvSpPr>
      </xdr:nvSpPr>
      <xdr:spPr bwMode="auto">
        <a:xfrm>
          <a:off x="8239125" y="485775"/>
          <a:ext cx="847725" cy="666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10</xdr:col>
      <xdr:colOff>9525</xdr:colOff>
      <xdr:row>2</xdr:row>
      <xdr:rowOff>171450</xdr:rowOff>
    </xdr:from>
    <xdr:to>
      <xdr:col>10</xdr:col>
      <xdr:colOff>847725</xdr:colOff>
      <xdr:row>7</xdr:row>
      <xdr:rowOff>28575</xdr:rowOff>
    </xdr:to>
    <xdr:sp macro="" textlink="">
      <xdr:nvSpPr>
        <xdr:cNvPr id="72" name="Rectangle 129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>
          <a:spLocks noChangeArrowheads="1"/>
        </xdr:cNvSpPr>
      </xdr:nvSpPr>
      <xdr:spPr bwMode="auto">
        <a:xfrm>
          <a:off x="9153525" y="485775"/>
          <a:ext cx="83820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11</xdr:col>
      <xdr:colOff>9525</xdr:colOff>
      <xdr:row>2</xdr:row>
      <xdr:rowOff>161925</xdr:rowOff>
    </xdr:from>
    <xdr:to>
      <xdr:col>11</xdr:col>
      <xdr:colOff>857250</xdr:colOff>
      <xdr:row>7</xdr:row>
      <xdr:rowOff>19050</xdr:rowOff>
    </xdr:to>
    <xdr:sp macro="" textlink="">
      <xdr:nvSpPr>
        <xdr:cNvPr id="73" name="Rectangle 130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>
          <a:spLocks noChangeArrowheads="1"/>
        </xdr:cNvSpPr>
      </xdr:nvSpPr>
      <xdr:spPr bwMode="auto">
        <a:xfrm>
          <a:off x="10067925" y="485775"/>
          <a:ext cx="847725" cy="666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12</xdr:col>
      <xdr:colOff>9525</xdr:colOff>
      <xdr:row>2</xdr:row>
      <xdr:rowOff>171450</xdr:rowOff>
    </xdr:from>
    <xdr:to>
      <xdr:col>12</xdr:col>
      <xdr:colOff>857250</xdr:colOff>
      <xdr:row>7</xdr:row>
      <xdr:rowOff>28575</xdr:rowOff>
    </xdr:to>
    <xdr:sp macro="" textlink="">
      <xdr:nvSpPr>
        <xdr:cNvPr id="74" name="Rectangle 13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Arrowheads="1"/>
        </xdr:cNvSpPr>
      </xdr:nvSpPr>
      <xdr:spPr bwMode="auto">
        <a:xfrm>
          <a:off x="10982325" y="485775"/>
          <a:ext cx="847725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4</xdr:row>
      <xdr:rowOff>0</xdr:rowOff>
    </xdr:from>
    <xdr:to>
      <xdr:col>1</xdr:col>
      <xdr:colOff>303045</xdr:colOff>
      <xdr:row>5</xdr:row>
      <xdr:rowOff>1931</xdr:rowOff>
    </xdr:to>
    <xdr:sp macro="" textlink="">
      <xdr:nvSpPr>
        <xdr:cNvPr id="75" name="Text Box 16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>
          <a:spLocks noChangeArrowheads="1"/>
        </xdr:cNvSpPr>
      </xdr:nvSpPr>
      <xdr:spPr bwMode="auto">
        <a:xfrm>
          <a:off x="914400" y="647700"/>
          <a:ext cx="303045" cy="16385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</a:t>
          </a:r>
        </a:p>
      </xdr:txBody>
    </xdr:sp>
    <xdr:clientData/>
  </xdr:twoCellAnchor>
  <xdr:twoCellAnchor>
    <xdr:from>
      <xdr:col>1</xdr:col>
      <xdr:colOff>762000</xdr:colOff>
      <xdr:row>2</xdr:row>
      <xdr:rowOff>163830</xdr:rowOff>
    </xdr:from>
    <xdr:to>
      <xdr:col>1</xdr:col>
      <xdr:colOff>1066800</xdr:colOff>
      <xdr:row>3</xdr:row>
      <xdr:rowOff>164435</xdr:rowOff>
    </xdr:to>
    <xdr:sp macro="" textlink="">
      <xdr:nvSpPr>
        <xdr:cNvPr id="76" name="Text Box 162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>
          <a:spLocks noChangeArrowheads="1"/>
        </xdr:cNvSpPr>
      </xdr:nvSpPr>
      <xdr:spPr bwMode="auto">
        <a:xfrm>
          <a:off x="1676400" y="487680"/>
          <a:ext cx="152400" cy="1625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</a:t>
          </a:r>
        </a:p>
      </xdr:txBody>
    </xdr:sp>
    <xdr:clientData/>
  </xdr:twoCellAnchor>
  <xdr:twoCellAnchor>
    <xdr:from>
      <xdr:col>9</xdr:col>
      <xdr:colOff>752475</xdr:colOff>
      <xdr:row>4</xdr:row>
      <xdr:rowOff>0</xdr:rowOff>
    </xdr:from>
    <xdr:to>
      <xdr:col>9</xdr:col>
      <xdr:colOff>1047750</xdr:colOff>
      <xdr:row>5</xdr:row>
      <xdr:rowOff>1931</xdr:rowOff>
    </xdr:to>
    <xdr:sp macro="" textlink="">
      <xdr:nvSpPr>
        <xdr:cNvPr id="77" name="Text Box 163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>
          <a:spLocks noChangeArrowheads="1"/>
        </xdr:cNvSpPr>
      </xdr:nvSpPr>
      <xdr:spPr bwMode="auto">
        <a:xfrm>
          <a:off x="8982075" y="647700"/>
          <a:ext cx="161925" cy="16385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22</a:t>
          </a:r>
        </a:p>
      </xdr:txBody>
    </xdr:sp>
    <xdr:clientData/>
  </xdr:twoCellAnchor>
  <xdr:twoCellAnchor>
    <xdr:from>
      <xdr:col>9</xdr:col>
      <xdr:colOff>28575</xdr:colOff>
      <xdr:row>4</xdr:row>
      <xdr:rowOff>19050</xdr:rowOff>
    </xdr:from>
    <xdr:to>
      <xdr:col>9</xdr:col>
      <xdr:colOff>323850</xdr:colOff>
      <xdr:row>5</xdr:row>
      <xdr:rowOff>11994</xdr:rowOff>
    </xdr:to>
    <xdr:sp macro="" textlink="">
      <xdr:nvSpPr>
        <xdr:cNvPr id="78" name="Text Box 164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>
          <a:spLocks noChangeArrowheads="1"/>
        </xdr:cNvSpPr>
      </xdr:nvSpPr>
      <xdr:spPr bwMode="auto">
        <a:xfrm>
          <a:off x="8258175" y="666750"/>
          <a:ext cx="295275" cy="1548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21</a:t>
          </a:r>
        </a:p>
      </xdr:txBody>
    </xdr:sp>
    <xdr:clientData/>
  </xdr:twoCellAnchor>
  <xdr:twoCellAnchor>
    <xdr:from>
      <xdr:col>8</xdr:col>
      <xdr:colOff>763905</xdr:colOff>
      <xdr:row>4</xdr:row>
      <xdr:rowOff>19050</xdr:rowOff>
    </xdr:from>
    <xdr:to>
      <xdr:col>8</xdr:col>
      <xdr:colOff>1066894</xdr:colOff>
      <xdr:row>5</xdr:row>
      <xdr:rowOff>11994</xdr:rowOff>
    </xdr:to>
    <xdr:sp macro="" textlink="">
      <xdr:nvSpPr>
        <xdr:cNvPr id="79" name="Text Box 165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>
          <a:spLocks noChangeArrowheads="1"/>
        </xdr:cNvSpPr>
      </xdr:nvSpPr>
      <xdr:spPr bwMode="auto">
        <a:xfrm>
          <a:off x="8079105" y="666750"/>
          <a:ext cx="150589" cy="1548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20</a:t>
          </a:r>
        </a:p>
      </xdr:txBody>
    </xdr:sp>
    <xdr:clientData/>
  </xdr:twoCellAnchor>
  <xdr:twoCellAnchor>
    <xdr:from>
      <xdr:col>8</xdr:col>
      <xdr:colOff>49530</xdr:colOff>
      <xdr:row>2</xdr:row>
      <xdr:rowOff>144780</xdr:rowOff>
    </xdr:from>
    <xdr:to>
      <xdr:col>8</xdr:col>
      <xdr:colOff>333869</xdr:colOff>
      <xdr:row>3</xdr:row>
      <xdr:rowOff>161899</xdr:rowOff>
    </xdr:to>
    <xdr:sp macro="" textlink="">
      <xdr:nvSpPr>
        <xdr:cNvPr id="80" name="Text Box 166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 txBox="1">
          <a:spLocks noChangeArrowheads="1"/>
        </xdr:cNvSpPr>
      </xdr:nvSpPr>
      <xdr:spPr bwMode="auto">
        <a:xfrm>
          <a:off x="7364730" y="468630"/>
          <a:ext cx="284339" cy="17904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19</a:t>
          </a:r>
        </a:p>
      </xdr:txBody>
    </xdr:sp>
    <xdr:clientData/>
  </xdr:twoCellAnchor>
  <xdr:twoCellAnchor>
    <xdr:from>
      <xdr:col>8</xdr:col>
      <xdr:colOff>49530</xdr:colOff>
      <xdr:row>4</xdr:row>
      <xdr:rowOff>0</xdr:rowOff>
    </xdr:from>
    <xdr:to>
      <xdr:col>8</xdr:col>
      <xdr:colOff>333869</xdr:colOff>
      <xdr:row>5</xdr:row>
      <xdr:rowOff>1931</xdr:rowOff>
    </xdr:to>
    <xdr:sp macro="" textlink="">
      <xdr:nvSpPr>
        <xdr:cNvPr id="81" name="Text Box 167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 txBox="1">
          <a:spLocks noChangeArrowheads="1"/>
        </xdr:cNvSpPr>
      </xdr:nvSpPr>
      <xdr:spPr bwMode="auto">
        <a:xfrm>
          <a:off x="7364730" y="647700"/>
          <a:ext cx="284339" cy="16385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18</a:t>
          </a:r>
        </a:p>
      </xdr:txBody>
    </xdr:sp>
    <xdr:clientData/>
  </xdr:twoCellAnchor>
  <xdr:twoCellAnchor>
    <xdr:from>
      <xdr:col>7</xdr:col>
      <xdr:colOff>733425</xdr:colOff>
      <xdr:row>3</xdr:row>
      <xdr:rowOff>161925</xdr:rowOff>
    </xdr:from>
    <xdr:to>
      <xdr:col>7</xdr:col>
      <xdr:colOff>1028700</xdr:colOff>
      <xdr:row>5</xdr:row>
      <xdr:rowOff>3016</xdr:rowOff>
    </xdr:to>
    <xdr:sp macro="" textlink="">
      <xdr:nvSpPr>
        <xdr:cNvPr id="82" name="Text Box 168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>
          <a:spLocks noChangeArrowheads="1"/>
        </xdr:cNvSpPr>
      </xdr:nvSpPr>
      <xdr:spPr bwMode="auto">
        <a:xfrm>
          <a:off x="7134225" y="647700"/>
          <a:ext cx="180975" cy="1649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17</a:t>
          </a:r>
        </a:p>
      </xdr:txBody>
    </xdr:sp>
    <xdr:clientData/>
  </xdr:twoCellAnchor>
  <xdr:twoCellAnchor>
    <xdr:from>
      <xdr:col>7</xdr:col>
      <xdr:colOff>26670</xdr:colOff>
      <xdr:row>4</xdr:row>
      <xdr:rowOff>0</xdr:rowOff>
    </xdr:from>
    <xdr:to>
      <xdr:col>7</xdr:col>
      <xdr:colOff>323312</xdr:colOff>
      <xdr:row>5</xdr:row>
      <xdr:rowOff>1931</xdr:rowOff>
    </xdr:to>
    <xdr:sp macro="" textlink="">
      <xdr:nvSpPr>
        <xdr:cNvPr id="83" name="Text Box 169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>
          <a:spLocks noChangeArrowheads="1"/>
        </xdr:cNvSpPr>
      </xdr:nvSpPr>
      <xdr:spPr bwMode="auto">
        <a:xfrm>
          <a:off x="6427470" y="647700"/>
          <a:ext cx="296642" cy="16385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16</a:t>
          </a:r>
        </a:p>
      </xdr:txBody>
    </xdr:sp>
    <xdr:clientData/>
  </xdr:twoCellAnchor>
  <xdr:twoCellAnchor>
    <xdr:from>
      <xdr:col>6</xdr:col>
      <xdr:colOff>742950</xdr:colOff>
      <xdr:row>4</xdr:row>
      <xdr:rowOff>0</xdr:rowOff>
    </xdr:from>
    <xdr:to>
      <xdr:col>6</xdr:col>
      <xdr:colOff>1046662</xdr:colOff>
      <xdr:row>5</xdr:row>
      <xdr:rowOff>1931</xdr:rowOff>
    </xdr:to>
    <xdr:sp macro="" textlink="">
      <xdr:nvSpPr>
        <xdr:cNvPr id="84" name="Text Box 170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>
          <a:spLocks noChangeArrowheads="1"/>
        </xdr:cNvSpPr>
      </xdr:nvSpPr>
      <xdr:spPr bwMode="auto">
        <a:xfrm>
          <a:off x="6229350" y="647700"/>
          <a:ext cx="170362" cy="16385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15</a:t>
          </a:r>
        </a:p>
      </xdr:txBody>
    </xdr:sp>
    <xdr:clientData/>
  </xdr:twoCellAnchor>
  <xdr:twoCellAnchor>
    <xdr:from>
      <xdr:col>5</xdr:col>
      <xdr:colOff>725805</xdr:colOff>
      <xdr:row>3</xdr:row>
      <xdr:rowOff>9525</xdr:rowOff>
    </xdr:from>
    <xdr:to>
      <xdr:col>5</xdr:col>
      <xdr:colOff>1028850</xdr:colOff>
      <xdr:row>4</xdr:row>
      <xdr:rowOff>19050</xdr:rowOff>
    </xdr:to>
    <xdr:sp macro="" textlink="">
      <xdr:nvSpPr>
        <xdr:cNvPr id="85" name="Text Box 17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>
          <a:spLocks noChangeArrowheads="1"/>
        </xdr:cNvSpPr>
      </xdr:nvSpPr>
      <xdr:spPr bwMode="auto">
        <a:xfrm>
          <a:off x="5297805" y="495300"/>
          <a:ext cx="18874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13</a:t>
          </a:r>
        </a:p>
      </xdr:txBody>
    </xdr:sp>
    <xdr:clientData/>
  </xdr:twoCellAnchor>
  <xdr:twoCellAnchor>
    <xdr:from>
      <xdr:col>5</xdr:col>
      <xdr:colOff>725805</xdr:colOff>
      <xdr:row>4</xdr:row>
      <xdr:rowOff>19050</xdr:rowOff>
    </xdr:from>
    <xdr:to>
      <xdr:col>5</xdr:col>
      <xdr:colOff>1028850</xdr:colOff>
      <xdr:row>5</xdr:row>
      <xdr:rowOff>11994</xdr:rowOff>
    </xdr:to>
    <xdr:sp macro="" textlink="">
      <xdr:nvSpPr>
        <xdr:cNvPr id="86" name="Text Box 172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>
          <a:spLocks noChangeArrowheads="1"/>
        </xdr:cNvSpPr>
      </xdr:nvSpPr>
      <xdr:spPr bwMode="auto">
        <a:xfrm>
          <a:off x="5297805" y="666750"/>
          <a:ext cx="188745" cy="1548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12</a:t>
          </a:r>
        </a:p>
      </xdr:txBody>
    </xdr:sp>
    <xdr:clientData/>
  </xdr:twoCellAnchor>
  <xdr:twoCellAnchor>
    <xdr:from>
      <xdr:col>5</xdr:col>
      <xdr:colOff>28575</xdr:colOff>
      <xdr:row>4</xdr:row>
      <xdr:rowOff>36195</xdr:rowOff>
    </xdr:from>
    <xdr:to>
      <xdr:col>5</xdr:col>
      <xdr:colOff>323850</xdr:colOff>
      <xdr:row>5</xdr:row>
      <xdr:rowOff>38126</xdr:rowOff>
    </xdr:to>
    <xdr:sp macro="" textlink="">
      <xdr:nvSpPr>
        <xdr:cNvPr id="87" name="Text Box 173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 txBox="1">
          <a:spLocks noChangeArrowheads="1"/>
        </xdr:cNvSpPr>
      </xdr:nvSpPr>
      <xdr:spPr bwMode="auto">
        <a:xfrm>
          <a:off x="4600575" y="683895"/>
          <a:ext cx="295275" cy="16385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11</a:t>
          </a:r>
        </a:p>
      </xdr:txBody>
    </xdr:sp>
    <xdr:clientData/>
  </xdr:twoCellAnchor>
  <xdr:twoCellAnchor>
    <xdr:from>
      <xdr:col>4</xdr:col>
      <xdr:colOff>733425</xdr:colOff>
      <xdr:row>4</xdr:row>
      <xdr:rowOff>19050</xdr:rowOff>
    </xdr:from>
    <xdr:to>
      <xdr:col>4</xdr:col>
      <xdr:colOff>1028700</xdr:colOff>
      <xdr:row>5</xdr:row>
      <xdr:rowOff>11994</xdr:rowOff>
    </xdr:to>
    <xdr:sp macro="" textlink="">
      <xdr:nvSpPr>
        <xdr:cNvPr id="88" name="Text Box 174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>
          <a:spLocks noChangeArrowheads="1"/>
        </xdr:cNvSpPr>
      </xdr:nvSpPr>
      <xdr:spPr bwMode="auto">
        <a:xfrm>
          <a:off x="4391025" y="666750"/>
          <a:ext cx="180975" cy="1548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10</a:t>
          </a:r>
        </a:p>
      </xdr:txBody>
    </xdr:sp>
    <xdr:clientData/>
  </xdr:twoCellAnchor>
  <xdr:twoCellAnchor>
    <xdr:from>
      <xdr:col>4</xdr:col>
      <xdr:colOff>0</xdr:colOff>
      <xdr:row>4</xdr:row>
      <xdr:rowOff>19050</xdr:rowOff>
    </xdr:from>
    <xdr:to>
      <xdr:col>4</xdr:col>
      <xdr:colOff>303045</xdr:colOff>
      <xdr:row>5</xdr:row>
      <xdr:rowOff>11994</xdr:rowOff>
    </xdr:to>
    <xdr:sp macro="" textlink="">
      <xdr:nvSpPr>
        <xdr:cNvPr id="89" name="Text Box 175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>
          <a:spLocks noChangeArrowheads="1"/>
        </xdr:cNvSpPr>
      </xdr:nvSpPr>
      <xdr:spPr bwMode="auto">
        <a:xfrm>
          <a:off x="3657600" y="666750"/>
          <a:ext cx="303045" cy="1548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9</a:t>
          </a:r>
        </a:p>
      </xdr:txBody>
    </xdr:sp>
    <xdr:clientData/>
  </xdr:twoCellAnchor>
  <xdr:twoCellAnchor>
    <xdr:from>
      <xdr:col>3</xdr:col>
      <xdr:colOff>752475</xdr:colOff>
      <xdr:row>4</xdr:row>
      <xdr:rowOff>36195</xdr:rowOff>
    </xdr:from>
    <xdr:to>
      <xdr:col>3</xdr:col>
      <xdr:colOff>1046619</xdr:colOff>
      <xdr:row>5</xdr:row>
      <xdr:rowOff>38126</xdr:rowOff>
    </xdr:to>
    <xdr:sp macro="" textlink="">
      <xdr:nvSpPr>
        <xdr:cNvPr id="90" name="Text Box 176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>
          <a:spLocks noChangeArrowheads="1"/>
        </xdr:cNvSpPr>
      </xdr:nvSpPr>
      <xdr:spPr bwMode="auto">
        <a:xfrm>
          <a:off x="3495675" y="683895"/>
          <a:ext cx="160794" cy="16385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8</a:t>
          </a:r>
        </a:p>
      </xdr:txBody>
    </xdr:sp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323850</xdr:colOff>
      <xdr:row>4</xdr:row>
      <xdr:rowOff>38100</xdr:rowOff>
    </xdr:to>
    <xdr:sp macro="" textlink="">
      <xdr:nvSpPr>
        <xdr:cNvPr id="91" name="Text Box 177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>
          <a:spLocks noChangeArrowheads="1"/>
        </xdr:cNvSpPr>
      </xdr:nvSpPr>
      <xdr:spPr bwMode="auto">
        <a:xfrm>
          <a:off x="2771775" y="514350"/>
          <a:ext cx="2952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7</a:t>
          </a:r>
        </a:p>
      </xdr:txBody>
    </xdr:sp>
    <xdr:clientData/>
  </xdr:twoCellAnchor>
  <xdr:twoCellAnchor>
    <xdr:from>
      <xdr:col>3</xdr:col>
      <xdr:colOff>28575</xdr:colOff>
      <xdr:row>4</xdr:row>
      <xdr:rowOff>19050</xdr:rowOff>
    </xdr:from>
    <xdr:to>
      <xdr:col>3</xdr:col>
      <xdr:colOff>323850</xdr:colOff>
      <xdr:row>5</xdr:row>
      <xdr:rowOff>11994</xdr:rowOff>
    </xdr:to>
    <xdr:sp macro="" textlink="">
      <xdr:nvSpPr>
        <xdr:cNvPr id="92" name="Text Box 178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>
          <a:spLocks noChangeArrowheads="1"/>
        </xdr:cNvSpPr>
      </xdr:nvSpPr>
      <xdr:spPr bwMode="auto">
        <a:xfrm>
          <a:off x="2771775" y="666750"/>
          <a:ext cx="295275" cy="1548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6</a:t>
          </a:r>
        </a:p>
      </xdr:txBody>
    </xdr:sp>
    <xdr:clientData/>
  </xdr:twoCellAnchor>
  <xdr:twoCellAnchor>
    <xdr:from>
      <xdr:col>2</xdr:col>
      <xdr:colOff>792480</xdr:colOff>
      <xdr:row>4</xdr:row>
      <xdr:rowOff>0</xdr:rowOff>
    </xdr:from>
    <xdr:to>
      <xdr:col>2</xdr:col>
      <xdr:colOff>1085629</xdr:colOff>
      <xdr:row>5</xdr:row>
      <xdr:rowOff>1931</xdr:rowOff>
    </xdr:to>
    <xdr:sp macro="" textlink="">
      <xdr:nvSpPr>
        <xdr:cNvPr id="93" name="Text Box 179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 txBox="1">
          <a:spLocks noChangeArrowheads="1"/>
        </xdr:cNvSpPr>
      </xdr:nvSpPr>
      <xdr:spPr bwMode="auto">
        <a:xfrm>
          <a:off x="2621280" y="647700"/>
          <a:ext cx="121699" cy="16385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5</a:t>
          </a:r>
        </a:p>
      </xdr:txBody>
    </xdr:sp>
    <xdr:clientData/>
  </xdr:twoCellAnchor>
  <xdr:twoCellAnchor>
    <xdr:from>
      <xdr:col>2</xdr:col>
      <xdr:colOff>28575</xdr:colOff>
      <xdr:row>4</xdr:row>
      <xdr:rowOff>0</xdr:rowOff>
    </xdr:from>
    <xdr:to>
      <xdr:col>2</xdr:col>
      <xdr:colOff>323850</xdr:colOff>
      <xdr:row>5</xdr:row>
      <xdr:rowOff>1931</xdr:rowOff>
    </xdr:to>
    <xdr:sp macro="" textlink="">
      <xdr:nvSpPr>
        <xdr:cNvPr id="94" name="Text Box 180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 txBox="1">
          <a:spLocks noChangeArrowheads="1"/>
        </xdr:cNvSpPr>
      </xdr:nvSpPr>
      <xdr:spPr bwMode="auto">
        <a:xfrm>
          <a:off x="1857375" y="647700"/>
          <a:ext cx="295275" cy="16385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4</a:t>
          </a:r>
        </a:p>
      </xdr:txBody>
    </xdr:sp>
    <xdr:clientData/>
  </xdr:twoCellAnchor>
  <xdr:twoCellAnchor>
    <xdr:from>
      <xdr:col>1</xdr:col>
      <xdr:colOff>762000</xdr:colOff>
      <xdr:row>3</xdr:row>
      <xdr:rowOff>163830</xdr:rowOff>
    </xdr:from>
    <xdr:to>
      <xdr:col>1</xdr:col>
      <xdr:colOff>1066800</xdr:colOff>
      <xdr:row>5</xdr:row>
      <xdr:rowOff>289</xdr:rowOff>
    </xdr:to>
    <xdr:sp macro="" textlink="">
      <xdr:nvSpPr>
        <xdr:cNvPr id="95" name="Text Box 18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 txBox="1">
          <a:spLocks noChangeArrowheads="1"/>
        </xdr:cNvSpPr>
      </xdr:nvSpPr>
      <xdr:spPr bwMode="auto">
        <a:xfrm>
          <a:off x="1676400" y="649605"/>
          <a:ext cx="152400" cy="16030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</a:t>
          </a:r>
        </a:p>
      </xdr:txBody>
    </xdr:sp>
    <xdr:clientData/>
  </xdr:twoCellAnchor>
  <xdr:twoCellAnchor>
    <xdr:from>
      <xdr:col>6</xdr:col>
      <xdr:colOff>0</xdr:colOff>
      <xdr:row>4</xdr:row>
      <xdr:rowOff>19050</xdr:rowOff>
    </xdr:from>
    <xdr:to>
      <xdr:col>6</xdr:col>
      <xdr:colOff>295275</xdr:colOff>
      <xdr:row>5</xdr:row>
      <xdr:rowOff>11994</xdr:rowOff>
    </xdr:to>
    <xdr:sp macro="" textlink="">
      <xdr:nvSpPr>
        <xdr:cNvPr id="96" name="Text Box 182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>
          <a:spLocks noChangeArrowheads="1"/>
        </xdr:cNvSpPr>
      </xdr:nvSpPr>
      <xdr:spPr bwMode="auto">
        <a:xfrm>
          <a:off x="5486400" y="666750"/>
          <a:ext cx="295275" cy="1548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14</a:t>
          </a:r>
        </a:p>
      </xdr:txBody>
    </xdr:sp>
    <xdr:clientData/>
  </xdr:twoCellAnchor>
  <xdr:twoCellAnchor>
    <xdr:from>
      <xdr:col>11</xdr:col>
      <xdr:colOff>725805</xdr:colOff>
      <xdr:row>3</xdr:row>
      <xdr:rowOff>161925</xdr:rowOff>
    </xdr:from>
    <xdr:to>
      <xdr:col>11</xdr:col>
      <xdr:colOff>1028850</xdr:colOff>
      <xdr:row>5</xdr:row>
      <xdr:rowOff>3016</xdr:rowOff>
    </xdr:to>
    <xdr:sp macro="" textlink="">
      <xdr:nvSpPr>
        <xdr:cNvPr id="97" name="Text Box 183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 txBox="1">
          <a:spLocks noChangeArrowheads="1"/>
        </xdr:cNvSpPr>
      </xdr:nvSpPr>
      <xdr:spPr bwMode="auto">
        <a:xfrm>
          <a:off x="10784205" y="647700"/>
          <a:ext cx="188745" cy="1649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27</a:t>
          </a:r>
        </a:p>
      </xdr:txBody>
    </xdr:sp>
    <xdr:clientData/>
  </xdr:twoCellAnchor>
  <xdr:twoCellAnchor>
    <xdr:from>
      <xdr:col>10</xdr:col>
      <xdr:colOff>9525</xdr:colOff>
      <xdr:row>3</xdr:row>
      <xdr:rowOff>9525</xdr:rowOff>
    </xdr:from>
    <xdr:to>
      <xdr:col>10</xdr:col>
      <xdr:colOff>304800</xdr:colOff>
      <xdr:row>3</xdr:row>
      <xdr:rowOff>164090</xdr:rowOff>
    </xdr:to>
    <xdr:sp macro="" textlink="">
      <xdr:nvSpPr>
        <xdr:cNvPr id="98" name="Text Box 184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 txBox="1">
          <a:spLocks noChangeArrowheads="1"/>
        </xdr:cNvSpPr>
      </xdr:nvSpPr>
      <xdr:spPr bwMode="auto">
        <a:xfrm>
          <a:off x="9153525" y="495300"/>
          <a:ext cx="295275" cy="154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23</a:t>
          </a:r>
        </a:p>
      </xdr:txBody>
    </xdr:sp>
    <xdr:clientData/>
  </xdr:twoCellAnchor>
  <xdr:twoCellAnchor>
    <xdr:from>
      <xdr:col>10</xdr:col>
      <xdr:colOff>26670</xdr:colOff>
      <xdr:row>4</xdr:row>
      <xdr:rowOff>0</xdr:rowOff>
    </xdr:from>
    <xdr:to>
      <xdr:col>10</xdr:col>
      <xdr:colOff>314495</xdr:colOff>
      <xdr:row>5</xdr:row>
      <xdr:rowOff>1931</xdr:rowOff>
    </xdr:to>
    <xdr:sp macro="" textlink="">
      <xdr:nvSpPr>
        <xdr:cNvPr id="99" name="Text Box 185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>
          <a:spLocks noChangeArrowheads="1"/>
        </xdr:cNvSpPr>
      </xdr:nvSpPr>
      <xdr:spPr bwMode="auto">
        <a:xfrm>
          <a:off x="9170670" y="647700"/>
          <a:ext cx="287825" cy="16385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24</a:t>
          </a:r>
        </a:p>
      </xdr:txBody>
    </xdr:sp>
    <xdr:clientData/>
  </xdr:twoCellAnchor>
  <xdr:twoCellAnchor>
    <xdr:from>
      <xdr:col>10</xdr:col>
      <xdr:colOff>741045</xdr:colOff>
      <xdr:row>3</xdr:row>
      <xdr:rowOff>161925</xdr:rowOff>
    </xdr:from>
    <xdr:to>
      <xdr:col>10</xdr:col>
      <xdr:colOff>1037201</xdr:colOff>
      <xdr:row>5</xdr:row>
      <xdr:rowOff>3016</xdr:rowOff>
    </xdr:to>
    <xdr:sp macro="" textlink="">
      <xdr:nvSpPr>
        <xdr:cNvPr id="100" name="Text Box 186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 txBox="1">
          <a:spLocks noChangeArrowheads="1"/>
        </xdr:cNvSpPr>
      </xdr:nvSpPr>
      <xdr:spPr bwMode="auto">
        <a:xfrm>
          <a:off x="9885045" y="647700"/>
          <a:ext cx="172331" cy="1649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25</a:t>
          </a:r>
        </a:p>
      </xdr:txBody>
    </xdr:sp>
    <xdr:clientData/>
  </xdr:twoCellAnchor>
  <xdr:twoCellAnchor>
    <xdr:from>
      <xdr:col>11</xdr:col>
      <xdr:colOff>30480</xdr:colOff>
      <xdr:row>4</xdr:row>
      <xdr:rowOff>0</xdr:rowOff>
    </xdr:from>
    <xdr:to>
      <xdr:col>11</xdr:col>
      <xdr:colOff>333419</xdr:colOff>
      <xdr:row>5</xdr:row>
      <xdr:rowOff>1931</xdr:rowOff>
    </xdr:to>
    <xdr:sp macro="" textlink="">
      <xdr:nvSpPr>
        <xdr:cNvPr id="101" name="Text Box 187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 txBox="1">
          <a:spLocks noChangeArrowheads="1"/>
        </xdr:cNvSpPr>
      </xdr:nvSpPr>
      <xdr:spPr bwMode="auto">
        <a:xfrm>
          <a:off x="10088880" y="647700"/>
          <a:ext cx="302939" cy="16385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26</a:t>
          </a:r>
        </a:p>
      </xdr:txBody>
    </xdr:sp>
    <xdr:clientData/>
  </xdr:twoCellAnchor>
  <xdr:twoCellAnchor>
    <xdr:from>
      <xdr:col>0</xdr:col>
      <xdr:colOff>142875</xdr:colOff>
      <xdr:row>4</xdr:row>
      <xdr:rowOff>0</xdr:rowOff>
    </xdr:from>
    <xdr:to>
      <xdr:col>0</xdr:col>
      <xdr:colOff>657225</xdr:colOff>
      <xdr:row>5</xdr:row>
      <xdr:rowOff>19194</xdr:rowOff>
    </xdr:to>
    <xdr:sp macro="" textlink="">
      <xdr:nvSpPr>
        <xdr:cNvPr id="102" name="Text Box 188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 txBox="1">
          <a:spLocks noChangeArrowheads="1"/>
        </xdr:cNvSpPr>
      </xdr:nvSpPr>
      <xdr:spPr bwMode="auto">
        <a:xfrm>
          <a:off x="142875" y="647700"/>
          <a:ext cx="514350" cy="1811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 Rounded MT Bold"/>
            </a:rPr>
            <a:t>BI #</a:t>
          </a:r>
        </a:p>
      </xdr:txBody>
    </xdr:sp>
    <xdr:clientData/>
  </xdr:twoCellAnchor>
  <xdr:twoCellAnchor>
    <xdr:from>
      <xdr:col>12</xdr:col>
      <xdr:colOff>742950</xdr:colOff>
      <xdr:row>4</xdr:row>
      <xdr:rowOff>19050</xdr:rowOff>
    </xdr:from>
    <xdr:to>
      <xdr:col>12</xdr:col>
      <xdr:colOff>1046662</xdr:colOff>
      <xdr:row>5</xdr:row>
      <xdr:rowOff>11994</xdr:rowOff>
    </xdr:to>
    <xdr:sp macro="" textlink="">
      <xdr:nvSpPr>
        <xdr:cNvPr id="103" name="Text Box 200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 txBox="1">
          <a:spLocks noChangeArrowheads="1"/>
        </xdr:cNvSpPr>
      </xdr:nvSpPr>
      <xdr:spPr bwMode="auto">
        <a:xfrm>
          <a:off x="11715750" y="666750"/>
          <a:ext cx="170362" cy="1548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30</a:t>
          </a:r>
        </a:p>
      </xdr:txBody>
    </xdr:sp>
    <xdr:clientData/>
  </xdr:twoCellAnchor>
  <xdr:twoCellAnchor>
    <xdr:from>
      <xdr:col>12</xdr:col>
      <xdr:colOff>57150</xdr:colOff>
      <xdr:row>4</xdr:row>
      <xdr:rowOff>36195</xdr:rowOff>
    </xdr:from>
    <xdr:to>
      <xdr:col>12</xdr:col>
      <xdr:colOff>334746</xdr:colOff>
      <xdr:row>5</xdr:row>
      <xdr:rowOff>38126</xdr:rowOff>
    </xdr:to>
    <xdr:sp macro="" textlink="">
      <xdr:nvSpPr>
        <xdr:cNvPr id="104" name="Text Box 20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 txBox="1">
          <a:spLocks noChangeArrowheads="1"/>
        </xdr:cNvSpPr>
      </xdr:nvSpPr>
      <xdr:spPr bwMode="auto">
        <a:xfrm>
          <a:off x="11029950" y="683895"/>
          <a:ext cx="277596" cy="16385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28</a:t>
          </a:r>
        </a:p>
      </xdr:txBody>
    </xdr:sp>
    <xdr:clientData/>
  </xdr:twoCellAnchor>
  <xdr:twoCellAnchor>
    <xdr:from>
      <xdr:col>12</xdr:col>
      <xdr:colOff>742950</xdr:colOff>
      <xdr:row>3</xdr:row>
      <xdr:rowOff>0</xdr:rowOff>
    </xdr:from>
    <xdr:to>
      <xdr:col>12</xdr:col>
      <xdr:colOff>1046662</xdr:colOff>
      <xdr:row>4</xdr:row>
      <xdr:rowOff>19384</xdr:rowOff>
    </xdr:to>
    <xdr:sp macro="" textlink="">
      <xdr:nvSpPr>
        <xdr:cNvPr id="105" name="Text Box 202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 txBox="1">
          <a:spLocks noChangeArrowheads="1"/>
        </xdr:cNvSpPr>
      </xdr:nvSpPr>
      <xdr:spPr bwMode="auto">
        <a:xfrm>
          <a:off x="11715750" y="485775"/>
          <a:ext cx="170362" cy="18130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10</xdr:row>
          <xdr:rowOff>66675</xdr:rowOff>
        </xdr:from>
        <xdr:to>
          <xdr:col>17</xdr:col>
          <xdr:colOff>771525</xdr:colOff>
          <xdr:row>12</xdr:row>
          <xdr:rowOff>228600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IF NOT ALREADY DONE - CLICK BUTTON TO CREATE LOT LIST VALIDATORS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704850</xdr:rowOff>
        </xdr:from>
        <xdr:to>
          <xdr:col>19</xdr:col>
          <xdr:colOff>485775</xdr:colOff>
          <xdr:row>1</xdr:row>
          <xdr:rowOff>1104900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Print All Available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5</xdr:row>
          <xdr:rowOff>647700</xdr:rowOff>
        </xdr:from>
        <xdr:to>
          <xdr:col>20</xdr:col>
          <xdr:colOff>409575</xdr:colOff>
          <xdr:row>5</xdr:row>
          <xdr:rowOff>1209675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Update Loop List to print individual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485775</xdr:colOff>
          <xdr:row>0</xdr:row>
          <xdr:rowOff>581025</xdr:rowOff>
        </xdr:from>
        <xdr:to>
          <xdr:col>16</xdr:col>
          <xdr:colOff>266700</xdr:colOff>
          <xdr:row>3</xdr:row>
          <xdr:rowOff>161925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Run after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57150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RUN THIS MACRO                       AFTER BIC IS SET-UP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1</xdr:row>
          <xdr:rowOff>152400</xdr:rowOff>
        </xdr:from>
        <xdr:to>
          <xdr:col>6</xdr:col>
          <xdr:colOff>723900</xdr:colOff>
          <xdr:row>3</xdr:row>
          <xdr:rowOff>47625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3</xdr:row>
          <xdr:rowOff>180975</xdr:rowOff>
        </xdr:from>
        <xdr:to>
          <xdr:col>6</xdr:col>
          <xdr:colOff>723900</xdr:colOff>
          <xdr:row>5</xdr:row>
          <xdr:rowOff>66675</xdr:rowOff>
        </xdr:to>
        <xdr:sp macro="" textlink="">
          <xdr:nvSpPr>
            <xdr:cNvPr id="11266" name="Check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B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5</xdr:row>
          <xdr:rowOff>171450</xdr:rowOff>
        </xdr:from>
        <xdr:to>
          <xdr:col>6</xdr:col>
          <xdr:colOff>714375</xdr:colOff>
          <xdr:row>7</xdr:row>
          <xdr:rowOff>66675</xdr:rowOff>
        </xdr:to>
        <xdr:sp macro="" textlink="">
          <xdr:nvSpPr>
            <xdr:cNvPr id="11267" name="Check Box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7</xdr:row>
          <xdr:rowOff>171450</xdr:rowOff>
        </xdr:from>
        <xdr:to>
          <xdr:col>6</xdr:col>
          <xdr:colOff>723900</xdr:colOff>
          <xdr:row>9</xdr:row>
          <xdr:rowOff>66675</xdr:rowOff>
        </xdr:to>
        <xdr:sp macro="" textlink="">
          <xdr:nvSpPr>
            <xdr:cNvPr id="11268" name="Check Box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28</xdr:row>
          <xdr:rowOff>19050</xdr:rowOff>
        </xdr:from>
        <xdr:to>
          <xdr:col>6</xdr:col>
          <xdr:colOff>47625</xdr:colOff>
          <xdr:row>28</xdr:row>
          <xdr:rowOff>247650</xdr:rowOff>
        </xdr:to>
        <xdr:sp macro="" textlink="">
          <xdr:nvSpPr>
            <xdr:cNvPr id="11269" name="Check Box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9</xdr:row>
          <xdr:rowOff>171450</xdr:rowOff>
        </xdr:from>
        <xdr:to>
          <xdr:col>6</xdr:col>
          <xdr:colOff>723900</xdr:colOff>
          <xdr:row>11</xdr:row>
          <xdr:rowOff>57150</xdr:rowOff>
        </xdr:to>
        <xdr:sp macro="" textlink="">
          <xdr:nvSpPr>
            <xdr:cNvPr id="11270" name="Check Box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B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cmfg4\maritza\Documents%20and%20Settings\Jeannie.BUSSE\My%20Documents\Projects1-%20General\Manufacturing%20Data%20Ba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Documents%20and%20Settings\Jeannie.BUSSE\My%20Documents\STERILE%20GOODS\Sterile%20Finished%20Goods%20Projec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BusseMeeting.BUSSEINC\AppData\Local\Microsoft\Windows\INetCache\Content.Outlook\JBAQUXMM\New%20Issue%20component%20Request%20Form%20Sample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se1\fs1\Users\BusseMeeting.BUSSEINC\AppData\Local\Microsoft\Windows\INetCache\Content.Outlook\JBAQUXMM\New%20Issue%20component%20Request%20Form%20Sample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My%20Documents\COMPLAINT%20TRACKING%2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DOCUME~1\pkgclerk\LOCALS~1\Temp\Sterile%20Finished%20Goods%20Project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Jeannie\STERILE%20GOODS\Sterile%20Finished%20Goods%20Project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se1\fs1\DOCUME~1\pkgclerk\LOCALS~1\Temp\Sterile%20Finished%20Goods%20Projec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AppData\Local\Microsoft\Windows\INetCache\Content.Outlook\UVNE7F39\Released%20Schedule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Jeannie\STERILE%20GOODS\Sterile%20Goods%20R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Desktop\Pack%20Off%20SOP%2009-54%20SOP%20Forms%20DCO%230160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od PKG IPIR"/>
      <sheetName val="Sheet3"/>
      <sheetName val="Sheet2"/>
      <sheetName val="Sheet1"/>
      <sheetName val="Sheet4"/>
      <sheetName val="Sheet5"/>
      <sheetName val="Sheet6"/>
      <sheetName val="Sheet8"/>
      <sheetName val="Sheet10"/>
      <sheetName val="Sheet7"/>
      <sheetName val="C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CAT #</v>
          </cell>
          <cell r="B1" t="str">
            <v>Cat or Comp</v>
          </cell>
          <cell r="C1" t="str">
            <v>Description</v>
          </cell>
          <cell r="D1" t="str">
            <v>QAS #</v>
          </cell>
          <cell r="E1" t="str">
            <v>Effective Date</v>
          </cell>
          <cell r="F1" t="str">
            <v>Private CAT #</v>
          </cell>
          <cell r="K1" t="str">
            <v>Visual</v>
          </cell>
          <cell r="L1" t="str">
            <v>Functional</v>
          </cell>
          <cell r="P1" t="str">
            <v>Dimensional</v>
          </cell>
          <cell r="Q1" t="str">
            <v>Dispenser (Sample Size)</v>
          </cell>
          <cell r="R1" t="str">
            <v>Shipping Container (Sample Size)</v>
          </cell>
          <cell r="S1" t="str">
            <v>Critical Defect</v>
          </cell>
          <cell r="T1" t="str">
            <v>Major Defect</v>
          </cell>
          <cell r="U1" t="str">
            <v>Minor Defect</v>
          </cell>
          <cell r="V1" t="str">
            <v>Case Pack</v>
          </cell>
          <cell r="W1" t="str">
            <v>Visual-Level</v>
          </cell>
          <cell r="X1" t="str">
            <v>Area</v>
          </cell>
          <cell r="Y1" t="str">
            <v>Disp. In Case</v>
          </cell>
          <cell r="Z1" t="str">
            <v>Lane Tooling or Cycles</v>
          </cell>
          <cell r="AA1" t="str">
            <v>Machine</v>
          </cell>
          <cell r="AB1" t="str">
            <v>Sterile or Non-Sterile</v>
          </cell>
          <cell r="AC1" t="str">
            <v>Sterilization Method</v>
          </cell>
          <cell r="AD1" t="str">
            <v>Medical Device or Non-Medical Device</v>
          </cell>
          <cell r="AE1" t="str">
            <v>510(K) # or Pre-Amendment or Exempt</v>
          </cell>
          <cell r="AF1" t="str">
            <v>FDA Classification</v>
          </cell>
          <cell r="AG1" t="str">
            <v>Exp. Date</v>
          </cell>
          <cell r="AH1" t="str">
            <v>Requires MSDS (Y OR N)</v>
          </cell>
          <cell r="AI1" t="str">
            <v>LATEX           OR        LATEX FREE</v>
          </cell>
          <cell r="AJ1" t="str">
            <v>Current or Discontinued</v>
          </cell>
          <cell r="AK1" t="str">
            <v>Paper Top</v>
          </cell>
          <cell r="AL1" t="str">
            <v>Paper Bottom</v>
          </cell>
          <cell r="AM1" t="str">
            <v>Content Card</v>
          </cell>
          <cell r="AO1" t="str">
            <v>Shipper Label</v>
          </cell>
          <cell r="AQ1" t="str">
            <v>Print Mat</v>
          </cell>
          <cell r="AS1" t="str">
            <v>Other Label</v>
          </cell>
        </row>
        <row r="2">
          <cell r="AM2" t="str">
            <v>Part #</v>
          </cell>
          <cell r="AN2" t="str">
            <v>Revision</v>
          </cell>
          <cell r="AO2" t="str">
            <v>Part #</v>
          </cell>
          <cell r="AP2" t="str">
            <v>Revision</v>
          </cell>
          <cell r="AQ2" t="str">
            <v>Part #</v>
          </cell>
          <cell r="AR2" t="str">
            <v>Revision</v>
          </cell>
          <cell r="AS2" t="str">
            <v>Part #</v>
          </cell>
          <cell r="AT2" t="str">
            <v>Revision</v>
          </cell>
          <cell r="AU2" t="str">
            <v>Comp#</v>
          </cell>
          <cell r="AV2" t="str">
            <v>Part #</v>
          </cell>
        </row>
        <row r="3">
          <cell r="A3">
            <v>140</v>
          </cell>
          <cell r="B3" t="str">
            <v>Cat #</v>
          </cell>
          <cell r="C3" t="str">
            <v>Bulk 2oz Kraton Bulb Syringe/200</v>
          </cell>
          <cell r="D3" t="str">
            <v>140 ETAL</v>
          </cell>
          <cell r="E3">
            <v>37032</v>
          </cell>
          <cell r="F3" t="str">
            <v>N/A</v>
          </cell>
          <cell r="K3" t="str">
            <v>S-4</v>
          </cell>
          <cell r="L3" t="str">
            <v>N/A</v>
          </cell>
          <cell r="P3" t="str">
            <v>N/A</v>
          </cell>
          <cell r="Q3" t="str">
            <v>N/A</v>
          </cell>
          <cell r="R3" t="str">
            <v>8</v>
          </cell>
          <cell r="S3" t="str">
            <v>0</v>
          </cell>
          <cell r="T3" t="str">
            <v>1.5</v>
          </cell>
          <cell r="U3" t="str">
            <v>2.5</v>
          </cell>
          <cell r="V3" t="str">
            <v>200</v>
          </cell>
          <cell r="W3" t="str">
            <v>S-4</v>
          </cell>
          <cell r="X3" t="str">
            <v>Manufacturing</v>
          </cell>
          <cell r="Y3" t="str">
            <v>N/A</v>
          </cell>
          <cell r="Z3" t="str">
            <v>N/A</v>
          </cell>
          <cell r="AA3" t="str">
            <v>Manufacturing</v>
          </cell>
          <cell r="AB3" t="str">
            <v>Non-Sterile</v>
          </cell>
          <cell r="AC3" t="str">
            <v>N/A</v>
          </cell>
          <cell r="AG3" t="str">
            <v>N/A</v>
          </cell>
          <cell r="AH3" t="str">
            <v>N</v>
          </cell>
          <cell r="AI3" t="str">
            <v>LATEX FREE</v>
          </cell>
          <cell r="AJ3" t="str">
            <v xml:space="preserve">Current  </v>
          </cell>
          <cell r="AK3" t="str">
            <v>N/A</v>
          </cell>
          <cell r="AL3" t="str">
            <v>N/A</v>
          </cell>
          <cell r="AM3" t="str">
            <v>N/A</v>
          </cell>
          <cell r="AN3" t="str">
            <v>N/A</v>
          </cell>
          <cell r="AO3" t="str">
            <v>LF140CSL</v>
          </cell>
          <cell r="AP3" t="str">
            <v>N/A</v>
          </cell>
          <cell r="AQ3" t="str">
            <v>N/A</v>
          </cell>
          <cell r="AR3" t="str">
            <v>N/A</v>
          </cell>
          <cell r="AS3" t="str">
            <v>N/A</v>
          </cell>
          <cell r="AT3" t="str">
            <v>N/A</v>
          </cell>
          <cell r="AU3" t="str">
            <v>1481B,2963A</v>
          </cell>
          <cell r="AV3" t="str">
            <v>N/A</v>
          </cell>
        </row>
        <row r="4">
          <cell r="A4">
            <v>144</v>
          </cell>
          <cell r="B4" t="str">
            <v>Cat #</v>
          </cell>
          <cell r="C4" t="str">
            <v>Bulk 2oz Bulb Syringe/200</v>
          </cell>
          <cell r="D4" t="str">
            <v>144</v>
          </cell>
          <cell r="E4">
            <v>37306</v>
          </cell>
          <cell r="F4" t="str">
            <v>N/A</v>
          </cell>
          <cell r="K4" t="str">
            <v>S-4</v>
          </cell>
          <cell r="L4" t="str">
            <v>N/A</v>
          </cell>
          <cell r="P4" t="str">
            <v>N/A</v>
          </cell>
          <cell r="Q4" t="str">
            <v>N/A</v>
          </cell>
          <cell r="R4" t="str">
            <v>8</v>
          </cell>
          <cell r="S4" t="str">
            <v>0</v>
          </cell>
          <cell r="T4" t="str">
            <v>1.5</v>
          </cell>
          <cell r="U4" t="str">
            <v>2.5</v>
          </cell>
          <cell r="V4">
            <v>200</v>
          </cell>
          <cell r="X4" t="str">
            <v>Manufacturing</v>
          </cell>
          <cell r="Y4" t="str">
            <v>N/A</v>
          </cell>
          <cell r="Z4" t="str">
            <v>N/A</v>
          </cell>
          <cell r="AA4" t="str">
            <v>R.F. Room</v>
          </cell>
          <cell r="AB4" t="str">
            <v>Non-Sterile</v>
          </cell>
          <cell r="AC4" t="str">
            <v>N/A</v>
          </cell>
          <cell r="AG4" t="str">
            <v>N/A</v>
          </cell>
          <cell r="AH4" t="str">
            <v>N</v>
          </cell>
          <cell r="AI4" t="str">
            <v>LATEX FREE</v>
          </cell>
          <cell r="AJ4" t="str">
            <v>Current</v>
          </cell>
          <cell r="AK4" t="str">
            <v>N/A</v>
          </cell>
          <cell r="AL4" t="str">
            <v>N/A</v>
          </cell>
          <cell r="AM4" t="str">
            <v>N/A</v>
          </cell>
          <cell r="AN4" t="str">
            <v>N/A</v>
          </cell>
          <cell r="AO4" t="str">
            <v>LF144CSL</v>
          </cell>
          <cell r="AP4" t="str">
            <v>N/A</v>
          </cell>
          <cell r="AS4" t="str">
            <v>N/A</v>
          </cell>
          <cell r="AT4" t="str">
            <v>N/A</v>
          </cell>
          <cell r="AU4" t="str">
            <v>1420BN,2963A</v>
          </cell>
          <cell r="AV4" t="str">
            <v>N/A</v>
          </cell>
        </row>
        <row r="5">
          <cell r="A5">
            <v>145</v>
          </cell>
          <cell r="B5" t="str">
            <v>Cat #</v>
          </cell>
          <cell r="C5" t="str">
            <v>Bulk 3oz Bulb Syringe/100</v>
          </cell>
          <cell r="D5" t="str">
            <v>145</v>
          </cell>
          <cell r="E5">
            <v>37306</v>
          </cell>
          <cell r="F5" t="str">
            <v>N/A</v>
          </cell>
          <cell r="K5" t="str">
            <v>S-4</v>
          </cell>
          <cell r="L5" t="str">
            <v>N/A</v>
          </cell>
          <cell r="P5" t="str">
            <v>N/A</v>
          </cell>
          <cell r="Q5" t="str">
            <v>N/A</v>
          </cell>
          <cell r="R5" t="str">
            <v>8</v>
          </cell>
          <cell r="S5" t="str">
            <v>0</v>
          </cell>
          <cell r="T5" t="str">
            <v>1.5</v>
          </cell>
          <cell r="U5" t="str">
            <v>2.5</v>
          </cell>
          <cell r="V5">
            <v>100</v>
          </cell>
          <cell r="X5" t="str">
            <v>Manufacturing</v>
          </cell>
          <cell r="Y5" t="str">
            <v>N/A</v>
          </cell>
          <cell r="Z5" t="str">
            <v>N/A</v>
          </cell>
          <cell r="AA5" t="str">
            <v>R.F. Room</v>
          </cell>
          <cell r="AB5" t="str">
            <v>Non-Sterile</v>
          </cell>
          <cell r="AC5" t="str">
            <v>N/A</v>
          </cell>
          <cell r="AG5" t="str">
            <v>N/A</v>
          </cell>
          <cell r="AH5" t="str">
            <v>N</v>
          </cell>
          <cell r="AI5" t="str">
            <v>LATEX FREE</v>
          </cell>
          <cell r="AJ5" t="str">
            <v>Current</v>
          </cell>
          <cell r="AK5" t="str">
            <v>N/A</v>
          </cell>
          <cell r="AL5" t="str">
            <v>N/A</v>
          </cell>
          <cell r="AM5" t="str">
            <v>N/A</v>
          </cell>
          <cell r="AN5" t="str">
            <v>N/A</v>
          </cell>
          <cell r="AO5" t="str">
            <v>LF145CSL</v>
          </cell>
          <cell r="AP5" t="str">
            <v>N/A</v>
          </cell>
          <cell r="AS5" t="str">
            <v>N/A</v>
          </cell>
          <cell r="AT5" t="str">
            <v>N/A</v>
          </cell>
          <cell r="AU5" t="str">
            <v>1430BN,2963A</v>
          </cell>
          <cell r="AV5" t="str">
            <v>N/A</v>
          </cell>
        </row>
        <row r="6">
          <cell r="A6">
            <v>146</v>
          </cell>
          <cell r="B6" t="str">
            <v>Cat #</v>
          </cell>
          <cell r="C6" t="str">
            <v>Bulk 1oz Bulb Syringe/200</v>
          </cell>
          <cell r="D6" t="str">
            <v>146</v>
          </cell>
          <cell r="E6">
            <v>37306</v>
          </cell>
          <cell r="F6" t="str">
            <v>N/A</v>
          </cell>
          <cell r="K6" t="str">
            <v>S-4</v>
          </cell>
          <cell r="L6" t="str">
            <v>N/A</v>
          </cell>
          <cell r="P6" t="str">
            <v>N/A</v>
          </cell>
          <cell r="Q6" t="str">
            <v>N/A</v>
          </cell>
          <cell r="R6" t="str">
            <v>8</v>
          </cell>
          <cell r="S6" t="str">
            <v>0</v>
          </cell>
          <cell r="T6" t="str">
            <v>1.5</v>
          </cell>
          <cell r="U6" t="str">
            <v>2.5</v>
          </cell>
          <cell r="V6">
            <v>200</v>
          </cell>
          <cell r="X6" t="str">
            <v>Manufacturing</v>
          </cell>
          <cell r="Y6" t="str">
            <v>N/A</v>
          </cell>
          <cell r="Z6" t="str">
            <v>N/A</v>
          </cell>
          <cell r="AA6" t="str">
            <v>R.F. Room</v>
          </cell>
          <cell r="AB6" t="str">
            <v>Non-Sterile</v>
          </cell>
          <cell r="AC6" t="str">
            <v>N/A</v>
          </cell>
          <cell r="AG6" t="str">
            <v>N/A</v>
          </cell>
          <cell r="AH6" t="str">
            <v>N</v>
          </cell>
          <cell r="AI6" t="str">
            <v>LATEX FREE</v>
          </cell>
          <cell r="AJ6" t="str">
            <v>Current</v>
          </cell>
          <cell r="AK6" t="str">
            <v>N/A</v>
          </cell>
          <cell r="AL6" t="str">
            <v>N/A</v>
          </cell>
          <cell r="AM6" t="str">
            <v>N/A</v>
          </cell>
          <cell r="AN6" t="str">
            <v>N/A</v>
          </cell>
          <cell r="AO6" t="str">
            <v>LF146CSL</v>
          </cell>
          <cell r="AP6" t="str">
            <v>N/A</v>
          </cell>
          <cell r="AS6" t="str">
            <v>N/A</v>
          </cell>
          <cell r="AT6" t="str">
            <v>N/A</v>
          </cell>
          <cell r="AU6" t="str">
            <v>1410B,2963A</v>
          </cell>
          <cell r="AV6" t="str">
            <v>N/A</v>
          </cell>
        </row>
        <row r="7">
          <cell r="A7">
            <v>147</v>
          </cell>
          <cell r="B7" t="str">
            <v>Cat #</v>
          </cell>
          <cell r="C7" t="str">
            <v>Bulk 3oz Kraton Bulb Syringe/100</v>
          </cell>
          <cell r="D7" t="str">
            <v>140 ETAL</v>
          </cell>
          <cell r="E7">
            <v>37032</v>
          </cell>
          <cell r="F7" t="str">
            <v>N/A</v>
          </cell>
          <cell r="K7" t="str">
            <v>S-4</v>
          </cell>
          <cell r="L7" t="str">
            <v>N/A</v>
          </cell>
          <cell r="P7" t="str">
            <v>N/A</v>
          </cell>
          <cell r="Q7" t="str">
            <v>N/A</v>
          </cell>
          <cell r="R7" t="str">
            <v>8</v>
          </cell>
          <cell r="S7" t="str">
            <v>0</v>
          </cell>
          <cell r="T7" t="str">
            <v>1.5</v>
          </cell>
          <cell r="U7" t="str">
            <v>2.5</v>
          </cell>
          <cell r="V7" t="str">
            <v>100</v>
          </cell>
          <cell r="W7" t="str">
            <v>S-4</v>
          </cell>
          <cell r="X7" t="str">
            <v>Manufacturing</v>
          </cell>
          <cell r="Y7" t="str">
            <v>N/A</v>
          </cell>
          <cell r="Z7" t="str">
            <v>N/A</v>
          </cell>
          <cell r="AA7" t="str">
            <v>Manufacturing</v>
          </cell>
          <cell r="AB7" t="str">
            <v>Non-Sterile</v>
          </cell>
          <cell r="AC7" t="str">
            <v>N/A</v>
          </cell>
          <cell r="AG7" t="str">
            <v>N/A</v>
          </cell>
          <cell r="AH7" t="str">
            <v>N</v>
          </cell>
          <cell r="AI7" t="str">
            <v>LATEX FREE</v>
          </cell>
          <cell r="AJ7" t="str">
            <v>Current</v>
          </cell>
          <cell r="AK7" t="str">
            <v>N/A</v>
          </cell>
          <cell r="AL7" t="str">
            <v>N/A</v>
          </cell>
          <cell r="AM7" t="str">
            <v>N/A</v>
          </cell>
          <cell r="AN7" t="str">
            <v>N/A</v>
          </cell>
          <cell r="AO7" t="str">
            <v>LF147CSL</v>
          </cell>
          <cell r="AP7" t="str">
            <v>N/A</v>
          </cell>
          <cell r="AS7" t="str">
            <v>N/A</v>
          </cell>
          <cell r="AT7" t="str">
            <v>N/A</v>
          </cell>
          <cell r="AU7" t="str">
            <v>1491B,2963A</v>
          </cell>
          <cell r="AV7" t="str">
            <v>N/A</v>
          </cell>
        </row>
        <row r="8">
          <cell r="A8" t="str">
            <v>174TP</v>
          </cell>
          <cell r="B8" t="str">
            <v>Comp #</v>
          </cell>
          <cell r="C8" t="str">
            <v>Sub-Assembly of Components 1747/200</v>
          </cell>
          <cell r="D8" t="str">
            <v>174TP ETAL</v>
          </cell>
          <cell r="E8">
            <v>36564</v>
          </cell>
          <cell r="F8" t="str">
            <v>N/A</v>
          </cell>
          <cell r="K8" t="str">
            <v>S-4</v>
          </cell>
          <cell r="L8" t="str">
            <v>N/A</v>
          </cell>
          <cell r="P8" t="str">
            <v>8</v>
          </cell>
          <cell r="Q8" t="str">
            <v>N/A</v>
          </cell>
          <cell r="R8" t="str">
            <v>8</v>
          </cell>
          <cell r="S8" t="str">
            <v>0</v>
          </cell>
          <cell r="T8" t="str">
            <v>1.5</v>
          </cell>
          <cell r="U8" t="str">
            <v>2.5</v>
          </cell>
          <cell r="V8">
            <v>200</v>
          </cell>
          <cell r="W8" t="str">
            <v>S-4</v>
          </cell>
          <cell r="X8" t="str">
            <v>Manufacturing</v>
          </cell>
          <cell r="Y8" t="str">
            <v>N/A</v>
          </cell>
          <cell r="Z8" t="str">
            <v>N/A</v>
          </cell>
          <cell r="AA8" t="str">
            <v>Shroud Area</v>
          </cell>
          <cell r="AB8" t="str">
            <v>Non-Sterile</v>
          </cell>
          <cell r="AC8" t="str">
            <v>N/A</v>
          </cell>
          <cell r="AG8" t="str">
            <v>N/A</v>
          </cell>
          <cell r="AH8" t="str">
            <v>N</v>
          </cell>
          <cell r="AI8" t="str">
            <v>LATEX FREE</v>
          </cell>
          <cell r="AJ8" t="str">
            <v>Current</v>
          </cell>
          <cell r="AK8" t="str">
            <v>N/A</v>
          </cell>
          <cell r="AL8" t="str">
            <v>N/A</v>
          </cell>
          <cell r="AM8" t="str">
            <v>N/A</v>
          </cell>
          <cell r="AN8" t="str">
            <v>N/A</v>
          </cell>
          <cell r="AO8" t="str">
            <v>N/A</v>
          </cell>
          <cell r="AP8" t="str">
            <v>N/A</v>
          </cell>
          <cell r="AS8" t="str">
            <v>Reuse 8252A 10x</v>
          </cell>
          <cell r="AT8" t="str">
            <v>N/A</v>
          </cell>
          <cell r="AU8" t="str">
            <v>N/A</v>
          </cell>
          <cell r="AV8" t="str">
            <v>7003A,3377A,7254,9013A-1,7007</v>
          </cell>
        </row>
        <row r="9">
          <cell r="A9">
            <v>199</v>
          </cell>
          <cell r="B9" t="str">
            <v>Cat #</v>
          </cell>
          <cell r="C9" t="str">
            <v>Bulk White Fluid Resistant Gown/ Open Back/50</v>
          </cell>
          <cell r="F9" t="str">
            <v>N/A</v>
          </cell>
          <cell r="Q9" t="str">
            <v>N/A</v>
          </cell>
          <cell r="V9">
            <v>50</v>
          </cell>
          <cell r="X9" t="str">
            <v>Manufacturing</v>
          </cell>
          <cell r="Y9" t="str">
            <v>N/A</v>
          </cell>
          <cell r="Z9" t="str">
            <v>N/A</v>
          </cell>
          <cell r="AA9" t="str">
            <v>Relabel</v>
          </cell>
          <cell r="AB9" t="str">
            <v>Non-Sterile</v>
          </cell>
          <cell r="AC9" t="str">
            <v>N/A</v>
          </cell>
          <cell r="AG9" t="str">
            <v>N/A</v>
          </cell>
          <cell r="AH9" t="str">
            <v>N</v>
          </cell>
          <cell r="AI9" t="str">
            <v>LATEX FREE</v>
          </cell>
          <cell r="AJ9" t="str">
            <v>Current</v>
          </cell>
          <cell r="AK9" t="str">
            <v>N/A</v>
          </cell>
          <cell r="AL9" t="str">
            <v>N/A</v>
          </cell>
          <cell r="AM9" t="str">
            <v>N/A</v>
          </cell>
          <cell r="AN9" t="str">
            <v>N/A</v>
          </cell>
          <cell r="AO9" t="str">
            <v>N/A</v>
          </cell>
          <cell r="AP9" t="str">
            <v>N/A</v>
          </cell>
          <cell r="AS9" t="str">
            <v>Printed shipper carton</v>
          </cell>
          <cell r="AT9" t="str">
            <v>N/A</v>
          </cell>
          <cell r="AU9" t="str">
            <v>N/A</v>
          </cell>
          <cell r="AV9" t="str">
            <v>199</v>
          </cell>
        </row>
        <row r="10">
          <cell r="A10">
            <v>200</v>
          </cell>
          <cell r="B10" t="str">
            <v>Cat #</v>
          </cell>
          <cell r="C10" t="str">
            <v>Bulk White Fluid Resistant Gown/ Full Back/50</v>
          </cell>
          <cell r="F10" t="str">
            <v>N/A</v>
          </cell>
          <cell r="Q10" t="str">
            <v>N/A</v>
          </cell>
          <cell r="V10">
            <v>50</v>
          </cell>
          <cell r="X10" t="str">
            <v>Manufacturing</v>
          </cell>
          <cell r="Y10" t="str">
            <v>N/A</v>
          </cell>
          <cell r="Z10" t="str">
            <v>N/A</v>
          </cell>
          <cell r="AA10" t="str">
            <v>Relabel</v>
          </cell>
          <cell r="AB10" t="str">
            <v>Non-Sterile</v>
          </cell>
          <cell r="AC10" t="str">
            <v>N/A</v>
          </cell>
          <cell r="AG10" t="str">
            <v>N/A</v>
          </cell>
          <cell r="AH10" t="str">
            <v>N</v>
          </cell>
          <cell r="AI10" t="str">
            <v>LATEX FREE</v>
          </cell>
          <cell r="AJ10" t="str">
            <v>Current</v>
          </cell>
          <cell r="AK10" t="str">
            <v>N/A</v>
          </cell>
          <cell r="AL10" t="str">
            <v>N/A</v>
          </cell>
          <cell r="AM10" t="str">
            <v>N/A</v>
          </cell>
          <cell r="AN10" t="str">
            <v>N/A</v>
          </cell>
          <cell r="AO10" t="str">
            <v>N/A</v>
          </cell>
          <cell r="AP10" t="str">
            <v>N/A</v>
          </cell>
          <cell r="AS10" t="str">
            <v>Printed shipper carton</v>
          </cell>
          <cell r="AT10" t="str">
            <v>N/A</v>
          </cell>
          <cell r="AU10" t="str">
            <v>N/A</v>
          </cell>
          <cell r="AV10" t="str">
            <v>200</v>
          </cell>
        </row>
        <row r="11">
          <cell r="A11">
            <v>201</v>
          </cell>
          <cell r="B11" t="str">
            <v>Cat #</v>
          </cell>
          <cell r="C11" t="str">
            <v>Bulk Yellow Fluid Resistant Gown/ Open Back/50</v>
          </cell>
          <cell r="Q11" t="str">
            <v>N/A</v>
          </cell>
          <cell r="V11">
            <v>50</v>
          </cell>
          <cell r="X11" t="str">
            <v>Manufacturing</v>
          </cell>
          <cell r="Y11" t="str">
            <v>N/A</v>
          </cell>
          <cell r="Z11" t="str">
            <v>N/A</v>
          </cell>
          <cell r="AA11" t="str">
            <v>Relabel</v>
          </cell>
          <cell r="AB11" t="str">
            <v>Non-Sterile</v>
          </cell>
          <cell r="AC11" t="str">
            <v>N/A</v>
          </cell>
          <cell r="AG11" t="str">
            <v>N/A</v>
          </cell>
          <cell r="AH11" t="str">
            <v>N</v>
          </cell>
          <cell r="AI11" t="str">
            <v>LATEX FREE</v>
          </cell>
          <cell r="AJ11" t="str">
            <v>Current</v>
          </cell>
          <cell r="AK11" t="str">
            <v>N/A</v>
          </cell>
          <cell r="AL11" t="str">
            <v>N/A</v>
          </cell>
          <cell r="AM11" t="str">
            <v>N/A</v>
          </cell>
          <cell r="AN11" t="str">
            <v>N/A</v>
          </cell>
          <cell r="AO11" t="str">
            <v>N/A</v>
          </cell>
          <cell r="AP11" t="str">
            <v>N/A</v>
          </cell>
          <cell r="AS11" t="str">
            <v>Printed shipper carton</v>
          </cell>
          <cell r="AT11" t="str">
            <v>N/A</v>
          </cell>
          <cell r="AU11" t="str">
            <v>N/A</v>
          </cell>
          <cell r="AV11" t="str">
            <v>201</v>
          </cell>
        </row>
        <row r="12">
          <cell r="A12">
            <v>202</v>
          </cell>
          <cell r="B12" t="str">
            <v>Cat #</v>
          </cell>
          <cell r="C12" t="str">
            <v>Bulk Yellow Isolation Gown/ Full Back/50</v>
          </cell>
          <cell r="Q12" t="str">
            <v>N/A</v>
          </cell>
          <cell r="V12">
            <v>50</v>
          </cell>
          <cell r="X12" t="str">
            <v>Manufacturing</v>
          </cell>
          <cell r="Y12" t="str">
            <v>N/A</v>
          </cell>
          <cell r="Z12" t="str">
            <v>N/A</v>
          </cell>
          <cell r="AA12" t="str">
            <v>Relabel</v>
          </cell>
          <cell r="AB12" t="str">
            <v>Non-Sterile</v>
          </cell>
          <cell r="AC12" t="str">
            <v>N/A</v>
          </cell>
          <cell r="AG12" t="str">
            <v>N/A</v>
          </cell>
          <cell r="AH12" t="str">
            <v>N</v>
          </cell>
          <cell r="AI12" t="str">
            <v>LATEX FREE</v>
          </cell>
          <cell r="AJ12" t="str">
            <v>Current</v>
          </cell>
          <cell r="AK12" t="str">
            <v>N/A</v>
          </cell>
          <cell r="AL12" t="str">
            <v>N/A</v>
          </cell>
          <cell r="AM12" t="str">
            <v>N/A</v>
          </cell>
          <cell r="AN12" t="str">
            <v>N/A</v>
          </cell>
          <cell r="AO12" t="str">
            <v xml:space="preserve">LF202SL (If needed) </v>
          </cell>
          <cell r="AP12" t="str">
            <v>N/A</v>
          </cell>
          <cell r="AS12" t="str">
            <v>N/A</v>
          </cell>
          <cell r="AT12" t="str">
            <v>N/A</v>
          </cell>
          <cell r="AU12" t="str">
            <v>N/A</v>
          </cell>
          <cell r="AV12" t="str">
            <v>202</v>
          </cell>
        </row>
        <row r="13">
          <cell r="A13">
            <v>203</v>
          </cell>
          <cell r="B13" t="str">
            <v>Cat #</v>
          </cell>
          <cell r="C13" t="str">
            <v>Bulk Yellow Fluid Resistant Gown/ Full Back W/ Ribbed Knit Cuffs/50</v>
          </cell>
          <cell r="Q13" t="str">
            <v>N/A</v>
          </cell>
          <cell r="V13">
            <v>50</v>
          </cell>
          <cell r="X13" t="str">
            <v>Manufacturing</v>
          </cell>
          <cell r="Y13" t="str">
            <v>N/A</v>
          </cell>
          <cell r="Z13" t="str">
            <v>N/A</v>
          </cell>
          <cell r="AA13" t="str">
            <v>Relabel</v>
          </cell>
          <cell r="AB13" t="str">
            <v>Non-Sterile</v>
          </cell>
          <cell r="AC13" t="str">
            <v>N/A</v>
          </cell>
          <cell r="AG13" t="str">
            <v>N/A</v>
          </cell>
          <cell r="AH13" t="str">
            <v>N</v>
          </cell>
          <cell r="AI13" t="str">
            <v>LATEX FREE</v>
          </cell>
          <cell r="AJ13" t="str">
            <v>Current</v>
          </cell>
          <cell r="AK13" t="str">
            <v>N/A</v>
          </cell>
          <cell r="AL13" t="str">
            <v>N/A</v>
          </cell>
          <cell r="AM13" t="str">
            <v>N/A</v>
          </cell>
          <cell r="AN13" t="str">
            <v>N/A</v>
          </cell>
          <cell r="AO13" t="str">
            <v>N/A</v>
          </cell>
          <cell r="AP13" t="str">
            <v>N/A</v>
          </cell>
          <cell r="AS13" t="str">
            <v>Printed shipper carton</v>
          </cell>
          <cell r="AT13" t="str">
            <v>N/A</v>
          </cell>
          <cell r="AU13" t="str">
            <v>N/A</v>
          </cell>
          <cell r="AV13" t="str">
            <v>203</v>
          </cell>
        </row>
        <row r="14">
          <cell r="A14">
            <v>205</v>
          </cell>
          <cell r="B14" t="str">
            <v>Cat #</v>
          </cell>
          <cell r="C14" t="str">
            <v>Bulk White Fluid Resistant Gown/ Full Back/ Polycoated W/ Knit Cuffs/50</v>
          </cell>
          <cell r="Q14" t="str">
            <v>N/A</v>
          </cell>
          <cell r="V14">
            <v>50</v>
          </cell>
          <cell r="X14" t="str">
            <v>Manufacturing</v>
          </cell>
          <cell r="Y14" t="str">
            <v>N/A</v>
          </cell>
          <cell r="Z14" t="str">
            <v>N/A</v>
          </cell>
          <cell r="AA14" t="str">
            <v>Relabel</v>
          </cell>
          <cell r="AB14" t="str">
            <v>Non-Sterile</v>
          </cell>
          <cell r="AC14" t="str">
            <v>N/A</v>
          </cell>
          <cell r="AG14" t="str">
            <v>N/A</v>
          </cell>
          <cell r="AH14" t="str">
            <v>N</v>
          </cell>
          <cell r="AI14" t="str">
            <v>LATEX FREE</v>
          </cell>
          <cell r="AJ14" t="str">
            <v>Current</v>
          </cell>
          <cell r="AK14" t="str">
            <v>N/A</v>
          </cell>
          <cell r="AL14" t="str">
            <v>N/A</v>
          </cell>
          <cell r="AM14" t="str">
            <v>N/A</v>
          </cell>
          <cell r="AN14" t="str">
            <v>N/A</v>
          </cell>
          <cell r="AO14" t="str">
            <v>LF205SL (If needed)</v>
          </cell>
          <cell r="AP14" t="str">
            <v>N/A</v>
          </cell>
          <cell r="AS14" t="str">
            <v>N/A</v>
          </cell>
          <cell r="AT14" t="str">
            <v>N/A</v>
          </cell>
          <cell r="AU14" t="str">
            <v>N/A</v>
          </cell>
          <cell r="AV14" t="str">
            <v>205</v>
          </cell>
        </row>
        <row r="15">
          <cell r="A15">
            <v>210</v>
          </cell>
          <cell r="B15" t="str">
            <v>Cat #</v>
          </cell>
          <cell r="C15" t="str">
            <v>BLUE P/C GWN W/OP/BACK 50</v>
          </cell>
          <cell r="AJ15" t="str">
            <v>Dicscontinued</v>
          </cell>
        </row>
        <row r="16">
          <cell r="A16" t="str">
            <v>211</v>
          </cell>
          <cell r="B16" t="str">
            <v>Cat#</v>
          </cell>
          <cell r="C16" t="str">
            <v>XL Yellow Isolation Gown</v>
          </cell>
          <cell r="Q16" t="str">
            <v>N/A</v>
          </cell>
          <cell r="V16">
            <v>50</v>
          </cell>
          <cell r="X16" t="str">
            <v>Manufacturing</v>
          </cell>
          <cell r="Y16" t="str">
            <v>N/A</v>
          </cell>
          <cell r="Z16" t="str">
            <v>N/A</v>
          </cell>
          <cell r="AA16" t="str">
            <v>Relabel</v>
          </cell>
          <cell r="AB16" t="str">
            <v>Non-Sterile</v>
          </cell>
          <cell r="AC16" t="str">
            <v>N/A</v>
          </cell>
          <cell r="AG16" t="str">
            <v>N/A</v>
          </cell>
          <cell r="AH16" t="str">
            <v>N</v>
          </cell>
          <cell r="AI16" t="str">
            <v>LATEX FREE</v>
          </cell>
          <cell r="AJ16" t="str">
            <v>Current</v>
          </cell>
          <cell r="AK16" t="str">
            <v>N/A</v>
          </cell>
          <cell r="AL16" t="str">
            <v>N/A</v>
          </cell>
          <cell r="AM16" t="str">
            <v>N/A</v>
          </cell>
          <cell r="AN16" t="str">
            <v>N/A</v>
          </cell>
          <cell r="AO16" t="str">
            <v>211S</v>
          </cell>
          <cell r="AP16" t="str">
            <v>N/A</v>
          </cell>
          <cell r="AS16" t="str">
            <v>N/A</v>
          </cell>
          <cell r="AT16" t="str">
            <v>N/A</v>
          </cell>
          <cell r="AU16" t="str">
            <v>N/A</v>
          </cell>
          <cell r="AV16" t="str">
            <v>211</v>
          </cell>
        </row>
        <row r="17">
          <cell r="A17">
            <v>212</v>
          </cell>
          <cell r="B17" t="str">
            <v>Cat #</v>
          </cell>
          <cell r="C17" t="str">
            <v>Bulk White Large Coverall/ Zipper Front/ Open Cuffs/25</v>
          </cell>
          <cell r="Q17" t="str">
            <v>N/A</v>
          </cell>
          <cell r="V17">
            <v>25</v>
          </cell>
          <cell r="X17" t="str">
            <v>Manufacturing</v>
          </cell>
          <cell r="Y17" t="str">
            <v>N/A</v>
          </cell>
          <cell r="Z17" t="str">
            <v>N/A</v>
          </cell>
          <cell r="AA17" t="str">
            <v>Relabel</v>
          </cell>
          <cell r="AB17" t="str">
            <v>Non-Sterile</v>
          </cell>
          <cell r="AC17" t="str">
            <v>N/A</v>
          </cell>
          <cell r="AG17" t="str">
            <v>N/A</v>
          </cell>
          <cell r="AH17" t="str">
            <v>N</v>
          </cell>
          <cell r="AI17" t="str">
            <v>LATEX FREE</v>
          </cell>
          <cell r="AJ17" t="str">
            <v>Current</v>
          </cell>
          <cell r="AK17" t="str">
            <v>N/A</v>
          </cell>
          <cell r="AL17" t="str">
            <v>N/A</v>
          </cell>
          <cell r="AM17" t="str">
            <v>N/A</v>
          </cell>
          <cell r="AN17" t="str">
            <v>N/A</v>
          </cell>
          <cell r="AO17" t="str">
            <v>LF212SL (If needed)</v>
          </cell>
          <cell r="AP17" t="str">
            <v>N/A</v>
          </cell>
          <cell r="AS17" t="str">
            <v>N/A</v>
          </cell>
          <cell r="AT17" t="str">
            <v>N/A</v>
          </cell>
          <cell r="AU17" t="str">
            <v>N/A</v>
          </cell>
          <cell r="AV17" t="str">
            <v>212</v>
          </cell>
        </row>
        <row r="18">
          <cell r="A18">
            <v>213</v>
          </cell>
          <cell r="B18" t="str">
            <v>Cat #</v>
          </cell>
          <cell r="C18" t="str">
            <v>Bulk White XL Coverall/ Zipper/ Open Cuffs/25</v>
          </cell>
          <cell r="Q18" t="str">
            <v>N/A</v>
          </cell>
          <cell r="V18">
            <v>25</v>
          </cell>
          <cell r="X18" t="str">
            <v>Manufacturing</v>
          </cell>
          <cell r="Y18" t="str">
            <v>N/A</v>
          </cell>
          <cell r="Z18" t="str">
            <v>N/A</v>
          </cell>
          <cell r="AA18" t="str">
            <v>Relabel</v>
          </cell>
          <cell r="AB18" t="str">
            <v>Non-Sterile</v>
          </cell>
          <cell r="AC18" t="str">
            <v>N/A</v>
          </cell>
          <cell r="AG18" t="str">
            <v>N/A</v>
          </cell>
          <cell r="AH18" t="str">
            <v>N</v>
          </cell>
          <cell r="AI18" t="str">
            <v>LATEX FREE</v>
          </cell>
          <cell r="AJ18" t="str">
            <v>Current</v>
          </cell>
          <cell r="AK18" t="str">
            <v>N/A</v>
          </cell>
          <cell r="AL18" t="str">
            <v>N/A</v>
          </cell>
          <cell r="AM18" t="str">
            <v>N/A</v>
          </cell>
          <cell r="AN18" t="str">
            <v>N/A</v>
          </cell>
          <cell r="AO18" t="str">
            <v>LF213SL (If needed)</v>
          </cell>
          <cell r="AP18" t="str">
            <v>N/A</v>
          </cell>
          <cell r="AS18" t="str">
            <v>N/A</v>
          </cell>
          <cell r="AT18" t="str">
            <v>N/A</v>
          </cell>
          <cell r="AU18" t="str">
            <v>N/A</v>
          </cell>
          <cell r="AV18" t="str">
            <v>213</v>
          </cell>
        </row>
        <row r="19">
          <cell r="A19">
            <v>214</v>
          </cell>
          <cell r="B19" t="str">
            <v>Cat #</v>
          </cell>
          <cell r="C19" t="str">
            <v>Bulk White Large Coverall/ Zipper Front/ Elastic Cuffs/25</v>
          </cell>
          <cell r="Q19" t="str">
            <v>N/A</v>
          </cell>
          <cell r="V19">
            <v>25</v>
          </cell>
          <cell r="X19" t="str">
            <v>Manufacturing</v>
          </cell>
          <cell r="Y19" t="str">
            <v>N/A</v>
          </cell>
          <cell r="Z19" t="str">
            <v>N/A</v>
          </cell>
          <cell r="AA19" t="str">
            <v>Relabel</v>
          </cell>
          <cell r="AB19" t="str">
            <v>Non-Sterile</v>
          </cell>
          <cell r="AC19" t="str">
            <v>N/A</v>
          </cell>
          <cell r="AG19" t="str">
            <v>N/A</v>
          </cell>
          <cell r="AH19" t="str">
            <v>N</v>
          </cell>
          <cell r="AI19" t="str">
            <v>LATEX FREE</v>
          </cell>
          <cell r="AJ19" t="str">
            <v>Current</v>
          </cell>
          <cell r="AK19" t="str">
            <v>N/A</v>
          </cell>
          <cell r="AL19" t="str">
            <v>N/A</v>
          </cell>
          <cell r="AM19" t="str">
            <v>N/A</v>
          </cell>
          <cell r="AN19" t="str">
            <v>N/A</v>
          </cell>
          <cell r="AO19" t="str">
            <v>LF214SL (If needed)</v>
          </cell>
          <cell r="AP19" t="str">
            <v>N/A</v>
          </cell>
          <cell r="AS19" t="str">
            <v>N/A</v>
          </cell>
          <cell r="AT19" t="str">
            <v>N/A</v>
          </cell>
          <cell r="AU19" t="str">
            <v>N/A</v>
          </cell>
          <cell r="AV19" t="str">
            <v>214</v>
          </cell>
        </row>
        <row r="20">
          <cell r="A20">
            <v>215</v>
          </cell>
          <cell r="B20" t="str">
            <v>Cat #</v>
          </cell>
          <cell r="C20" t="str">
            <v>Bulk White XL Coverall/ Zipper Front/ Elastic Cuffs/25</v>
          </cell>
          <cell r="Q20" t="str">
            <v>N/A</v>
          </cell>
          <cell r="V20">
            <v>25</v>
          </cell>
          <cell r="X20" t="str">
            <v>Manufacturing</v>
          </cell>
          <cell r="Y20" t="str">
            <v>N/A</v>
          </cell>
          <cell r="Z20" t="str">
            <v>N/A</v>
          </cell>
          <cell r="AA20" t="str">
            <v>Relabel</v>
          </cell>
          <cell r="AB20" t="str">
            <v>Non-Sterile</v>
          </cell>
          <cell r="AC20" t="str">
            <v>N/A</v>
          </cell>
          <cell r="AG20" t="str">
            <v>N/A</v>
          </cell>
          <cell r="AH20" t="str">
            <v>N</v>
          </cell>
          <cell r="AI20" t="str">
            <v>LATEX FREE</v>
          </cell>
          <cell r="AJ20" t="str">
            <v>Current</v>
          </cell>
          <cell r="AK20" t="str">
            <v>N/A</v>
          </cell>
          <cell r="AL20" t="str">
            <v>N/A</v>
          </cell>
          <cell r="AM20" t="str">
            <v>N/A</v>
          </cell>
          <cell r="AN20" t="str">
            <v>N/A</v>
          </cell>
          <cell r="AO20" t="str">
            <v>LF215SL (If needed)</v>
          </cell>
          <cell r="AP20" t="str">
            <v>N/A</v>
          </cell>
          <cell r="AS20" t="str">
            <v>N/A</v>
          </cell>
          <cell r="AT20" t="str">
            <v>N/A</v>
          </cell>
          <cell r="AU20" t="str">
            <v>N/A</v>
          </cell>
          <cell r="AV20" t="str">
            <v>215</v>
          </cell>
        </row>
        <row r="21">
          <cell r="A21">
            <v>219</v>
          </cell>
          <cell r="B21" t="str">
            <v>Cat #</v>
          </cell>
          <cell r="C21" t="str">
            <v>Bulk White XL Coverall/ Zipper/ Elastic Wrist &amp; Ankle Cuffs/25</v>
          </cell>
          <cell r="Q21" t="str">
            <v>N/A</v>
          </cell>
          <cell r="V21">
            <v>25</v>
          </cell>
          <cell r="X21" t="str">
            <v>Manufacturing</v>
          </cell>
          <cell r="Y21" t="str">
            <v>N/A</v>
          </cell>
          <cell r="Z21" t="str">
            <v>N/A</v>
          </cell>
          <cell r="AA21" t="str">
            <v>Relabel</v>
          </cell>
          <cell r="AB21" t="str">
            <v>Non-Sterile</v>
          </cell>
          <cell r="AC21" t="str">
            <v>N/A</v>
          </cell>
          <cell r="AG21" t="str">
            <v>N/A</v>
          </cell>
          <cell r="AH21" t="str">
            <v>N</v>
          </cell>
          <cell r="AI21" t="str">
            <v>LATEX FREE</v>
          </cell>
          <cell r="AJ21" t="str">
            <v>Current</v>
          </cell>
          <cell r="AK21" t="str">
            <v>N/A</v>
          </cell>
          <cell r="AL21" t="str">
            <v>N/A</v>
          </cell>
          <cell r="AM21" t="str">
            <v>N/A</v>
          </cell>
          <cell r="AN21" t="str">
            <v>N/A</v>
          </cell>
          <cell r="AO21" t="str">
            <v>LF219SL (If needed)</v>
          </cell>
          <cell r="AP21" t="str">
            <v>N/A</v>
          </cell>
          <cell r="AS21" t="str">
            <v>N/A</v>
          </cell>
          <cell r="AT21" t="str">
            <v>N/A</v>
          </cell>
          <cell r="AU21" t="str">
            <v>N/A</v>
          </cell>
          <cell r="AV21" t="str">
            <v>219</v>
          </cell>
        </row>
        <row r="22">
          <cell r="A22" t="str">
            <v>222</v>
          </cell>
          <cell r="B22" t="str">
            <v>Cat#</v>
          </cell>
          <cell r="C22" t="str">
            <v>SMS Sm/Med White Labcoat/ Knit Cuffs/25</v>
          </cell>
          <cell r="Q22" t="str">
            <v>N/A</v>
          </cell>
          <cell r="V22">
            <v>25</v>
          </cell>
          <cell r="X22" t="str">
            <v>Manufacturing</v>
          </cell>
          <cell r="Y22" t="str">
            <v>N/A</v>
          </cell>
          <cell r="Z22" t="str">
            <v>N/A</v>
          </cell>
          <cell r="AA22" t="str">
            <v>Relabel</v>
          </cell>
          <cell r="AB22" t="str">
            <v>Non-Sterile</v>
          </cell>
          <cell r="AC22" t="str">
            <v>N/A</v>
          </cell>
          <cell r="AG22" t="str">
            <v>N/A</v>
          </cell>
          <cell r="AH22" t="str">
            <v>N</v>
          </cell>
          <cell r="AI22" t="str">
            <v>LATEX FREE</v>
          </cell>
          <cell r="AJ22" t="str">
            <v>Current</v>
          </cell>
          <cell r="AK22" t="str">
            <v>N/A</v>
          </cell>
          <cell r="AL22" t="str">
            <v>N/A</v>
          </cell>
          <cell r="AM22" t="str">
            <v>N/A</v>
          </cell>
          <cell r="AN22" t="str">
            <v>N/A</v>
          </cell>
          <cell r="AO22" t="str">
            <v>N/A</v>
          </cell>
          <cell r="AP22" t="str">
            <v>N/A</v>
          </cell>
          <cell r="AS22" t="str">
            <v>Printed shipper carton</v>
          </cell>
          <cell r="AT22" t="str">
            <v>N/A</v>
          </cell>
          <cell r="AU22" t="str">
            <v>N/A</v>
          </cell>
          <cell r="AV22" t="str">
            <v>222</v>
          </cell>
        </row>
        <row r="23">
          <cell r="A23" t="str">
            <v>223</v>
          </cell>
          <cell r="B23" t="str">
            <v>Cat#</v>
          </cell>
          <cell r="C23" t="str">
            <v>XXL White Labcoat/ Knit Collar &amp; Cuffs/30</v>
          </cell>
          <cell r="Q23" t="str">
            <v>N/A</v>
          </cell>
          <cell r="V23">
            <v>30</v>
          </cell>
          <cell r="X23" t="str">
            <v>Manufacturing</v>
          </cell>
          <cell r="Y23" t="str">
            <v>N/A</v>
          </cell>
          <cell r="Z23" t="str">
            <v>N/A</v>
          </cell>
          <cell r="AA23" t="str">
            <v>Relabel</v>
          </cell>
          <cell r="AB23" t="str">
            <v>Non-Sterile</v>
          </cell>
          <cell r="AC23" t="str">
            <v>N/A</v>
          </cell>
          <cell r="AG23" t="str">
            <v>N/A</v>
          </cell>
          <cell r="AH23" t="str">
            <v>N</v>
          </cell>
          <cell r="AI23" t="str">
            <v>LATEX FREE</v>
          </cell>
          <cell r="AJ23" t="str">
            <v>Current</v>
          </cell>
          <cell r="AK23" t="str">
            <v>N/A</v>
          </cell>
          <cell r="AL23" t="str">
            <v>N/A</v>
          </cell>
          <cell r="AM23" t="str">
            <v>N/A</v>
          </cell>
          <cell r="AN23" t="str">
            <v>N/A</v>
          </cell>
          <cell r="AO23" t="str">
            <v>N/A</v>
          </cell>
          <cell r="AP23" t="str">
            <v>N/A</v>
          </cell>
          <cell r="AS23" t="str">
            <v>Printed shipper carton</v>
          </cell>
          <cell r="AT23" t="str">
            <v>N/A</v>
          </cell>
          <cell r="AU23" t="str">
            <v>N/A</v>
          </cell>
          <cell r="AV23" t="str">
            <v>223</v>
          </cell>
        </row>
        <row r="24">
          <cell r="A24">
            <v>224</v>
          </cell>
          <cell r="B24" t="str">
            <v>Cat #</v>
          </cell>
          <cell r="C24" t="str">
            <v>Bulk Blue Sm/Med Labcoat/ Knit Collar &amp; Cuffs/30</v>
          </cell>
          <cell r="Q24" t="str">
            <v>N/A</v>
          </cell>
          <cell r="V24">
            <v>30</v>
          </cell>
          <cell r="X24" t="str">
            <v>Manufacturing</v>
          </cell>
          <cell r="Y24" t="str">
            <v>N/A</v>
          </cell>
          <cell r="Z24" t="str">
            <v>N/A</v>
          </cell>
          <cell r="AA24" t="str">
            <v>Relabel</v>
          </cell>
          <cell r="AB24" t="str">
            <v>Non-Sterile</v>
          </cell>
          <cell r="AC24" t="str">
            <v>N/A</v>
          </cell>
          <cell r="AG24" t="str">
            <v>N/A</v>
          </cell>
          <cell r="AH24" t="str">
            <v>N</v>
          </cell>
          <cell r="AI24" t="str">
            <v>LATEX FREE</v>
          </cell>
          <cell r="AJ24" t="str">
            <v>Current</v>
          </cell>
          <cell r="AK24" t="str">
            <v>N/A</v>
          </cell>
          <cell r="AL24" t="str">
            <v>N/A</v>
          </cell>
          <cell r="AM24" t="str">
            <v>N/A</v>
          </cell>
          <cell r="AN24" t="str">
            <v>N/A</v>
          </cell>
          <cell r="AO24" t="str">
            <v>LF224SL (If needed)</v>
          </cell>
          <cell r="AP24" t="str">
            <v>N/A</v>
          </cell>
          <cell r="AS24" t="str">
            <v>N/A</v>
          </cell>
          <cell r="AT24" t="str">
            <v>N/A</v>
          </cell>
          <cell r="AU24" t="str">
            <v>N/A</v>
          </cell>
          <cell r="AV24" t="str">
            <v>224</v>
          </cell>
        </row>
        <row r="25">
          <cell r="A25" t="str">
            <v>225</v>
          </cell>
          <cell r="B25" t="str">
            <v>Cat#</v>
          </cell>
          <cell r="C25" t="str">
            <v>SMS Lg/XL White Labcoat/ Knit Cuffs/25</v>
          </cell>
          <cell r="Q25" t="str">
            <v>N/A</v>
          </cell>
          <cell r="V25">
            <v>25</v>
          </cell>
          <cell r="X25" t="str">
            <v>Manufacturing</v>
          </cell>
          <cell r="Y25" t="str">
            <v>N/A</v>
          </cell>
          <cell r="Z25" t="str">
            <v>N/A</v>
          </cell>
          <cell r="AA25" t="str">
            <v>Relabel</v>
          </cell>
          <cell r="AB25" t="str">
            <v>Non-Sterile</v>
          </cell>
          <cell r="AC25" t="str">
            <v>N/A</v>
          </cell>
          <cell r="AG25" t="str">
            <v>N/A</v>
          </cell>
          <cell r="AH25" t="str">
            <v>N</v>
          </cell>
          <cell r="AI25" t="str">
            <v>LATEX FREE</v>
          </cell>
          <cell r="AJ25" t="str">
            <v>Current</v>
          </cell>
          <cell r="AK25" t="str">
            <v>N/A</v>
          </cell>
          <cell r="AL25" t="str">
            <v>N/A</v>
          </cell>
          <cell r="AM25" t="str">
            <v>N/A</v>
          </cell>
          <cell r="AN25" t="str">
            <v>N/A</v>
          </cell>
          <cell r="AO25" t="str">
            <v>225S</v>
          </cell>
          <cell r="AP25" t="str">
            <v>N/A</v>
          </cell>
          <cell r="AS25" t="str">
            <v>N/A</v>
          </cell>
          <cell r="AT25" t="str">
            <v>N/A</v>
          </cell>
          <cell r="AU25" t="str">
            <v>N/A</v>
          </cell>
          <cell r="AV25" t="str">
            <v>225</v>
          </cell>
        </row>
        <row r="26">
          <cell r="A26">
            <v>226</v>
          </cell>
          <cell r="B26" t="str">
            <v>Cat #</v>
          </cell>
          <cell r="C26" t="str">
            <v>Bulk White Sm/Med Labcoat/ Knit Collar &amp; Cuffs/30</v>
          </cell>
          <cell r="Q26" t="str">
            <v>N/A</v>
          </cell>
          <cell r="V26">
            <v>30</v>
          </cell>
          <cell r="X26" t="str">
            <v>Manufacturing</v>
          </cell>
          <cell r="Y26" t="str">
            <v>N/A</v>
          </cell>
          <cell r="Z26" t="str">
            <v>N/A</v>
          </cell>
          <cell r="AA26" t="str">
            <v>Relabel</v>
          </cell>
          <cell r="AB26" t="str">
            <v>Non-Sterile</v>
          </cell>
          <cell r="AC26" t="str">
            <v>N/A</v>
          </cell>
          <cell r="AG26" t="str">
            <v>N/A</v>
          </cell>
          <cell r="AH26" t="str">
            <v>N</v>
          </cell>
          <cell r="AI26" t="str">
            <v>LATEX FREE</v>
          </cell>
          <cell r="AJ26" t="str">
            <v>Current</v>
          </cell>
          <cell r="AK26" t="str">
            <v>N/A</v>
          </cell>
          <cell r="AL26" t="str">
            <v>N/A</v>
          </cell>
          <cell r="AM26" t="str">
            <v>N/A</v>
          </cell>
          <cell r="AN26" t="str">
            <v>N/A</v>
          </cell>
          <cell r="AO26" t="str">
            <v>N/A</v>
          </cell>
          <cell r="AP26" t="str">
            <v>N/A</v>
          </cell>
          <cell r="AS26" t="str">
            <v>N/A</v>
          </cell>
          <cell r="AT26" t="str">
            <v>N/A</v>
          </cell>
          <cell r="AU26" t="str">
            <v>N/A</v>
          </cell>
          <cell r="AV26" t="str">
            <v>226</v>
          </cell>
        </row>
        <row r="27">
          <cell r="A27">
            <v>227</v>
          </cell>
          <cell r="B27" t="str">
            <v>Cat #</v>
          </cell>
          <cell r="C27" t="str">
            <v>Bulk Blue XL Labcoat/ Knit Collar &amp; Cuffs/30</v>
          </cell>
          <cell r="Q27" t="str">
            <v>N/A</v>
          </cell>
          <cell r="V27">
            <v>30</v>
          </cell>
          <cell r="X27" t="str">
            <v>Manufacturing</v>
          </cell>
          <cell r="Y27" t="str">
            <v>N/A</v>
          </cell>
          <cell r="Z27" t="str">
            <v>N/A</v>
          </cell>
          <cell r="AA27" t="str">
            <v>Relabel</v>
          </cell>
          <cell r="AB27" t="str">
            <v>Non-Sterile</v>
          </cell>
          <cell r="AC27" t="str">
            <v>N/A</v>
          </cell>
          <cell r="AG27" t="str">
            <v>N/A</v>
          </cell>
          <cell r="AH27" t="str">
            <v>N</v>
          </cell>
          <cell r="AI27" t="str">
            <v>LATEX FREE</v>
          </cell>
          <cell r="AJ27" t="str">
            <v>Current</v>
          </cell>
          <cell r="AK27" t="str">
            <v>N/A</v>
          </cell>
          <cell r="AL27" t="str">
            <v>N/A</v>
          </cell>
          <cell r="AM27" t="str">
            <v>N/A</v>
          </cell>
          <cell r="AN27" t="str">
            <v>N/A</v>
          </cell>
          <cell r="AO27" t="str">
            <v>LF227SL (If needed)</v>
          </cell>
          <cell r="AP27" t="str">
            <v>N/A</v>
          </cell>
          <cell r="AS27" t="str">
            <v>N/A</v>
          </cell>
          <cell r="AT27" t="str">
            <v>N/A</v>
          </cell>
          <cell r="AU27" t="str">
            <v>N/A</v>
          </cell>
          <cell r="AV27" t="str">
            <v>227</v>
          </cell>
        </row>
        <row r="28">
          <cell r="A28">
            <v>228</v>
          </cell>
          <cell r="B28" t="str">
            <v>Cat #</v>
          </cell>
          <cell r="C28" t="str">
            <v>Bulk White XL Labcoat/ Knit Collar &amp; Cuffs/30</v>
          </cell>
          <cell r="Q28" t="str">
            <v>N/A</v>
          </cell>
          <cell r="V28">
            <v>30</v>
          </cell>
          <cell r="X28" t="str">
            <v>Manufacturing</v>
          </cell>
          <cell r="Y28" t="str">
            <v>N/A</v>
          </cell>
          <cell r="Z28" t="str">
            <v>N/A</v>
          </cell>
          <cell r="AA28" t="str">
            <v>Relabel</v>
          </cell>
          <cell r="AB28" t="str">
            <v>Non-Sterile</v>
          </cell>
          <cell r="AC28" t="str">
            <v>N/A</v>
          </cell>
          <cell r="AG28" t="str">
            <v>N/A</v>
          </cell>
          <cell r="AH28" t="str">
            <v>N</v>
          </cell>
          <cell r="AI28" t="str">
            <v>LATEX FREE</v>
          </cell>
          <cell r="AJ28" t="str">
            <v>Current</v>
          </cell>
          <cell r="AK28" t="str">
            <v>N/A</v>
          </cell>
          <cell r="AL28" t="str">
            <v>N/A</v>
          </cell>
          <cell r="AM28" t="str">
            <v>N/A</v>
          </cell>
          <cell r="AN28" t="str">
            <v>N/A</v>
          </cell>
          <cell r="AO28" t="str">
            <v>LF228SL (If needed)</v>
          </cell>
          <cell r="AP28" t="str">
            <v>N/A</v>
          </cell>
          <cell r="AS28" t="str">
            <v>N/A</v>
          </cell>
          <cell r="AT28" t="str">
            <v>N/A</v>
          </cell>
          <cell r="AU28" t="str">
            <v>N/A</v>
          </cell>
          <cell r="AV28" t="str">
            <v>228</v>
          </cell>
        </row>
        <row r="29">
          <cell r="A29" t="str">
            <v>229</v>
          </cell>
          <cell r="B29" t="str">
            <v>Cat#</v>
          </cell>
          <cell r="C29" t="str">
            <v>SMS XXL White Labcoat/ Knit  Cuffs/25</v>
          </cell>
          <cell r="Q29" t="str">
            <v>N/A</v>
          </cell>
          <cell r="V29">
            <v>25</v>
          </cell>
          <cell r="X29" t="str">
            <v>Manufacturing</v>
          </cell>
          <cell r="Y29" t="str">
            <v>N/A</v>
          </cell>
          <cell r="Z29" t="str">
            <v>N/A</v>
          </cell>
          <cell r="AA29" t="str">
            <v>Relabel</v>
          </cell>
          <cell r="AB29" t="str">
            <v>Non-Sterile</v>
          </cell>
          <cell r="AC29" t="str">
            <v>N/A</v>
          </cell>
          <cell r="AG29" t="str">
            <v>N/A</v>
          </cell>
          <cell r="AH29" t="str">
            <v>N</v>
          </cell>
          <cell r="AI29" t="str">
            <v>LATEX FREE</v>
          </cell>
          <cell r="AJ29" t="str">
            <v>Current</v>
          </cell>
          <cell r="AK29" t="str">
            <v>N/A</v>
          </cell>
          <cell r="AL29" t="str">
            <v>N/A</v>
          </cell>
          <cell r="AM29" t="str">
            <v>N/A</v>
          </cell>
          <cell r="AN29" t="str">
            <v>N/A</v>
          </cell>
          <cell r="AO29" t="str">
            <v>229S</v>
          </cell>
          <cell r="AP29" t="str">
            <v>N/A</v>
          </cell>
          <cell r="AS29" t="str">
            <v>N/A</v>
          </cell>
          <cell r="AT29" t="str">
            <v>N/A</v>
          </cell>
          <cell r="AU29" t="str">
            <v>N/A</v>
          </cell>
          <cell r="AV29" t="str">
            <v>229</v>
          </cell>
        </row>
        <row r="30">
          <cell r="A30">
            <v>230</v>
          </cell>
          <cell r="B30" t="str">
            <v>Cat #</v>
          </cell>
          <cell r="C30" t="str">
            <v>Bulk Blue Fluid Resistant Gown/ open Back/ Stockinet Cuffs/50</v>
          </cell>
          <cell r="Q30" t="str">
            <v>N/A</v>
          </cell>
          <cell r="V30">
            <v>50</v>
          </cell>
          <cell r="X30" t="str">
            <v>Manufacturing</v>
          </cell>
          <cell r="Y30" t="str">
            <v>N/A</v>
          </cell>
          <cell r="Z30" t="str">
            <v>N/A</v>
          </cell>
          <cell r="AA30" t="str">
            <v>Relabel</v>
          </cell>
          <cell r="AB30" t="str">
            <v>Non-Sterile</v>
          </cell>
          <cell r="AC30" t="str">
            <v>N/A</v>
          </cell>
          <cell r="AG30" t="str">
            <v>N/A</v>
          </cell>
          <cell r="AH30" t="str">
            <v>N</v>
          </cell>
          <cell r="AI30" t="str">
            <v>LATEX FREE</v>
          </cell>
          <cell r="AJ30" t="str">
            <v>Current</v>
          </cell>
          <cell r="AK30" t="str">
            <v>N/A</v>
          </cell>
          <cell r="AL30" t="str">
            <v>N/A</v>
          </cell>
          <cell r="AM30" t="str">
            <v>N/A</v>
          </cell>
          <cell r="AN30" t="str">
            <v>N/A</v>
          </cell>
          <cell r="AO30" t="str">
            <v>LF230SL (If needed)</v>
          </cell>
          <cell r="AP30" t="str">
            <v>N/A</v>
          </cell>
          <cell r="AS30" t="str">
            <v>N/A</v>
          </cell>
          <cell r="AT30" t="str">
            <v>N/A</v>
          </cell>
          <cell r="AU30" t="str">
            <v>N/A</v>
          </cell>
          <cell r="AV30" t="str">
            <v>230</v>
          </cell>
        </row>
        <row r="31">
          <cell r="A31">
            <v>232</v>
          </cell>
          <cell r="B31" t="str">
            <v>Cat #</v>
          </cell>
          <cell r="C31" t="str">
            <v>Blue P/C/Gwn W/F/Back 50C</v>
          </cell>
          <cell r="AJ31" t="str">
            <v>Dicscontinued</v>
          </cell>
        </row>
        <row r="32">
          <cell r="A32">
            <v>233</v>
          </cell>
          <cell r="B32" t="str">
            <v>Cat #</v>
          </cell>
          <cell r="C32" t="str">
            <v>Bulk Yellow Fluid Resistant Staff Protection Gown/ Full back/ Elastic Cuffs/50</v>
          </cell>
          <cell r="Q32" t="str">
            <v>N/A</v>
          </cell>
          <cell r="V32">
            <v>50</v>
          </cell>
          <cell r="X32" t="str">
            <v>Manufacturing</v>
          </cell>
          <cell r="Y32" t="str">
            <v>N/A</v>
          </cell>
          <cell r="Z32" t="str">
            <v>N/A</v>
          </cell>
          <cell r="AA32" t="str">
            <v>Relabel</v>
          </cell>
          <cell r="AB32" t="str">
            <v>Non-Sterile</v>
          </cell>
          <cell r="AC32" t="str">
            <v>N/A</v>
          </cell>
          <cell r="AG32" t="str">
            <v>N/A</v>
          </cell>
          <cell r="AH32" t="str">
            <v>N</v>
          </cell>
          <cell r="AI32" t="str">
            <v>LATEX FREE</v>
          </cell>
          <cell r="AJ32" t="str">
            <v>Current</v>
          </cell>
          <cell r="AK32" t="str">
            <v>N/A</v>
          </cell>
          <cell r="AL32" t="str">
            <v>N/A</v>
          </cell>
          <cell r="AM32" t="str">
            <v>N/A</v>
          </cell>
          <cell r="AN32" t="str">
            <v>N/A</v>
          </cell>
          <cell r="AO32" t="str">
            <v>LF233SL (If needed)</v>
          </cell>
          <cell r="AP32" t="str">
            <v>N/A</v>
          </cell>
          <cell r="AS32" t="str">
            <v>N/A</v>
          </cell>
          <cell r="AT32" t="str">
            <v>N/A</v>
          </cell>
          <cell r="AU32" t="str">
            <v>N/A</v>
          </cell>
          <cell r="AV32" t="str">
            <v>233</v>
          </cell>
        </row>
        <row r="33">
          <cell r="A33">
            <v>235</v>
          </cell>
          <cell r="B33" t="str">
            <v>Cat #</v>
          </cell>
          <cell r="C33" t="str">
            <v>Bulk Universal Size Blue Prot. Gown/ Imprvs. W/ Open Back &amp; Thumb Hook/75</v>
          </cell>
          <cell r="V33">
            <v>75</v>
          </cell>
          <cell r="X33" t="str">
            <v>Manufacturing</v>
          </cell>
          <cell r="Y33" t="str">
            <v>5</v>
          </cell>
          <cell r="Z33" t="str">
            <v>N/A</v>
          </cell>
          <cell r="AA33" t="str">
            <v>Relabel</v>
          </cell>
          <cell r="AB33" t="str">
            <v>Non-Sterile</v>
          </cell>
          <cell r="AC33" t="str">
            <v>N/A</v>
          </cell>
          <cell r="AG33" t="str">
            <v>N/A</v>
          </cell>
          <cell r="AH33" t="str">
            <v>N</v>
          </cell>
          <cell r="AI33" t="str">
            <v>LATEX FREE</v>
          </cell>
          <cell r="AJ33" t="str">
            <v>Current</v>
          </cell>
          <cell r="AK33" t="str">
            <v>N/A</v>
          </cell>
          <cell r="AL33" t="str">
            <v>N/A</v>
          </cell>
          <cell r="AM33" t="str">
            <v>N/A</v>
          </cell>
          <cell r="AN33" t="str">
            <v>N/A</v>
          </cell>
          <cell r="AO33" t="str">
            <v>LF235S</v>
          </cell>
          <cell r="AP33" t="str">
            <v>N/A</v>
          </cell>
          <cell r="AS33" t="str">
            <v>LF235DL</v>
          </cell>
          <cell r="AT33" t="str">
            <v>REV A</v>
          </cell>
          <cell r="AU33" t="str">
            <v>N/A</v>
          </cell>
          <cell r="AV33" t="str">
            <v>235</v>
          </cell>
        </row>
        <row r="34">
          <cell r="A34" t="str">
            <v>239</v>
          </cell>
          <cell r="B34" t="str">
            <v>Cat#</v>
          </cell>
          <cell r="C34" t="str">
            <v>XL White Fluid Resistant Gown/ Open Back/50</v>
          </cell>
          <cell r="Q34" t="str">
            <v>N/A</v>
          </cell>
          <cell r="V34">
            <v>50</v>
          </cell>
          <cell r="X34" t="str">
            <v>Manufacturing</v>
          </cell>
          <cell r="Y34" t="str">
            <v>N/A</v>
          </cell>
          <cell r="Z34" t="str">
            <v>N/A</v>
          </cell>
          <cell r="AA34" t="str">
            <v>Relabel</v>
          </cell>
          <cell r="AB34" t="str">
            <v>Non-Sterile</v>
          </cell>
          <cell r="AC34" t="str">
            <v>N/A</v>
          </cell>
          <cell r="AG34" t="str">
            <v>N/A</v>
          </cell>
          <cell r="AH34" t="str">
            <v>N</v>
          </cell>
          <cell r="AI34" t="str">
            <v>LATEX FREE</v>
          </cell>
          <cell r="AJ34" t="str">
            <v>Current</v>
          </cell>
          <cell r="AK34" t="str">
            <v>N/A</v>
          </cell>
          <cell r="AL34" t="str">
            <v>N/A</v>
          </cell>
          <cell r="AM34" t="str">
            <v>N/A</v>
          </cell>
          <cell r="AN34" t="str">
            <v>N/A</v>
          </cell>
          <cell r="AO34" t="str">
            <v>239S</v>
          </cell>
          <cell r="AP34" t="str">
            <v>N/A</v>
          </cell>
          <cell r="AS34" t="str">
            <v>N/A</v>
          </cell>
          <cell r="AT34" t="str">
            <v>N/A</v>
          </cell>
          <cell r="AU34" t="str">
            <v>N/A</v>
          </cell>
          <cell r="AV34" t="str">
            <v>239</v>
          </cell>
        </row>
        <row r="35">
          <cell r="A35" t="str">
            <v>242</v>
          </cell>
          <cell r="B35" t="str">
            <v>Cat#</v>
          </cell>
          <cell r="C35" t="str">
            <v>SMS Universal Size Yellow Isolation Gown/100</v>
          </cell>
          <cell r="Q35" t="str">
            <v>N/A</v>
          </cell>
          <cell r="V35">
            <v>100</v>
          </cell>
          <cell r="X35" t="str">
            <v>Manufacturing</v>
          </cell>
          <cell r="Y35" t="str">
            <v>N/A</v>
          </cell>
          <cell r="Z35" t="str">
            <v>N/A</v>
          </cell>
          <cell r="AA35" t="str">
            <v>Relabel</v>
          </cell>
          <cell r="AB35" t="str">
            <v>Non-Sterile</v>
          </cell>
          <cell r="AC35" t="str">
            <v>N/A</v>
          </cell>
          <cell r="AG35" t="str">
            <v>N/A</v>
          </cell>
          <cell r="AH35" t="str">
            <v>N</v>
          </cell>
          <cell r="AI35" t="str">
            <v>LATEX FREE</v>
          </cell>
          <cell r="AJ35" t="str">
            <v>Current</v>
          </cell>
          <cell r="AK35" t="str">
            <v>N/A</v>
          </cell>
          <cell r="AL35" t="str">
            <v>N/A</v>
          </cell>
          <cell r="AM35" t="str">
            <v>N/A</v>
          </cell>
          <cell r="AN35" t="str">
            <v>N/A</v>
          </cell>
          <cell r="AO35" t="str">
            <v>LF242CSL (1st order only)</v>
          </cell>
          <cell r="AP35" t="str">
            <v>N/A</v>
          </cell>
          <cell r="AS35" t="str">
            <v>N/A</v>
          </cell>
          <cell r="AT35" t="str">
            <v>N/A</v>
          </cell>
          <cell r="AU35" t="str">
            <v>N/A</v>
          </cell>
          <cell r="AV35" t="str">
            <v>242</v>
          </cell>
        </row>
        <row r="36">
          <cell r="A36" t="str">
            <v>245</v>
          </cell>
          <cell r="B36" t="str">
            <v>Cat#</v>
          </cell>
          <cell r="C36" t="str">
            <v>SMS Blue Coveralls/ Open Cuffs/ Front Zipper/24</v>
          </cell>
          <cell r="Q36" t="str">
            <v>N/A</v>
          </cell>
          <cell r="V36">
            <v>24</v>
          </cell>
          <cell r="X36" t="str">
            <v>Manufacturing</v>
          </cell>
          <cell r="Y36" t="str">
            <v>N/A</v>
          </cell>
          <cell r="Z36" t="str">
            <v>N/A</v>
          </cell>
          <cell r="AA36" t="str">
            <v>Relabel</v>
          </cell>
          <cell r="AB36" t="str">
            <v>Non-Sterile</v>
          </cell>
          <cell r="AC36" t="str">
            <v>N/A</v>
          </cell>
          <cell r="AG36" t="str">
            <v>N/A</v>
          </cell>
          <cell r="AH36" t="str">
            <v>N</v>
          </cell>
          <cell r="AI36" t="str">
            <v>LATEX FREE</v>
          </cell>
          <cell r="AJ36" t="str">
            <v>Current</v>
          </cell>
          <cell r="AK36" t="str">
            <v>N/A</v>
          </cell>
          <cell r="AL36" t="str">
            <v>N/A</v>
          </cell>
          <cell r="AM36" t="str">
            <v>N/A</v>
          </cell>
          <cell r="AN36" t="str">
            <v>N/A</v>
          </cell>
          <cell r="AO36" t="str">
            <v>N/A</v>
          </cell>
          <cell r="AP36" t="str">
            <v>N/A</v>
          </cell>
          <cell r="AS36" t="str">
            <v>Printed shipper carton</v>
          </cell>
          <cell r="AT36" t="str">
            <v>N/A</v>
          </cell>
          <cell r="AU36" t="str">
            <v>N/A</v>
          </cell>
          <cell r="AV36" t="str">
            <v>245</v>
          </cell>
        </row>
        <row r="37">
          <cell r="A37" t="str">
            <v>246</v>
          </cell>
          <cell r="B37" t="str">
            <v>Cat#</v>
          </cell>
          <cell r="C37" t="str">
            <v>SMS XL Blue Coveralls/ Open Cuffs/ Front Zipper/24</v>
          </cell>
          <cell r="Q37" t="str">
            <v>N/A</v>
          </cell>
          <cell r="V37">
            <v>24</v>
          </cell>
          <cell r="X37" t="str">
            <v>Manufacturing</v>
          </cell>
          <cell r="Y37" t="str">
            <v>N/A</v>
          </cell>
          <cell r="Z37" t="str">
            <v>N/A</v>
          </cell>
          <cell r="AA37" t="str">
            <v>Relabel</v>
          </cell>
          <cell r="AB37" t="str">
            <v>Non-Sterile</v>
          </cell>
          <cell r="AC37" t="str">
            <v>N/A</v>
          </cell>
          <cell r="AG37" t="str">
            <v>N/A</v>
          </cell>
          <cell r="AH37" t="str">
            <v>N</v>
          </cell>
          <cell r="AI37" t="str">
            <v>LATEX FREE</v>
          </cell>
          <cell r="AJ37" t="str">
            <v>Current</v>
          </cell>
          <cell r="AK37" t="str">
            <v>N/A</v>
          </cell>
          <cell r="AL37" t="str">
            <v>N/A</v>
          </cell>
          <cell r="AM37" t="str">
            <v>N/A</v>
          </cell>
          <cell r="AN37" t="str">
            <v>N/A</v>
          </cell>
          <cell r="AO37" t="str">
            <v>N/A</v>
          </cell>
          <cell r="AP37" t="str">
            <v>N/A</v>
          </cell>
          <cell r="AS37" t="str">
            <v>Printed shipper carton</v>
          </cell>
          <cell r="AT37" t="str">
            <v>N/A</v>
          </cell>
          <cell r="AU37" t="str">
            <v>N/A</v>
          </cell>
          <cell r="AV37" t="str">
            <v>246</v>
          </cell>
        </row>
        <row r="38">
          <cell r="A38" t="str">
            <v>247</v>
          </cell>
          <cell r="B38" t="str">
            <v>Cat#</v>
          </cell>
          <cell r="C38" t="str">
            <v>SMS Large White Coveralls/ Elastic Wrist Cuffs/ Front Cuffs/24</v>
          </cell>
          <cell r="Q38" t="str">
            <v>N/A</v>
          </cell>
          <cell r="V38">
            <v>24</v>
          </cell>
          <cell r="X38" t="str">
            <v>Manufacturing</v>
          </cell>
          <cell r="Y38" t="str">
            <v>N/A</v>
          </cell>
          <cell r="Z38" t="str">
            <v>N/A</v>
          </cell>
          <cell r="AA38" t="str">
            <v>Relabel</v>
          </cell>
          <cell r="AB38" t="str">
            <v>Non-Sterile</v>
          </cell>
          <cell r="AC38" t="str">
            <v>N/A</v>
          </cell>
          <cell r="AG38" t="str">
            <v>N/A</v>
          </cell>
          <cell r="AH38" t="str">
            <v>N</v>
          </cell>
          <cell r="AI38" t="str">
            <v>LATEX FREE</v>
          </cell>
          <cell r="AJ38" t="str">
            <v>Current</v>
          </cell>
          <cell r="AK38" t="str">
            <v>N/A</v>
          </cell>
          <cell r="AL38" t="str">
            <v>N/A</v>
          </cell>
          <cell r="AM38" t="str">
            <v>N/A</v>
          </cell>
          <cell r="AN38" t="str">
            <v>N/A</v>
          </cell>
          <cell r="AO38" t="str">
            <v>247S</v>
          </cell>
          <cell r="AP38" t="str">
            <v>N/A</v>
          </cell>
          <cell r="AS38" t="str">
            <v>N/A</v>
          </cell>
          <cell r="AT38" t="str">
            <v>N/A</v>
          </cell>
          <cell r="AU38" t="str">
            <v>N/A</v>
          </cell>
          <cell r="AV38" t="str">
            <v>247</v>
          </cell>
        </row>
        <row r="39">
          <cell r="A39" t="str">
            <v>248</v>
          </cell>
          <cell r="B39" t="str">
            <v>Cat#</v>
          </cell>
          <cell r="C39" t="str">
            <v>SMS XL White Coveralls/ Elastic Wrist Cuffs/ Front Zipper/24</v>
          </cell>
          <cell r="Q39" t="str">
            <v>N/A</v>
          </cell>
          <cell r="V39">
            <v>24</v>
          </cell>
          <cell r="X39" t="str">
            <v>Manufacturing</v>
          </cell>
          <cell r="Y39" t="str">
            <v>N/A</v>
          </cell>
          <cell r="Z39" t="str">
            <v>N/A</v>
          </cell>
          <cell r="AA39" t="str">
            <v>Relabel</v>
          </cell>
          <cell r="AB39" t="str">
            <v>Non-Sterile</v>
          </cell>
          <cell r="AC39" t="str">
            <v>N/A</v>
          </cell>
          <cell r="AG39" t="str">
            <v>N/A</v>
          </cell>
          <cell r="AH39" t="str">
            <v>N</v>
          </cell>
          <cell r="AI39" t="str">
            <v>LATEX FREE</v>
          </cell>
          <cell r="AJ39" t="str">
            <v>Current</v>
          </cell>
          <cell r="AK39" t="str">
            <v>N/A</v>
          </cell>
          <cell r="AL39" t="str">
            <v>N/A</v>
          </cell>
          <cell r="AM39" t="str">
            <v>N/A</v>
          </cell>
          <cell r="AN39" t="str">
            <v>N/A</v>
          </cell>
          <cell r="AO39" t="str">
            <v>248S</v>
          </cell>
          <cell r="AP39" t="str">
            <v>N/A</v>
          </cell>
          <cell r="AS39" t="str">
            <v>N/A</v>
          </cell>
          <cell r="AT39" t="str">
            <v>N/A</v>
          </cell>
          <cell r="AU39" t="str">
            <v>N/A</v>
          </cell>
          <cell r="AV39" t="str">
            <v>248</v>
          </cell>
        </row>
        <row r="40">
          <cell r="A40">
            <v>250</v>
          </cell>
          <cell r="B40" t="str">
            <v>Cat #</v>
          </cell>
          <cell r="C40" t="str">
            <v>28" x 46" Plastic Apron/144</v>
          </cell>
          <cell r="D40" t="str">
            <v>250</v>
          </cell>
          <cell r="E40" t="str">
            <v>12/14/99</v>
          </cell>
          <cell r="F40" t="str">
            <v>N/A</v>
          </cell>
          <cell r="K40" t="str">
            <v>S-4</v>
          </cell>
          <cell r="L40" t="str">
            <v>N/A</v>
          </cell>
          <cell r="P40" t="str">
            <v>20</v>
          </cell>
          <cell r="Q40" t="str">
            <v>N/A</v>
          </cell>
          <cell r="R40" t="str">
            <v>8</v>
          </cell>
          <cell r="S40" t="str">
            <v>0</v>
          </cell>
          <cell r="T40" t="str">
            <v>1.5</v>
          </cell>
          <cell r="U40" t="str">
            <v>2.5</v>
          </cell>
          <cell r="V40">
            <v>144</v>
          </cell>
          <cell r="X40" t="str">
            <v>Manufacturing</v>
          </cell>
          <cell r="Y40" t="str">
            <v>N/A</v>
          </cell>
          <cell r="Z40" t="str">
            <v>N/A</v>
          </cell>
          <cell r="AA40" t="str">
            <v>CUTTING PRESS</v>
          </cell>
          <cell r="AB40" t="str">
            <v>Non-Sterile</v>
          </cell>
          <cell r="AC40" t="str">
            <v>N/A</v>
          </cell>
          <cell r="AG40" t="str">
            <v>N/A</v>
          </cell>
          <cell r="AH40" t="str">
            <v>N</v>
          </cell>
          <cell r="AI40" t="str">
            <v>LATEX FREE</v>
          </cell>
          <cell r="AJ40" t="str">
            <v>Current</v>
          </cell>
          <cell r="AK40" t="str">
            <v>N/A</v>
          </cell>
          <cell r="AL40" t="str">
            <v>N/A</v>
          </cell>
          <cell r="AM40" t="str">
            <v>N/A</v>
          </cell>
          <cell r="AN40" t="str">
            <v>N/A</v>
          </cell>
          <cell r="AO40" t="str">
            <v>Printed shipper carton</v>
          </cell>
          <cell r="AP40" t="str">
            <v>N/A</v>
          </cell>
          <cell r="AS40" t="str">
            <v>N/A</v>
          </cell>
          <cell r="AT40" t="str">
            <v>N/A</v>
          </cell>
          <cell r="AU40" t="str">
            <v>N/A</v>
          </cell>
          <cell r="AV40" t="str">
            <v>250</v>
          </cell>
        </row>
        <row r="41">
          <cell r="A41">
            <v>268</v>
          </cell>
          <cell r="B41" t="str">
            <v>Cat #</v>
          </cell>
          <cell r="C41" t="str">
            <v>21" Green Rayon Bouffant Cap/500</v>
          </cell>
          <cell r="V41">
            <v>500</v>
          </cell>
          <cell r="X41" t="str">
            <v>Manufacturing</v>
          </cell>
          <cell r="Y41" t="str">
            <v>5</v>
          </cell>
          <cell r="Z41" t="str">
            <v>N/A</v>
          </cell>
          <cell r="AA41" t="str">
            <v>Relabel</v>
          </cell>
          <cell r="AB41" t="str">
            <v>Non-Sterile</v>
          </cell>
          <cell r="AC41" t="str">
            <v>N/A</v>
          </cell>
          <cell r="AG41" t="str">
            <v>N/A</v>
          </cell>
          <cell r="AH41" t="str">
            <v>N</v>
          </cell>
          <cell r="AI41" t="str">
            <v>LATEX FREE</v>
          </cell>
          <cell r="AJ41" t="str">
            <v>Current</v>
          </cell>
          <cell r="AK41" t="str">
            <v>N/A</v>
          </cell>
          <cell r="AL41" t="str">
            <v>N/A</v>
          </cell>
          <cell r="AM41" t="str">
            <v>N/A</v>
          </cell>
          <cell r="AN41" t="str">
            <v>N/A</v>
          </cell>
          <cell r="AO41" t="str">
            <v>LF269SL</v>
          </cell>
          <cell r="AP41" t="str">
            <v>N/A</v>
          </cell>
          <cell r="AS41" t="str">
            <v>LF268DL</v>
          </cell>
          <cell r="AT41" t="str">
            <v>N/A</v>
          </cell>
          <cell r="AU41" t="str">
            <v>N/A</v>
          </cell>
          <cell r="AV41" t="str">
            <v>268</v>
          </cell>
        </row>
        <row r="42">
          <cell r="A42">
            <v>270</v>
          </cell>
          <cell r="B42" t="str">
            <v>Cat #</v>
          </cell>
          <cell r="C42" t="str">
            <v>White Lg Bouffant Cap/500</v>
          </cell>
          <cell r="AJ42" t="str">
            <v>Dicscontinued</v>
          </cell>
        </row>
        <row r="43">
          <cell r="A43">
            <v>327</v>
          </cell>
          <cell r="B43" t="str">
            <v>Cat #</v>
          </cell>
          <cell r="C43" t="str">
            <v>White 21" Spunbonded Bouffant Cap/500</v>
          </cell>
          <cell r="V43">
            <v>500</v>
          </cell>
          <cell r="X43" t="str">
            <v>Manufacturing</v>
          </cell>
          <cell r="Y43" t="str">
            <v>5</v>
          </cell>
          <cell r="Z43" t="str">
            <v>N/A</v>
          </cell>
          <cell r="AA43" t="str">
            <v>Relabel Area</v>
          </cell>
          <cell r="AB43" t="str">
            <v>Non-Sterile</v>
          </cell>
          <cell r="AC43" t="str">
            <v>N/A</v>
          </cell>
          <cell r="AG43" t="str">
            <v>N/A</v>
          </cell>
          <cell r="AH43" t="str">
            <v>N</v>
          </cell>
          <cell r="AI43" t="str">
            <v>LATEX FREE</v>
          </cell>
          <cell r="AJ43" t="str">
            <v>Current</v>
          </cell>
          <cell r="AK43" t="str">
            <v>N/A</v>
          </cell>
          <cell r="AL43" t="str">
            <v>N/A</v>
          </cell>
          <cell r="AM43" t="str">
            <v>N/A</v>
          </cell>
          <cell r="AN43" t="str">
            <v>N/A</v>
          </cell>
          <cell r="AO43" t="str">
            <v>N/A</v>
          </cell>
          <cell r="AP43" t="str">
            <v>N/A</v>
          </cell>
          <cell r="AS43" t="str">
            <v>N/A</v>
          </cell>
          <cell r="AT43" t="str">
            <v>N/A</v>
          </cell>
          <cell r="AU43" t="str">
            <v>N/A</v>
          </cell>
          <cell r="AV43" t="str">
            <v>327</v>
          </cell>
        </row>
        <row r="44">
          <cell r="A44">
            <v>328</v>
          </cell>
          <cell r="B44" t="str">
            <v>Cat #</v>
          </cell>
          <cell r="C44" t="str">
            <v>Blue 21" Blue Spunbonded Bouffant Cap/500</v>
          </cell>
          <cell r="V44">
            <v>500</v>
          </cell>
          <cell r="X44" t="str">
            <v>Manufacturing</v>
          </cell>
          <cell r="Y44" t="str">
            <v>5</v>
          </cell>
          <cell r="Z44" t="str">
            <v>N/A</v>
          </cell>
          <cell r="AA44" t="str">
            <v>Relabel Area</v>
          </cell>
          <cell r="AB44" t="str">
            <v>Non-Sterile</v>
          </cell>
          <cell r="AC44" t="str">
            <v>N/A</v>
          </cell>
          <cell r="AG44" t="str">
            <v>N/A</v>
          </cell>
          <cell r="AH44" t="str">
            <v>N</v>
          </cell>
          <cell r="AI44" t="str">
            <v>LATEX FREE</v>
          </cell>
          <cell r="AJ44" t="str">
            <v>Current</v>
          </cell>
          <cell r="AK44" t="str">
            <v>N/A</v>
          </cell>
          <cell r="AL44" t="str">
            <v>N/A</v>
          </cell>
          <cell r="AM44" t="str">
            <v>N/A</v>
          </cell>
          <cell r="AN44" t="str">
            <v>N/A</v>
          </cell>
          <cell r="AO44" t="str">
            <v>328SSL (If needed)</v>
          </cell>
          <cell r="AP44" t="str">
            <v>N/A</v>
          </cell>
          <cell r="AS44" t="str">
            <v>328DDL (If needed)</v>
          </cell>
          <cell r="AT44" t="str">
            <v>N/A</v>
          </cell>
          <cell r="AU44" t="str">
            <v>N/A</v>
          </cell>
          <cell r="AV44" t="str">
            <v>328</v>
          </cell>
        </row>
        <row r="45">
          <cell r="A45">
            <v>329</v>
          </cell>
          <cell r="B45" t="str">
            <v>Cat #</v>
          </cell>
          <cell r="C45" t="str">
            <v>Green 21" Spunbonded Bouffant Cap/500</v>
          </cell>
          <cell r="V45">
            <v>500</v>
          </cell>
          <cell r="X45" t="str">
            <v>Manufacturing</v>
          </cell>
          <cell r="Y45" t="str">
            <v>5</v>
          </cell>
          <cell r="Z45" t="str">
            <v>N/A</v>
          </cell>
          <cell r="AA45" t="str">
            <v>Relabel Area</v>
          </cell>
          <cell r="AB45" t="str">
            <v>Non-Sterile</v>
          </cell>
          <cell r="AC45" t="str">
            <v>N/A</v>
          </cell>
          <cell r="AG45" t="str">
            <v>N/A</v>
          </cell>
          <cell r="AH45" t="str">
            <v>N</v>
          </cell>
          <cell r="AI45" t="str">
            <v>LATEX FREE</v>
          </cell>
          <cell r="AJ45" t="str">
            <v>Current</v>
          </cell>
          <cell r="AK45" t="str">
            <v>N/A</v>
          </cell>
          <cell r="AL45" t="str">
            <v>N/A</v>
          </cell>
          <cell r="AM45" t="str">
            <v>N/A</v>
          </cell>
          <cell r="AN45" t="str">
            <v>N/A</v>
          </cell>
          <cell r="AO45" t="str">
            <v>LF329SL (If needed)</v>
          </cell>
          <cell r="AP45" t="str">
            <v>N/A</v>
          </cell>
          <cell r="AS45" t="str">
            <v>LF329DL (If needed)</v>
          </cell>
          <cell r="AT45" t="str">
            <v>N/A</v>
          </cell>
          <cell r="AU45" t="str">
            <v>N/A</v>
          </cell>
          <cell r="AV45" t="str">
            <v>329</v>
          </cell>
        </row>
        <row r="46">
          <cell r="A46">
            <v>330</v>
          </cell>
          <cell r="B46" t="str">
            <v>Cat #</v>
          </cell>
          <cell r="C46" t="str">
            <v>White 24" Spunbonded Bouffant Cap/500</v>
          </cell>
          <cell r="V46">
            <v>500</v>
          </cell>
          <cell r="X46" t="str">
            <v>Manufacturing</v>
          </cell>
          <cell r="Y46" t="str">
            <v>5</v>
          </cell>
          <cell r="Z46" t="str">
            <v>N/A</v>
          </cell>
          <cell r="AA46" t="str">
            <v>Relabel Area</v>
          </cell>
          <cell r="AB46" t="str">
            <v>Non-Sterile</v>
          </cell>
          <cell r="AC46" t="str">
            <v>N/A</v>
          </cell>
          <cell r="AG46" t="str">
            <v>N/A</v>
          </cell>
          <cell r="AH46" t="str">
            <v>N</v>
          </cell>
          <cell r="AI46" t="str">
            <v>LATEX FREE</v>
          </cell>
          <cell r="AJ46" t="str">
            <v>Current</v>
          </cell>
          <cell r="AK46" t="str">
            <v>N/A</v>
          </cell>
          <cell r="AL46" t="str">
            <v>N/A</v>
          </cell>
          <cell r="AM46" t="str">
            <v>N/A</v>
          </cell>
          <cell r="AN46" t="str">
            <v>N/A</v>
          </cell>
          <cell r="AO46" t="str">
            <v>N/A</v>
          </cell>
          <cell r="AP46" t="str">
            <v>N/A</v>
          </cell>
          <cell r="AS46" t="str">
            <v>N/A</v>
          </cell>
          <cell r="AT46" t="str">
            <v>N/A</v>
          </cell>
          <cell r="AU46" t="str">
            <v>N/A</v>
          </cell>
          <cell r="AV46" t="str">
            <v>330</v>
          </cell>
        </row>
        <row r="47">
          <cell r="A47">
            <v>331</v>
          </cell>
          <cell r="B47" t="str">
            <v>Cat #</v>
          </cell>
          <cell r="C47" t="str">
            <v>Blue 24" Kool Cap/500</v>
          </cell>
          <cell r="V47">
            <v>500</v>
          </cell>
          <cell r="X47" t="str">
            <v>Manufacturing</v>
          </cell>
          <cell r="Y47" t="str">
            <v>5</v>
          </cell>
          <cell r="Z47" t="str">
            <v>N/A</v>
          </cell>
          <cell r="AA47" t="str">
            <v>Relabel Area</v>
          </cell>
          <cell r="AB47" t="str">
            <v>Non-Sterile</v>
          </cell>
          <cell r="AC47" t="str">
            <v>N/A</v>
          </cell>
          <cell r="AG47" t="str">
            <v>N/A</v>
          </cell>
          <cell r="AH47" t="str">
            <v>N</v>
          </cell>
          <cell r="AI47" t="str">
            <v>LATEX FREE</v>
          </cell>
          <cell r="AJ47" t="str">
            <v>Current</v>
          </cell>
          <cell r="AK47" t="str">
            <v>N/A</v>
          </cell>
          <cell r="AL47" t="str">
            <v>N/A</v>
          </cell>
          <cell r="AM47" t="str">
            <v>N/A</v>
          </cell>
          <cell r="AN47" t="str">
            <v>N/A</v>
          </cell>
          <cell r="AO47" t="str">
            <v>N/A</v>
          </cell>
          <cell r="AP47" t="str">
            <v>N/A</v>
          </cell>
          <cell r="AS47" t="str">
            <v>N/A</v>
          </cell>
          <cell r="AT47" t="str">
            <v>N/A</v>
          </cell>
          <cell r="AU47" t="str">
            <v>N/A</v>
          </cell>
        </row>
        <row r="48">
          <cell r="A48">
            <v>332</v>
          </cell>
          <cell r="B48" t="str">
            <v>Cat #</v>
          </cell>
          <cell r="C48" t="str">
            <v>Green 24" Spunbonded Bouffant Cap/500</v>
          </cell>
          <cell r="V48">
            <v>500</v>
          </cell>
          <cell r="X48" t="str">
            <v>Manufacturing</v>
          </cell>
          <cell r="Y48" t="str">
            <v>5</v>
          </cell>
          <cell r="Z48" t="str">
            <v>N/A</v>
          </cell>
          <cell r="AA48" t="str">
            <v>Relabel Area</v>
          </cell>
          <cell r="AB48" t="str">
            <v>Non-Sterile</v>
          </cell>
          <cell r="AC48" t="str">
            <v>N/A</v>
          </cell>
          <cell r="AG48" t="str">
            <v>N/A</v>
          </cell>
          <cell r="AH48" t="str">
            <v>N</v>
          </cell>
          <cell r="AI48" t="str">
            <v>LATEX FREE</v>
          </cell>
          <cell r="AJ48" t="str">
            <v>Current</v>
          </cell>
          <cell r="AK48" t="str">
            <v>N/A</v>
          </cell>
          <cell r="AL48" t="str">
            <v>N/A</v>
          </cell>
          <cell r="AM48" t="str">
            <v>N/A</v>
          </cell>
          <cell r="AN48" t="str">
            <v>N/A</v>
          </cell>
          <cell r="AO48" t="str">
            <v>N/A</v>
          </cell>
          <cell r="AP48" t="str">
            <v>N/A</v>
          </cell>
          <cell r="AS48" t="str">
            <v>N/A</v>
          </cell>
          <cell r="AT48" t="str">
            <v>N/A</v>
          </cell>
          <cell r="AU48" t="str">
            <v>N/A</v>
          </cell>
          <cell r="AV48" t="str">
            <v>332</v>
          </cell>
        </row>
        <row r="49">
          <cell r="A49" t="str">
            <v>334</v>
          </cell>
          <cell r="AJ49" t="str">
            <v>Dicscontinued</v>
          </cell>
        </row>
        <row r="50">
          <cell r="A50">
            <v>335</v>
          </cell>
          <cell r="B50" t="str">
            <v>Cat #</v>
          </cell>
          <cell r="C50" t="str">
            <v>Tie/Back Surg/Cap B/G/500</v>
          </cell>
          <cell r="AA50" t="str">
            <v>Relabel Area</v>
          </cell>
          <cell r="AJ50" t="str">
            <v>Discontinued</v>
          </cell>
        </row>
        <row r="51">
          <cell r="A51" t="str">
            <v>336</v>
          </cell>
          <cell r="AJ51" t="str">
            <v>Dicscontinued</v>
          </cell>
        </row>
        <row r="52">
          <cell r="A52" t="str">
            <v>338</v>
          </cell>
          <cell r="B52" t="str">
            <v>Cat#</v>
          </cell>
          <cell r="C52" t="str">
            <v>Shoe Covers/150 pr</v>
          </cell>
          <cell r="V52" t="str">
            <v>150pr</v>
          </cell>
          <cell r="X52" t="str">
            <v>Manufacturing</v>
          </cell>
          <cell r="Y52" t="str">
            <v>N/A</v>
          </cell>
          <cell r="Z52" t="str">
            <v>N/A</v>
          </cell>
          <cell r="AA52" t="str">
            <v>Relabel Area</v>
          </cell>
          <cell r="AB52" t="str">
            <v>Non-Sterile</v>
          </cell>
          <cell r="AC52" t="str">
            <v>N/A</v>
          </cell>
          <cell r="AG52" t="str">
            <v>N/A</v>
          </cell>
          <cell r="AH52" t="str">
            <v>N</v>
          </cell>
          <cell r="AI52" t="str">
            <v>LATEX FREE</v>
          </cell>
          <cell r="AJ52" t="str">
            <v>Current</v>
          </cell>
          <cell r="AK52" t="str">
            <v>N/A</v>
          </cell>
          <cell r="AL52" t="str">
            <v>N/A</v>
          </cell>
          <cell r="AM52" t="str">
            <v>N/A</v>
          </cell>
          <cell r="AN52" t="str">
            <v>N/A</v>
          </cell>
          <cell r="AO52" t="str">
            <v>N/A</v>
          </cell>
          <cell r="AP52" t="str">
            <v>N/A</v>
          </cell>
          <cell r="AS52" t="str">
            <v>N/A</v>
          </cell>
          <cell r="AT52" t="str">
            <v>N/A</v>
          </cell>
          <cell r="AU52" t="str">
            <v>N/A</v>
          </cell>
          <cell r="AV52" t="str">
            <v>338</v>
          </cell>
        </row>
        <row r="53">
          <cell r="A53">
            <v>340</v>
          </cell>
          <cell r="B53" t="str">
            <v>Cat #</v>
          </cell>
          <cell r="C53" t="str">
            <v>Shoe Covers/150 pr</v>
          </cell>
          <cell r="V53" t="str">
            <v>150pr</v>
          </cell>
          <cell r="X53" t="str">
            <v>Manufacturing</v>
          </cell>
          <cell r="Y53" t="str">
            <v>3</v>
          </cell>
          <cell r="Z53" t="str">
            <v>N/A</v>
          </cell>
          <cell r="AA53" t="str">
            <v>Relabel Area</v>
          </cell>
          <cell r="AB53" t="str">
            <v>Non-Sterile</v>
          </cell>
          <cell r="AC53" t="str">
            <v>N/A</v>
          </cell>
          <cell r="AG53" t="str">
            <v>N/A</v>
          </cell>
          <cell r="AH53" t="str">
            <v>N</v>
          </cell>
          <cell r="AI53" t="str">
            <v>LATEX FREE</v>
          </cell>
          <cell r="AJ53" t="str">
            <v>Current</v>
          </cell>
          <cell r="AK53" t="str">
            <v>N/A</v>
          </cell>
          <cell r="AL53" t="str">
            <v>N/A</v>
          </cell>
          <cell r="AM53" t="str">
            <v>N/A</v>
          </cell>
          <cell r="AN53" t="str">
            <v>N/A</v>
          </cell>
          <cell r="AO53" t="str">
            <v>N/A</v>
          </cell>
          <cell r="AP53" t="str">
            <v>N/A</v>
          </cell>
          <cell r="AS53" t="str">
            <v>N/A</v>
          </cell>
          <cell r="AT53" t="str">
            <v>N/A</v>
          </cell>
          <cell r="AU53" t="str">
            <v>N/A</v>
          </cell>
          <cell r="AV53" t="str">
            <v>340</v>
          </cell>
        </row>
        <row r="54">
          <cell r="A54" t="str">
            <v>346</v>
          </cell>
          <cell r="B54" t="str">
            <v>Cat#</v>
          </cell>
          <cell r="C54" t="str">
            <v>Sur-Step Shoe Covers/150pr</v>
          </cell>
          <cell r="V54" t="str">
            <v>150pr</v>
          </cell>
          <cell r="X54" t="str">
            <v>Manufacturing</v>
          </cell>
          <cell r="Y54" t="str">
            <v>N/A</v>
          </cell>
          <cell r="Z54" t="str">
            <v>N/A</v>
          </cell>
          <cell r="AA54" t="str">
            <v>Relabel Area</v>
          </cell>
          <cell r="AB54" t="str">
            <v>Non-Sterile</v>
          </cell>
          <cell r="AC54" t="str">
            <v>N/A</v>
          </cell>
          <cell r="AG54" t="str">
            <v>N/A</v>
          </cell>
          <cell r="AH54" t="str">
            <v>N</v>
          </cell>
          <cell r="AI54" t="str">
            <v>LATEX FREE</v>
          </cell>
          <cell r="AJ54" t="str">
            <v>Current</v>
          </cell>
          <cell r="AK54" t="str">
            <v>N/A</v>
          </cell>
          <cell r="AL54" t="str">
            <v>N/A</v>
          </cell>
          <cell r="AM54" t="str">
            <v>N/A</v>
          </cell>
          <cell r="AN54" t="str">
            <v>N/A</v>
          </cell>
          <cell r="AO54" t="str">
            <v>LF346SL (If needed)</v>
          </cell>
          <cell r="AP54" t="str">
            <v>N/A</v>
          </cell>
          <cell r="AS54" t="str">
            <v>N/A</v>
          </cell>
          <cell r="AT54" t="str">
            <v>N/A</v>
          </cell>
          <cell r="AU54" t="str">
            <v>N/A</v>
          </cell>
          <cell r="AV54" t="str">
            <v>346</v>
          </cell>
        </row>
        <row r="55">
          <cell r="A55" t="str">
            <v>347</v>
          </cell>
          <cell r="B55" t="str">
            <v>Cat#</v>
          </cell>
          <cell r="C55" t="str">
            <v>XL Sur-Step Shoe Covers/100pr</v>
          </cell>
          <cell r="V55" t="str">
            <v>100pr</v>
          </cell>
          <cell r="X55" t="str">
            <v>Manufacturing</v>
          </cell>
          <cell r="Y55" t="str">
            <v>N/A</v>
          </cell>
          <cell r="Z55" t="str">
            <v>N/A</v>
          </cell>
          <cell r="AA55" t="str">
            <v>Relabel Area</v>
          </cell>
          <cell r="AB55" t="str">
            <v>Non-Sterile</v>
          </cell>
          <cell r="AC55" t="str">
            <v>N/A</v>
          </cell>
          <cell r="AG55" t="str">
            <v>N/A</v>
          </cell>
          <cell r="AH55" t="str">
            <v>N</v>
          </cell>
          <cell r="AI55" t="str">
            <v>LATEX FREE</v>
          </cell>
          <cell r="AJ55" t="str">
            <v>Current</v>
          </cell>
          <cell r="AK55" t="str">
            <v>N/A</v>
          </cell>
          <cell r="AL55" t="str">
            <v>N/A</v>
          </cell>
          <cell r="AM55" t="str">
            <v>N/A</v>
          </cell>
          <cell r="AN55" t="str">
            <v>N/A</v>
          </cell>
          <cell r="AO55" t="str">
            <v>N/A</v>
          </cell>
          <cell r="AP55" t="str">
            <v>N/A</v>
          </cell>
          <cell r="AS55" t="str">
            <v>Printed shipper carton</v>
          </cell>
          <cell r="AT55" t="str">
            <v>N/A</v>
          </cell>
          <cell r="AU55" t="str">
            <v>N/A</v>
          </cell>
          <cell r="AV55" t="str">
            <v>347</v>
          </cell>
        </row>
        <row r="56">
          <cell r="A56">
            <v>348</v>
          </cell>
          <cell r="B56" t="str">
            <v>Cat #</v>
          </cell>
          <cell r="C56" t="str">
            <v>Sur-Step Shoecover/150pr</v>
          </cell>
          <cell r="V56" t="str">
            <v>150pr</v>
          </cell>
          <cell r="X56" t="str">
            <v>Manufacturing</v>
          </cell>
          <cell r="Y56" t="str">
            <v>3</v>
          </cell>
          <cell r="Z56" t="str">
            <v>N/A</v>
          </cell>
          <cell r="AA56" t="str">
            <v>Relabel Area</v>
          </cell>
          <cell r="AB56" t="str">
            <v>Non-Sterile</v>
          </cell>
          <cell r="AC56" t="str">
            <v>N/A</v>
          </cell>
          <cell r="AG56" t="str">
            <v>N/A</v>
          </cell>
          <cell r="AH56" t="str">
            <v>N</v>
          </cell>
          <cell r="AI56" t="str">
            <v>LATEX FREE</v>
          </cell>
          <cell r="AJ56" t="str">
            <v>Current</v>
          </cell>
          <cell r="AK56" t="str">
            <v>N/A</v>
          </cell>
          <cell r="AL56" t="str">
            <v>N/A</v>
          </cell>
          <cell r="AM56" t="str">
            <v>N/A</v>
          </cell>
          <cell r="AN56" t="str">
            <v>N/A</v>
          </cell>
          <cell r="AO56" t="str">
            <v>N/A</v>
          </cell>
          <cell r="AP56" t="str">
            <v>N/A</v>
          </cell>
          <cell r="AS56" t="str">
            <v>N/A</v>
          </cell>
          <cell r="AT56" t="str">
            <v>N/A</v>
          </cell>
          <cell r="AU56" t="str">
            <v>N/A</v>
          </cell>
          <cell r="AV56" t="str">
            <v>348</v>
          </cell>
        </row>
        <row r="57">
          <cell r="A57" t="str">
            <v>349</v>
          </cell>
          <cell r="B57" t="str">
            <v>Cat#</v>
          </cell>
          <cell r="C57" t="str">
            <v>XL Shoe Covers/100pr</v>
          </cell>
          <cell r="V57" t="str">
            <v>100pr</v>
          </cell>
          <cell r="X57" t="str">
            <v>Manufacturing</v>
          </cell>
          <cell r="Y57" t="str">
            <v>N/A</v>
          </cell>
          <cell r="Z57" t="str">
            <v>N/A</v>
          </cell>
          <cell r="AA57" t="str">
            <v>Relabel Area</v>
          </cell>
          <cell r="AB57" t="str">
            <v>Non-Sterile</v>
          </cell>
          <cell r="AC57" t="str">
            <v>N/A</v>
          </cell>
          <cell r="AG57" t="str">
            <v>N/A</v>
          </cell>
          <cell r="AH57" t="str">
            <v>N</v>
          </cell>
          <cell r="AI57" t="str">
            <v>LATEX FREE</v>
          </cell>
          <cell r="AJ57" t="str">
            <v>Current</v>
          </cell>
          <cell r="AK57" t="str">
            <v>N/A</v>
          </cell>
          <cell r="AL57" t="str">
            <v>N/A</v>
          </cell>
          <cell r="AM57" t="str">
            <v>N/A</v>
          </cell>
          <cell r="AN57" t="str">
            <v>N/A</v>
          </cell>
          <cell r="AO57" t="str">
            <v>N/A</v>
          </cell>
          <cell r="AP57" t="str">
            <v>N/A</v>
          </cell>
          <cell r="AS57" t="str">
            <v>Printed shipper carton</v>
          </cell>
          <cell r="AT57" t="str">
            <v>N/A</v>
          </cell>
          <cell r="AU57" t="str">
            <v>N/A</v>
          </cell>
          <cell r="AV57" t="str">
            <v>349</v>
          </cell>
        </row>
        <row r="58">
          <cell r="A58">
            <v>370</v>
          </cell>
          <cell r="B58" t="str">
            <v>Cat #</v>
          </cell>
          <cell r="C58" t="str">
            <v>Yellow HI-Filtration Isolation Mask/500</v>
          </cell>
          <cell r="D58" t="str">
            <v>370 ETAL</v>
          </cell>
          <cell r="E58" t="str">
            <v>6/28/02</v>
          </cell>
          <cell r="F58" t="str">
            <v>N/A</v>
          </cell>
          <cell r="K58" t="str">
            <v>S-4</v>
          </cell>
          <cell r="L58" t="str">
            <v>32</v>
          </cell>
          <cell r="P58" t="str">
            <v>32</v>
          </cell>
          <cell r="Q58" t="str">
            <v>20</v>
          </cell>
          <cell r="R58" t="str">
            <v>16</v>
          </cell>
          <cell r="S58" t="str">
            <v>0</v>
          </cell>
          <cell r="T58" t="str">
            <v>1.5</v>
          </cell>
          <cell r="U58" t="str">
            <v>2.5</v>
          </cell>
          <cell r="V58">
            <v>500</v>
          </cell>
          <cell r="X58" t="str">
            <v>Manufacturing</v>
          </cell>
          <cell r="Y58" t="str">
            <v>10</v>
          </cell>
          <cell r="Z58" t="str">
            <v>N/A</v>
          </cell>
          <cell r="AA58" t="str">
            <v>Procedure Mask</v>
          </cell>
          <cell r="AB58" t="str">
            <v>Non-Sterile</v>
          </cell>
          <cell r="AC58" t="str">
            <v>N/A</v>
          </cell>
          <cell r="AG58" t="str">
            <v>N/A</v>
          </cell>
          <cell r="AH58" t="str">
            <v>N</v>
          </cell>
          <cell r="AI58" t="str">
            <v>LATEX FREE</v>
          </cell>
          <cell r="AJ58" t="str">
            <v>Current</v>
          </cell>
          <cell r="AK58" t="str">
            <v>N/A</v>
          </cell>
          <cell r="AL58" t="str">
            <v>N/A</v>
          </cell>
          <cell r="AM58" t="str">
            <v>N/A</v>
          </cell>
          <cell r="AN58" t="str">
            <v>N/A</v>
          </cell>
          <cell r="AO58" t="str">
            <v>LF370CSL</v>
          </cell>
          <cell r="AP58" t="str">
            <v>N/A</v>
          </cell>
          <cell r="AS58" t="str">
            <v>Disp. Barcode Label</v>
          </cell>
          <cell r="AT58" t="str">
            <v>N/A</v>
          </cell>
          <cell r="AU58" t="str">
            <v>N/A</v>
          </cell>
          <cell r="AV58" t="str">
            <v>3750,3736A,3706,3752A,3/372B</v>
          </cell>
        </row>
        <row r="59">
          <cell r="A59">
            <v>371</v>
          </cell>
          <cell r="B59" t="str">
            <v>Cat #</v>
          </cell>
          <cell r="C59" t="str">
            <v>Blue Hi-Filtration Procedure Mask/500</v>
          </cell>
          <cell r="D59" t="str">
            <v>370 ETAL</v>
          </cell>
          <cell r="E59" t="str">
            <v>6/28/02</v>
          </cell>
          <cell r="F59" t="str">
            <v>N/A</v>
          </cell>
          <cell r="K59" t="str">
            <v>S-4</v>
          </cell>
          <cell r="L59" t="str">
            <v>32</v>
          </cell>
          <cell r="P59" t="str">
            <v>32</v>
          </cell>
          <cell r="Q59" t="str">
            <v>20</v>
          </cell>
          <cell r="R59" t="str">
            <v>16</v>
          </cell>
          <cell r="S59" t="str">
            <v>0</v>
          </cell>
          <cell r="T59" t="str">
            <v>1.5</v>
          </cell>
          <cell r="U59" t="str">
            <v>2.5</v>
          </cell>
          <cell r="V59">
            <v>500</v>
          </cell>
          <cell r="X59" t="str">
            <v>Manufacturing</v>
          </cell>
          <cell r="Y59" t="str">
            <v>10</v>
          </cell>
          <cell r="Z59" t="str">
            <v>N/A</v>
          </cell>
          <cell r="AA59" t="str">
            <v>Procedure Mask</v>
          </cell>
          <cell r="AB59" t="str">
            <v>Non-Sterile</v>
          </cell>
          <cell r="AC59" t="str">
            <v>N/A</v>
          </cell>
          <cell r="AG59" t="str">
            <v>N/A</v>
          </cell>
          <cell r="AH59" t="str">
            <v>N</v>
          </cell>
          <cell r="AI59" t="str">
            <v>LATEX FREE</v>
          </cell>
          <cell r="AJ59" t="str">
            <v>Current</v>
          </cell>
          <cell r="AK59" t="str">
            <v>N/A</v>
          </cell>
          <cell r="AL59" t="str">
            <v>N/A</v>
          </cell>
          <cell r="AM59" t="str">
            <v>N/A</v>
          </cell>
          <cell r="AN59" t="str">
            <v>N/A</v>
          </cell>
          <cell r="AO59" t="str">
            <v>LF371CSL</v>
          </cell>
          <cell r="AP59" t="str">
            <v>N/A</v>
          </cell>
          <cell r="AS59" t="str">
            <v>Disp. Barcode Label</v>
          </cell>
          <cell r="AT59" t="str">
            <v>N/A</v>
          </cell>
          <cell r="AU59" t="str">
            <v>N/A</v>
          </cell>
          <cell r="AV59" t="str">
            <v>3751,3736A,3706,3752A,3/372B</v>
          </cell>
        </row>
        <row r="60">
          <cell r="A60">
            <v>372</v>
          </cell>
          <cell r="B60" t="str">
            <v>Cat #</v>
          </cell>
          <cell r="C60" t="str">
            <v>Blue Fluid Resistant Procedure Mask/400</v>
          </cell>
          <cell r="D60" t="str">
            <v>370 ETAL</v>
          </cell>
          <cell r="E60" t="str">
            <v>6/28/02</v>
          </cell>
          <cell r="F60" t="str">
            <v>N/A</v>
          </cell>
          <cell r="K60" t="str">
            <v>S-4</v>
          </cell>
          <cell r="L60" t="str">
            <v>32</v>
          </cell>
          <cell r="P60" t="str">
            <v>32</v>
          </cell>
          <cell r="Q60" t="str">
            <v>20</v>
          </cell>
          <cell r="R60" t="str">
            <v>16</v>
          </cell>
          <cell r="S60" t="str">
            <v>0</v>
          </cell>
          <cell r="T60" t="str">
            <v>1.5</v>
          </cell>
          <cell r="U60" t="str">
            <v>2.5</v>
          </cell>
          <cell r="V60">
            <v>400</v>
          </cell>
          <cell r="X60" t="str">
            <v>Manufacturing</v>
          </cell>
          <cell r="Y60" t="str">
            <v>10</v>
          </cell>
          <cell r="Z60" t="str">
            <v>N/A</v>
          </cell>
          <cell r="AA60" t="str">
            <v>Procedure Mask</v>
          </cell>
          <cell r="AB60" t="str">
            <v>Non-Sterile</v>
          </cell>
          <cell r="AC60" t="str">
            <v>N/A</v>
          </cell>
          <cell r="AG60" t="str">
            <v>N/A</v>
          </cell>
          <cell r="AH60" t="str">
            <v>N</v>
          </cell>
          <cell r="AI60" t="str">
            <v>LATEX FREE</v>
          </cell>
          <cell r="AJ60" t="str">
            <v>Current</v>
          </cell>
          <cell r="AK60" t="str">
            <v>N/A</v>
          </cell>
          <cell r="AL60" t="str">
            <v>N/A</v>
          </cell>
          <cell r="AM60" t="str">
            <v>N/A</v>
          </cell>
          <cell r="AN60" t="str">
            <v>N/A</v>
          </cell>
          <cell r="AO60" t="str">
            <v>LF372CSL</v>
          </cell>
          <cell r="AP60" t="str">
            <v>N/A</v>
          </cell>
          <cell r="AS60" t="str">
            <v>N/A</v>
          </cell>
          <cell r="AT60" t="str">
            <v>N/A</v>
          </cell>
          <cell r="AU60" t="str">
            <v>N/A</v>
          </cell>
          <cell r="AV60" t="str">
            <v>3722,3723A,3728FS,3736A,3752A,3/372B,3706</v>
          </cell>
        </row>
        <row r="61">
          <cell r="A61" t="str">
            <v>373</v>
          </cell>
          <cell r="B61" t="str">
            <v>Cat#</v>
          </cell>
          <cell r="C61" t="str">
            <v>Fluid Resistant Mask W/ Shield/100</v>
          </cell>
          <cell r="D61" t="str">
            <v>373 ETAL</v>
          </cell>
          <cell r="E61" t="str">
            <v>1/13/00</v>
          </cell>
          <cell r="F61" t="str">
            <v>N/A</v>
          </cell>
          <cell r="K61" t="str">
            <v>S-4</v>
          </cell>
          <cell r="L61" t="str">
            <v>20</v>
          </cell>
          <cell r="P61" t="str">
            <v>N/A</v>
          </cell>
          <cell r="Q61" t="str">
            <v>32</v>
          </cell>
          <cell r="R61" t="str">
            <v>8</v>
          </cell>
          <cell r="S61" t="str">
            <v>0</v>
          </cell>
          <cell r="T61" t="str">
            <v>1.5</v>
          </cell>
          <cell r="U61" t="str">
            <v>2.5</v>
          </cell>
          <cell r="V61">
            <v>100</v>
          </cell>
          <cell r="X61" t="str">
            <v>Manufacturing</v>
          </cell>
          <cell r="Y61" t="str">
            <v>4</v>
          </cell>
          <cell r="Z61" t="str">
            <v>N/A</v>
          </cell>
          <cell r="AA61" t="str">
            <v>Process Room</v>
          </cell>
          <cell r="AB61" t="str">
            <v>Non-Sterile</v>
          </cell>
          <cell r="AC61" t="str">
            <v>N/A</v>
          </cell>
          <cell r="AG61" t="str">
            <v>N/A</v>
          </cell>
          <cell r="AH61" t="str">
            <v>N</v>
          </cell>
          <cell r="AI61" t="str">
            <v>LATEX FREE</v>
          </cell>
          <cell r="AJ61" t="str">
            <v>Current</v>
          </cell>
          <cell r="AK61" t="str">
            <v>N/A</v>
          </cell>
          <cell r="AL61" t="str">
            <v>N/A</v>
          </cell>
          <cell r="AM61" t="str">
            <v>N/A</v>
          </cell>
          <cell r="AN61" t="str">
            <v>N/A</v>
          </cell>
          <cell r="AO61" t="str">
            <v>LF373CSL</v>
          </cell>
          <cell r="AP61" t="str">
            <v>N/A</v>
          </cell>
          <cell r="AS61" t="str">
            <v>Disp. Barcode Label</v>
          </cell>
          <cell r="AT61" t="str">
            <v>N/A</v>
          </cell>
          <cell r="AU61" t="str">
            <v>N/A</v>
          </cell>
          <cell r="AV61" t="str">
            <v>3721,3732S-1,</v>
          </cell>
        </row>
        <row r="62">
          <cell r="A62">
            <v>374</v>
          </cell>
          <cell r="B62" t="str">
            <v>Cat #</v>
          </cell>
          <cell r="C62" t="str">
            <v>Pink Procedure Mask/500</v>
          </cell>
          <cell r="D62" t="str">
            <v>370 ETAL</v>
          </cell>
          <cell r="E62" t="str">
            <v>6/28/02</v>
          </cell>
          <cell r="F62" t="str">
            <v>N/A</v>
          </cell>
          <cell r="K62" t="str">
            <v>S-4</v>
          </cell>
          <cell r="L62" t="str">
            <v>32</v>
          </cell>
          <cell r="P62" t="str">
            <v>32</v>
          </cell>
          <cell r="Q62" t="str">
            <v>20</v>
          </cell>
          <cell r="R62" t="str">
            <v>16</v>
          </cell>
          <cell r="S62" t="str">
            <v>0</v>
          </cell>
          <cell r="T62" t="str">
            <v>1.5</v>
          </cell>
          <cell r="U62" t="str">
            <v>2.5</v>
          </cell>
          <cell r="V62">
            <v>500</v>
          </cell>
          <cell r="X62" t="str">
            <v>Manufacturing</v>
          </cell>
          <cell r="Y62" t="str">
            <v>10</v>
          </cell>
          <cell r="Z62" t="str">
            <v>N/A</v>
          </cell>
          <cell r="AA62" t="str">
            <v>Procedure Mask</v>
          </cell>
          <cell r="AB62" t="str">
            <v>Non-Sterile</v>
          </cell>
          <cell r="AC62" t="str">
            <v>N/A</v>
          </cell>
          <cell r="AG62" t="str">
            <v>N/A</v>
          </cell>
          <cell r="AH62" t="str">
            <v>N</v>
          </cell>
          <cell r="AI62" t="str">
            <v>LATEX FREE</v>
          </cell>
          <cell r="AJ62" t="str">
            <v>Current</v>
          </cell>
          <cell r="AK62" t="str">
            <v>N/A</v>
          </cell>
          <cell r="AL62" t="str">
            <v>N/A</v>
          </cell>
          <cell r="AM62" t="str">
            <v>N/A</v>
          </cell>
          <cell r="AN62" t="str">
            <v>N/A</v>
          </cell>
          <cell r="AO62" t="str">
            <v>LF374CSL</v>
          </cell>
          <cell r="AP62" t="str">
            <v>N/A</v>
          </cell>
          <cell r="AS62" t="str">
            <v>Disp. Barcode Label</v>
          </cell>
          <cell r="AT62" t="str">
            <v>N/A</v>
          </cell>
          <cell r="AU62" t="str">
            <v>N/A</v>
          </cell>
          <cell r="AV62" t="str">
            <v>3743P,3742W,3706,3752A,3/372B,3736A</v>
          </cell>
        </row>
        <row r="63">
          <cell r="A63">
            <v>375</v>
          </cell>
          <cell r="B63" t="str">
            <v>Cat #</v>
          </cell>
          <cell r="C63" t="str">
            <v>Blue Procedure Mask/500</v>
          </cell>
          <cell r="D63" t="str">
            <v>370 ETAL</v>
          </cell>
          <cell r="E63" t="str">
            <v>6/28/02</v>
          </cell>
          <cell r="F63" t="str">
            <v>N/A</v>
          </cell>
          <cell r="K63" t="str">
            <v>S-4</v>
          </cell>
          <cell r="L63" t="str">
            <v>32</v>
          </cell>
          <cell r="P63" t="str">
            <v>32</v>
          </cell>
          <cell r="Q63" t="str">
            <v>20</v>
          </cell>
          <cell r="R63" t="str">
            <v>16</v>
          </cell>
          <cell r="S63" t="str">
            <v>0</v>
          </cell>
          <cell r="T63" t="str">
            <v>1.5</v>
          </cell>
          <cell r="U63" t="str">
            <v>2.5</v>
          </cell>
          <cell r="V63">
            <v>500</v>
          </cell>
          <cell r="X63" t="str">
            <v>Manufacturing</v>
          </cell>
          <cell r="Y63" t="str">
            <v>10</v>
          </cell>
          <cell r="Z63" t="str">
            <v>N/A</v>
          </cell>
          <cell r="AA63" t="str">
            <v>Procedure Mask</v>
          </cell>
          <cell r="AB63" t="str">
            <v>Non-Sterile</v>
          </cell>
          <cell r="AC63" t="str">
            <v>N/A</v>
          </cell>
          <cell r="AG63" t="str">
            <v>N/A</v>
          </cell>
          <cell r="AH63" t="str">
            <v>N</v>
          </cell>
          <cell r="AI63" t="str">
            <v>LATEX FREE</v>
          </cell>
          <cell r="AJ63" t="str">
            <v>Current</v>
          </cell>
          <cell r="AK63" t="str">
            <v>N/A</v>
          </cell>
          <cell r="AL63" t="str">
            <v>N/A</v>
          </cell>
          <cell r="AM63" t="str">
            <v>N/A</v>
          </cell>
          <cell r="AN63" t="str">
            <v>N/A</v>
          </cell>
          <cell r="AO63" t="str">
            <v>LF375CSL</v>
          </cell>
          <cell r="AP63" t="str">
            <v>N/A</v>
          </cell>
          <cell r="AS63" t="str">
            <v>Disp. Barcode Label</v>
          </cell>
          <cell r="AT63" t="str">
            <v>N/A</v>
          </cell>
          <cell r="AU63" t="str">
            <v>N/A</v>
          </cell>
          <cell r="AV63" t="str">
            <v>3741B,3742W,3736A,3752A,3/372B,3706,</v>
          </cell>
        </row>
        <row r="64">
          <cell r="A64" t="str">
            <v>379</v>
          </cell>
          <cell r="C64" t="str">
            <v>Single PLY Isolation Mask/1000</v>
          </cell>
          <cell r="D64" t="str">
            <v>379</v>
          </cell>
          <cell r="E64">
            <v>35993</v>
          </cell>
          <cell r="F64" t="str">
            <v>N/A</v>
          </cell>
          <cell r="K64" t="str">
            <v>S-4</v>
          </cell>
          <cell r="L64" t="str">
            <v>N/A</v>
          </cell>
          <cell r="P64" t="str">
            <v>32</v>
          </cell>
          <cell r="Q64" t="str">
            <v>10</v>
          </cell>
          <cell r="R64" t="str">
            <v>16</v>
          </cell>
          <cell r="S64" t="str">
            <v>0</v>
          </cell>
          <cell r="T64" t="str">
            <v>1.5</v>
          </cell>
          <cell r="U64" t="str">
            <v>2.5</v>
          </cell>
          <cell r="V64">
            <v>1000</v>
          </cell>
          <cell r="W64" t="str">
            <v>II</v>
          </cell>
          <cell r="AB64" t="str">
            <v>Non-Sterile</v>
          </cell>
          <cell r="AJ64" t="str">
            <v>Discontineud</v>
          </cell>
        </row>
        <row r="65">
          <cell r="A65">
            <v>380</v>
          </cell>
          <cell r="C65" t="str">
            <v>Wht Multi Ply Iso M/1000C</v>
          </cell>
          <cell r="AB65" t="str">
            <v>Non-Sterile</v>
          </cell>
          <cell r="AJ65" t="str">
            <v>Discontineud</v>
          </cell>
        </row>
        <row r="66">
          <cell r="A66">
            <v>381</v>
          </cell>
          <cell r="B66" t="str">
            <v>Cat#</v>
          </cell>
          <cell r="C66" t="str">
            <v>White Hi-Filtration Multi Ply Mask/1000</v>
          </cell>
          <cell r="D66" t="str">
            <v>381 ETAL</v>
          </cell>
          <cell r="E66">
            <v>37455</v>
          </cell>
          <cell r="F66" t="str">
            <v>N/A</v>
          </cell>
          <cell r="K66" t="str">
            <v>S-4</v>
          </cell>
          <cell r="L66" t="str">
            <v>N/A</v>
          </cell>
          <cell r="P66" t="str">
            <v>32</v>
          </cell>
          <cell r="Q66" t="str">
            <v>10</v>
          </cell>
          <cell r="R66" t="str">
            <v>16</v>
          </cell>
          <cell r="S66" t="str">
            <v>0</v>
          </cell>
          <cell r="T66" t="str">
            <v>1.5</v>
          </cell>
          <cell r="U66" t="str">
            <v>2.5</v>
          </cell>
          <cell r="V66" t="str">
            <v>1000</v>
          </cell>
          <cell r="X66" t="str">
            <v>Manufacturing</v>
          </cell>
          <cell r="Y66" t="str">
            <v>10</v>
          </cell>
          <cell r="Z66" t="str">
            <v>N/A</v>
          </cell>
          <cell r="AA66" t="str">
            <v>Procedure Mask</v>
          </cell>
          <cell r="AB66" t="str">
            <v>Non-Sterile</v>
          </cell>
          <cell r="AC66" t="str">
            <v>N/A</v>
          </cell>
          <cell r="AG66" t="str">
            <v>N/A</v>
          </cell>
          <cell r="AH66" t="str">
            <v>N</v>
          </cell>
          <cell r="AI66" t="str">
            <v>LATEX FREE</v>
          </cell>
          <cell r="AJ66" t="str">
            <v>Current</v>
          </cell>
          <cell r="AK66" t="str">
            <v>N/A</v>
          </cell>
          <cell r="AL66" t="str">
            <v>N/A</v>
          </cell>
          <cell r="AM66" t="str">
            <v>N/A</v>
          </cell>
          <cell r="AN66" t="str">
            <v>N/A</v>
          </cell>
          <cell r="AO66" t="str">
            <v>N/A</v>
          </cell>
          <cell r="AP66" t="str">
            <v>N/A</v>
          </cell>
          <cell r="AS66" t="str">
            <v>LF381DL/Shipper barcode label</v>
          </cell>
          <cell r="AT66" t="str">
            <v>REV A/N/A</v>
          </cell>
          <cell r="AU66" t="str">
            <v>N/A</v>
          </cell>
          <cell r="AV66" t="str">
            <v>3824A,3/379LF,3/380LF</v>
          </cell>
        </row>
        <row r="67">
          <cell r="A67" t="str">
            <v>385</v>
          </cell>
          <cell r="B67" t="str">
            <v>Cat #</v>
          </cell>
          <cell r="C67" t="str">
            <v>Bulk Umbilical Cord Clamp</v>
          </cell>
          <cell r="D67" t="str">
            <v>385</v>
          </cell>
          <cell r="E67">
            <v>37019</v>
          </cell>
          <cell r="F67" t="str">
            <v>N/A</v>
          </cell>
          <cell r="K67" t="str">
            <v>S-4</v>
          </cell>
          <cell r="L67" t="str">
            <v>N/A</v>
          </cell>
          <cell r="P67" t="str">
            <v>N/A</v>
          </cell>
          <cell r="Q67" t="str">
            <v>N/A</v>
          </cell>
          <cell r="R67" t="str">
            <v>8</v>
          </cell>
          <cell r="S67" t="str">
            <v>0</v>
          </cell>
          <cell r="T67" t="str">
            <v>1.5</v>
          </cell>
          <cell r="U67" t="str">
            <v>2.5</v>
          </cell>
          <cell r="V67" t="str">
            <v>250</v>
          </cell>
          <cell r="W67" t="str">
            <v>S-4</v>
          </cell>
          <cell r="X67" t="str">
            <v>Manufacturing</v>
          </cell>
          <cell r="Y67" t="str">
            <v>N/A</v>
          </cell>
          <cell r="Z67" t="str">
            <v>N/A</v>
          </cell>
          <cell r="AA67" t="str">
            <v>Process Room</v>
          </cell>
          <cell r="AB67" t="str">
            <v>Non-Sterile</v>
          </cell>
          <cell r="AC67" t="str">
            <v>N/A</v>
          </cell>
          <cell r="AG67" t="str">
            <v>N/A</v>
          </cell>
          <cell r="AH67" t="str">
            <v>N/A</v>
          </cell>
          <cell r="AI67" t="str">
            <v>LATEX FREE</v>
          </cell>
          <cell r="AJ67" t="str">
            <v>Current</v>
          </cell>
          <cell r="AK67" t="str">
            <v>N/A</v>
          </cell>
          <cell r="AL67" t="str">
            <v>N/A</v>
          </cell>
          <cell r="AM67" t="str">
            <v>N/A</v>
          </cell>
          <cell r="AN67" t="str">
            <v>N/A</v>
          </cell>
          <cell r="AO67" t="str">
            <v>LF385SL</v>
          </cell>
          <cell r="AP67" t="str">
            <v>N/A</v>
          </cell>
          <cell r="AS67" t="str">
            <v>N/A</v>
          </cell>
          <cell r="AT67" t="str">
            <v>N/A</v>
          </cell>
          <cell r="AU67" t="str">
            <v>3840B,3173,2347</v>
          </cell>
          <cell r="AV67" t="str">
            <v>N/A</v>
          </cell>
        </row>
        <row r="68">
          <cell r="A68">
            <v>400</v>
          </cell>
          <cell r="B68" t="str">
            <v>Cat #</v>
          </cell>
          <cell r="C68" t="str">
            <v>Ster 16oz Sponge Bowl/75</v>
          </cell>
          <cell r="D68" t="str">
            <v>400 ETAL</v>
          </cell>
          <cell r="E68">
            <v>36647</v>
          </cell>
          <cell r="F68" t="str">
            <v>N/A</v>
          </cell>
          <cell r="K68" t="str">
            <v>I</v>
          </cell>
          <cell r="L68" t="str">
            <v>120</v>
          </cell>
          <cell r="P68" t="str">
            <v>20</v>
          </cell>
          <cell r="Q68" t="str">
            <v>N/A</v>
          </cell>
          <cell r="R68" t="str">
            <v>30</v>
          </cell>
          <cell r="S68" t="str">
            <v>0</v>
          </cell>
          <cell r="T68" t="str">
            <v>1.5</v>
          </cell>
          <cell r="U68" t="str">
            <v>2.5</v>
          </cell>
          <cell r="V68" t="str">
            <v>75</v>
          </cell>
          <cell r="W68" t="str">
            <v>I</v>
          </cell>
          <cell r="X68" t="str">
            <v>Manufacturing</v>
          </cell>
          <cell r="Y68" t="str">
            <v>N/A</v>
          </cell>
          <cell r="Z68" t="str">
            <v>N/A</v>
          </cell>
          <cell r="AA68" t="str">
            <v>Italian Machine</v>
          </cell>
          <cell r="AB68" t="str">
            <v>Sterile</v>
          </cell>
          <cell r="AC68" t="str">
            <v>EBS</v>
          </cell>
          <cell r="AG68" t="str">
            <v>N/A</v>
          </cell>
          <cell r="AH68" t="str">
            <v>N/A</v>
          </cell>
          <cell r="AI68" t="str">
            <v>LATEX FREE</v>
          </cell>
          <cell r="AJ68" t="str">
            <v>Current</v>
          </cell>
          <cell r="AK68" t="str">
            <v>4001A</v>
          </cell>
          <cell r="AL68" t="str">
            <v>4002</v>
          </cell>
          <cell r="AM68" t="str">
            <v>N/A</v>
          </cell>
          <cell r="AN68" t="str">
            <v>N/A</v>
          </cell>
          <cell r="AO68" t="str">
            <v>LF400CSL</v>
          </cell>
          <cell r="AP68" t="str">
            <v>N/A</v>
          </cell>
          <cell r="AS68" t="str">
            <v>N/A</v>
          </cell>
          <cell r="AT68" t="str">
            <v>N/A</v>
          </cell>
          <cell r="AU68" t="str">
            <v>4000,4001A,4002</v>
          </cell>
          <cell r="AV68" t="str">
            <v>N/A</v>
          </cell>
        </row>
        <row r="69">
          <cell r="A69">
            <v>401</v>
          </cell>
          <cell r="B69" t="str">
            <v>Cat #</v>
          </cell>
          <cell r="C69" t="str">
            <v>Ster 35oz Sponge Bowl/50</v>
          </cell>
          <cell r="D69" t="str">
            <v>400 ETAL</v>
          </cell>
          <cell r="E69">
            <v>36647</v>
          </cell>
          <cell r="F69" t="str">
            <v>N/A</v>
          </cell>
          <cell r="K69" t="str">
            <v>I</v>
          </cell>
          <cell r="L69" t="str">
            <v>120</v>
          </cell>
          <cell r="P69" t="str">
            <v>20</v>
          </cell>
          <cell r="Q69" t="str">
            <v>N/A</v>
          </cell>
          <cell r="R69" t="str">
            <v>30</v>
          </cell>
          <cell r="S69" t="str">
            <v>0</v>
          </cell>
          <cell r="T69" t="str">
            <v>1.5</v>
          </cell>
          <cell r="U69" t="str">
            <v>2.5</v>
          </cell>
          <cell r="V69" t="str">
            <v>50</v>
          </cell>
          <cell r="W69" t="str">
            <v>I</v>
          </cell>
          <cell r="X69" t="str">
            <v>Manufacturing</v>
          </cell>
          <cell r="Y69" t="str">
            <v>N/A</v>
          </cell>
          <cell r="Z69" t="str">
            <v>N/A</v>
          </cell>
          <cell r="AA69" t="str">
            <v>Italian Machine</v>
          </cell>
          <cell r="AB69" t="str">
            <v>Sterile</v>
          </cell>
          <cell r="AC69" t="str">
            <v>EBS</v>
          </cell>
          <cell r="AG69" t="str">
            <v>N/A</v>
          </cell>
          <cell r="AH69" t="str">
            <v>N/A</v>
          </cell>
          <cell r="AI69" t="str">
            <v>LATEX FREE</v>
          </cell>
          <cell r="AJ69" t="str">
            <v>Current</v>
          </cell>
          <cell r="AK69" t="str">
            <v>4011A</v>
          </cell>
          <cell r="AL69" t="str">
            <v>4011</v>
          </cell>
          <cell r="AM69" t="str">
            <v>N/A</v>
          </cell>
          <cell r="AN69" t="str">
            <v>N/A</v>
          </cell>
          <cell r="AO69" t="str">
            <v>LF401CSL</v>
          </cell>
          <cell r="AP69" t="str">
            <v>N/A</v>
          </cell>
          <cell r="AS69" t="str">
            <v>N/A</v>
          </cell>
          <cell r="AT69" t="str">
            <v>N/A</v>
          </cell>
          <cell r="AU69" t="str">
            <v>4010,4011A,4011</v>
          </cell>
          <cell r="AV69" t="str">
            <v>N/A</v>
          </cell>
        </row>
        <row r="70">
          <cell r="A70">
            <v>402</v>
          </cell>
          <cell r="B70" t="str">
            <v>Cat #</v>
          </cell>
          <cell r="C70" t="str">
            <v>Bulk 16oz Sponge Bowl/500</v>
          </cell>
          <cell r="D70" t="str">
            <v>402 ETAL</v>
          </cell>
          <cell r="E70">
            <v>37307</v>
          </cell>
          <cell r="F70" t="str">
            <v>N/A</v>
          </cell>
          <cell r="K70" t="str">
            <v>S-4</v>
          </cell>
          <cell r="L70" t="str">
            <v>N/A</v>
          </cell>
          <cell r="P70" t="str">
            <v>N/A</v>
          </cell>
          <cell r="Q70" t="str">
            <v>N/A</v>
          </cell>
          <cell r="R70" t="str">
            <v>8</v>
          </cell>
          <cell r="S70" t="str">
            <v>0</v>
          </cell>
          <cell r="T70" t="str">
            <v>1.5</v>
          </cell>
          <cell r="U70" t="str">
            <v>2.5</v>
          </cell>
          <cell r="V70" t="str">
            <v>500</v>
          </cell>
          <cell r="W70" t="str">
            <v>II</v>
          </cell>
          <cell r="X70" t="str">
            <v>Injection Moding</v>
          </cell>
          <cell r="Y70" t="str">
            <v>N/A</v>
          </cell>
          <cell r="Z70" t="str">
            <v>N/A</v>
          </cell>
          <cell r="AA70" t="str">
            <v>N/A</v>
          </cell>
          <cell r="AB70" t="str">
            <v>Non-Sterile</v>
          </cell>
          <cell r="AC70" t="str">
            <v>N/A</v>
          </cell>
          <cell r="AG70" t="str">
            <v>N/A</v>
          </cell>
          <cell r="AH70" t="str">
            <v>N/A</v>
          </cell>
          <cell r="AI70" t="str">
            <v>LATEX FREE</v>
          </cell>
          <cell r="AJ70" t="str">
            <v>Current</v>
          </cell>
          <cell r="AK70" t="str">
            <v>N/A</v>
          </cell>
          <cell r="AL70" t="str">
            <v>N/A</v>
          </cell>
          <cell r="AM70" t="str">
            <v>N/A</v>
          </cell>
          <cell r="AN70" t="str">
            <v>N/A</v>
          </cell>
          <cell r="AO70" t="str">
            <v>N/A</v>
          </cell>
          <cell r="AP70" t="str">
            <v>N/A</v>
          </cell>
          <cell r="AS70" t="str">
            <v>Barcode label</v>
          </cell>
          <cell r="AT70" t="str">
            <v>N/A</v>
          </cell>
          <cell r="AU70" t="str">
            <v>4000,4031</v>
          </cell>
          <cell r="AV70" t="str">
            <v>N/A</v>
          </cell>
        </row>
        <row r="71">
          <cell r="A71">
            <v>403</v>
          </cell>
          <cell r="B71" t="str">
            <v>Cat #</v>
          </cell>
          <cell r="C71" t="str">
            <v>Bulk 35oz Sponge Bowl/250</v>
          </cell>
          <cell r="D71" t="str">
            <v>402 ETAL</v>
          </cell>
          <cell r="E71">
            <v>37307</v>
          </cell>
          <cell r="F71" t="str">
            <v>N/A</v>
          </cell>
          <cell r="K71" t="str">
            <v>S-4</v>
          </cell>
          <cell r="L71" t="str">
            <v>N/A</v>
          </cell>
          <cell r="P71" t="str">
            <v>N/A</v>
          </cell>
          <cell r="Q71" t="str">
            <v>N/A</v>
          </cell>
          <cell r="R71" t="str">
            <v>8</v>
          </cell>
          <cell r="S71" t="str">
            <v>0</v>
          </cell>
          <cell r="T71" t="str">
            <v>1.5</v>
          </cell>
          <cell r="U71" t="str">
            <v>2.5</v>
          </cell>
          <cell r="V71" t="str">
            <v>250</v>
          </cell>
          <cell r="W71" t="str">
            <v>II</v>
          </cell>
          <cell r="X71" t="str">
            <v>Injection Moding</v>
          </cell>
          <cell r="Y71" t="str">
            <v>N/A</v>
          </cell>
          <cell r="Z71" t="str">
            <v>N/A</v>
          </cell>
          <cell r="AA71" t="str">
            <v>N/A</v>
          </cell>
          <cell r="AB71" t="str">
            <v>Non-Sterile</v>
          </cell>
          <cell r="AC71" t="str">
            <v>N/A</v>
          </cell>
          <cell r="AG71" t="str">
            <v>N/A</v>
          </cell>
          <cell r="AH71" t="str">
            <v>N/A</v>
          </cell>
          <cell r="AI71" t="str">
            <v>LATEX FREE</v>
          </cell>
          <cell r="AJ71" t="str">
            <v>Current</v>
          </cell>
          <cell r="AK71" t="str">
            <v>N/A</v>
          </cell>
          <cell r="AL71" t="str">
            <v>N/A</v>
          </cell>
          <cell r="AM71" t="str">
            <v>N/A</v>
          </cell>
          <cell r="AN71" t="str">
            <v>N/A</v>
          </cell>
          <cell r="AO71" t="str">
            <v>LF403CSL</v>
          </cell>
          <cell r="AP71" t="str">
            <v>N/A</v>
          </cell>
          <cell r="AS71" t="str">
            <v>N/A</v>
          </cell>
          <cell r="AT71" t="str">
            <v>N/A</v>
          </cell>
          <cell r="AU71" t="str">
            <v>4010,4031</v>
          </cell>
          <cell r="AV71" t="str">
            <v>N/A</v>
          </cell>
        </row>
        <row r="72">
          <cell r="A72">
            <v>420</v>
          </cell>
          <cell r="B72" t="str">
            <v>Cat #</v>
          </cell>
          <cell r="C72" t="str">
            <v>8oz Specimen Container W/ Lids/250</v>
          </cell>
          <cell r="D72" t="str">
            <v>402 ETAL</v>
          </cell>
          <cell r="E72">
            <v>37307</v>
          </cell>
          <cell r="F72" t="str">
            <v>N/A</v>
          </cell>
          <cell r="K72" t="str">
            <v>S-4</v>
          </cell>
          <cell r="L72" t="str">
            <v>N/A</v>
          </cell>
          <cell r="P72" t="str">
            <v>N/A</v>
          </cell>
          <cell r="Q72" t="str">
            <v>N/A</v>
          </cell>
          <cell r="R72" t="str">
            <v>8</v>
          </cell>
          <cell r="S72" t="str">
            <v>0</v>
          </cell>
          <cell r="T72" t="str">
            <v>1.5</v>
          </cell>
          <cell r="U72" t="str">
            <v>2.5</v>
          </cell>
          <cell r="V72" t="str">
            <v>250</v>
          </cell>
          <cell r="W72" t="str">
            <v>II</v>
          </cell>
          <cell r="X72" t="str">
            <v>Injection Moding</v>
          </cell>
          <cell r="Y72" t="str">
            <v>N/A</v>
          </cell>
          <cell r="Z72" t="str">
            <v>N/A</v>
          </cell>
          <cell r="AA72" t="str">
            <v>Injection Molding</v>
          </cell>
          <cell r="AB72" t="str">
            <v>Non-Sterile</v>
          </cell>
          <cell r="AC72" t="str">
            <v>N/A</v>
          </cell>
          <cell r="AG72" t="str">
            <v>N/A</v>
          </cell>
          <cell r="AH72" t="str">
            <v>N/A</v>
          </cell>
          <cell r="AI72" t="str">
            <v>LATEX FREE</v>
          </cell>
          <cell r="AJ72" t="str">
            <v>Current</v>
          </cell>
          <cell r="AK72" t="str">
            <v>N/A</v>
          </cell>
          <cell r="AL72" t="str">
            <v>N/A</v>
          </cell>
          <cell r="AM72" t="str">
            <v>N/A</v>
          </cell>
          <cell r="AN72" t="str">
            <v>N/A</v>
          </cell>
          <cell r="AO72" t="str">
            <v>N/A</v>
          </cell>
          <cell r="AP72" t="str">
            <v>N/A</v>
          </cell>
          <cell r="AS72" t="str">
            <v>Printed Carton</v>
          </cell>
          <cell r="AT72" t="str">
            <v>N/A</v>
          </cell>
          <cell r="AU72" t="str">
            <v>4204,4203,4021</v>
          </cell>
          <cell r="AV72" t="str">
            <v>N/A</v>
          </cell>
        </row>
        <row r="73">
          <cell r="A73" t="str">
            <v>450</v>
          </cell>
          <cell r="B73" t="str">
            <v>Comp #</v>
          </cell>
          <cell r="C73" t="str">
            <v>Fecal Container/1000</v>
          </cell>
          <cell r="F73" t="str">
            <v>N/A</v>
          </cell>
          <cell r="Q73" t="str">
            <v>N/A</v>
          </cell>
          <cell r="V73" t="str">
            <v>1000</v>
          </cell>
          <cell r="Y73" t="str">
            <v>N/A</v>
          </cell>
          <cell r="Z73" t="str">
            <v>N/A</v>
          </cell>
          <cell r="AA73" t="str">
            <v>N/A</v>
          </cell>
          <cell r="AB73" t="str">
            <v>Non-Sterile</v>
          </cell>
          <cell r="AC73" t="str">
            <v>N/A</v>
          </cell>
          <cell r="AG73" t="str">
            <v>N/A</v>
          </cell>
          <cell r="AH73" t="str">
            <v>N/A</v>
          </cell>
          <cell r="AI73" t="str">
            <v>LATEX FREE</v>
          </cell>
          <cell r="AJ73" t="str">
            <v>Current</v>
          </cell>
          <cell r="AK73" t="str">
            <v>N/A</v>
          </cell>
          <cell r="AL73" t="str">
            <v>N/A</v>
          </cell>
          <cell r="AM73" t="str">
            <v>N/A</v>
          </cell>
          <cell r="AN73" t="str">
            <v>N/A</v>
          </cell>
          <cell r="AO73" t="str">
            <v>N/A</v>
          </cell>
          <cell r="AP73" t="str">
            <v>N/A</v>
          </cell>
          <cell r="AS73" t="str">
            <v>N/A</v>
          </cell>
          <cell r="AT73" t="str">
            <v>N/A</v>
          </cell>
          <cell r="AU73" t="str">
            <v>450</v>
          </cell>
          <cell r="AV73" t="str">
            <v>N/A</v>
          </cell>
        </row>
        <row r="74">
          <cell r="A74">
            <v>490</v>
          </cell>
          <cell r="B74" t="str">
            <v>Cat #</v>
          </cell>
          <cell r="C74" t="str">
            <v>8oz Denture Cup W/ Lids/250</v>
          </cell>
          <cell r="D74" t="str">
            <v>402 ETAL</v>
          </cell>
          <cell r="E74">
            <v>37307</v>
          </cell>
          <cell r="F74" t="str">
            <v>N/A</v>
          </cell>
          <cell r="K74" t="str">
            <v>S-4</v>
          </cell>
          <cell r="L74" t="str">
            <v>N/A</v>
          </cell>
          <cell r="P74" t="str">
            <v>N/A</v>
          </cell>
          <cell r="Q74" t="str">
            <v>N/A</v>
          </cell>
          <cell r="R74" t="str">
            <v>8</v>
          </cell>
          <cell r="S74" t="str">
            <v>0</v>
          </cell>
          <cell r="T74" t="str">
            <v>1.5</v>
          </cell>
          <cell r="U74" t="str">
            <v>2.5</v>
          </cell>
          <cell r="V74" t="str">
            <v>250</v>
          </cell>
          <cell r="W74" t="str">
            <v>II</v>
          </cell>
          <cell r="X74" t="str">
            <v>Injection Moding</v>
          </cell>
          <cell r="Y74" t="str">
            <v>N/A</v>
          </cell>
          <cell r="Z74" t="str">
            <v>N/A</v>
          </cell>
          <cell r="AA74" t="str">
            <v>Injection Molding</v>
          </cell>
          <cell r="AB74" t="str">
            <v>Non-Sterile</v>
          </cell>
          <cell r="AC74" t="str">
            <v>N/A</v>
          </cell>
          <cell r="AG74" t="str">
            <v>N/A</v>
          </cell>
          <cell r="AH74" t="str">
            <v>N/A</v>
          </cell>
          <cell r="AI74" t="str">
            <v>LATEX FREE</v>
          </cell>
          <cell r="AJ74" t="str">
            <v>Current</v>
          </cell>
          <cell r="AK74" t="str">
            <v>N/A</v>
          </cell>
          <cell r="AL74" t="str">
            <v>N/A</v>
          </cell>
          <cell r="AM74" t="str">
            <v>N/A</v>
          </cell>
          <cell r="AN74" t="str">
            <v>N/A</v>
          </cell>
          <cell r="AO74" t="str">
            <v>N/A</v>
          </cell>
          <cell r="AP74" t="str">
            <v>N/A</v>
          </cell>
          <cell r="AS74" t="str">
            <v>N/A</v>
          </cell>
          <cell r="AT74" t="str">
            <v>N/A</v>
          </cell>
          <cell r="AU74" t="str">
            <v>4904,4903,4902,4021</v>
          </cell>
          <cell r="AV74" t="str">
            <v>N/A</v>
          </cell>
        </row>
        <row r="75">
          <cell r="A75">
            <v>511</v>
          </cell>
          <cell r="B75" t="str">
            <v>Cat #</v>
          </cell>
          <cell r="C75" t="str">
            <v>Bulk Clean 5 in 1 Connector/500</v>
          </cell>
          <cell r="D75" t="str">
            <v>511 ETAL</v>
          </cell>
          <cell r="E75">
            <v>37306</v>
          </cell>
          <cell r="F75" t="str">
            <v>N/A</v>
          </cell>
          <cell r="K75" t="str">
            <v>S-4</v>
          </cell>
          <cell r="L75" t="str">
            <v>N/A</v>
          </cell>
          <cell r="P75" t="str">
            <v>N/A</v>
          </cell>
          <cell r="Q75" t="str">
            <v>80</v>
          </cell>
          <cell r="R75" t="str">
            <v>8</v>
          </cell>
          <cell r="S75" t="str">
            <v>0</v>
          </cell>
          <cell r="T75" t="str">
            <v>1.5</v>
          </cell>
          <cell r="U75" t="str">
            <v>2.5</v>
          </cell>
          <cell r="V75">
            <v>500</v>
          </cell>
          <cell r="W75" t="str">
            <v>II</v>
          </cell>
          <cell r="X75" t="str">
            <v>Manufacturing</v>
          </cell>
          <cell r="Y75" t="str">
            <v>10</v>
          </cell>
          <cell r="Z75" t="str">
            <v>N/A</v>
          </cell>
          <cell r="AA75" t="str">
            <v>Process Room</v>
          </cell>
          <cell r="AB75" t="str">
            <v>Non-Sterile</v>
          </cell>
          <cell r="AC75" t="str">
            <v>N/A</v>
          </cell>
          <cell r="AG75" t="str">
            <v>N/A</v>
          </cell>
          <cell r="AH75" t="str">
            <v>N/A</v>
          </cell>
          <cell r="AI75" t="str">
            <v>LATEX FREE</v>
          </cell>
          <cell r="AJ75" t="str">
            <v>Current</v>
          </cell>
          <cell r="AK75" t="str">
            <v>N/A</v>
          </cell>
          <cell r="AL75" t="str">
            <v>N/A</v>
          </cell>
          <cell r="AM75" t="str">
            <v>N/A</v>
          </cell>
          <cell r="AN75" t="str">
            <v>N/A</v>
          </cell>
          <cell r="AO75" t="str">
            <v>LF511SL</v>
          </cell>
          <cell r="AP75" t="str">
            <v>N/A</v>
          </cell>
          <cell r="AS75" t="str">
            <v>LF511DL</v>
          </cell>
          <cell r="AT75" t="str">
            <v>N/A</v>
          </cell>
          <cell r="AU75" t="str">
            <v>5010B,7257,2347</v>
          </cell>
          <cell r="AV75" t="str">
            <v>N/A</v>
          </cell>
        </row>
        <row r="76">
          <cell r="A76">
            <v>512</v>
          </cell>
          <cell r="B76" t="str">
            <v>Cat #</v>
          </cell>
          <cell r="C76" t="str">
            <v>Bulk Clean Simms Connector/500</v>
          </cell>
          <cell r="D76" t="str">
            <v>511 ETAL</v>
          </cell>
          <cell r="E76">
            <v>37306</v>
          </cell>
          <cell r="F76" t="str">
            <v>N/A</v>
          </cell>
          <cell r="K76" t="str">
            <v>S-4</v>
          </cell>
          <cell r="L76" t="str">
            <v>N/A</v>
          </cell>
          <cell r="P76" t="str">
            <v>N/A</v>
          </cell>
          <cell r="Q76" t="str">
            <v>80</v>
          </cell>
          <cell r="R76" t="str">
            <v>8</v>
          </cell>
          <cell r="S76" t="str">
            <v>0</v>
          </cell>
          <cell r="T76" t="str">
            <v>1.5</v>
          </cell>
          <cell r="U76" t="str">
            <v>2.5</v>
          </cell>
          <cell r="V76">
            <v>500</v>
          </cell>
          <cell r="W76" t="str">
            <v>II</v>
          </cell>
          <cell r="X76" t="str">
            <v>Manufacturing</v>
          </cell>
          <cell r="Y76" t="str">
            <v>10</v>
          </cell>
          <cell r="Z76" t="str">
            <v>N/A</v>
          </cell>
          <cell r="AA76" t="str">
            <v>Process Room</v>
          </cell>
          <cell r="AB76" t="str">
            <v>Non-Sterile</v>
          </cell>
          <cell r="AC76" t="str">
            <v>N/A</v>
          </cell>
          <cell r="AG76" t="str">
            <v>N/A</v>
          </cell>
          <cell r="AH76" t="str">
            <v>N/A</v>
          </cell>
          <cell r="AI76" t="str">
            <v>LATEX FREE</v>
          </cell>
          <cell r="AJ76" t="str">
            <v>Current</v>
          </cell>
          <cell r="AK76" t="str">
            <v>N/A</v>
          </cell>
          <cell r="AL76" t="str">
            <v>N/A</v>
          </cell>
          <cell r="AM76" t="str">
            <v>N/A</v>
          </cell>
          <cell r="AN76" t="str">
            <v>N/A</v>
          </cell>
          <cell r="AO76" t="str">
            <v>LF512SL</v>
          </cell>
          <cell r="AP76" t="str">
            <v>N/A</v>
          </cell>
          <cell r="AS76" t="str">
            <v>LF512DL</v>
          </cell>
          <cell r="AT76" t="str">
            <v>N/A</v>
          </cell>
          <cell r="AU76" t="str">
            <v>5020B,7257,2347</v>
          </cell>
          <cell r="AV76" t="str">
            <v>N/A</v>
          </cell>
        </row>
        <row r="77">
          <cell r="A77" t="str">
            <v>513</v>
          </cell>
          <cell r="B77" t="str">
            <v>Cat #</v>
          </cell>
          <cell r="C77" t="str">
            <v>Bulk Clean T Connector/150</v>
          </cell>
          <cell r="D77" t="str">
            <v>511 ETAL</v>
          </cell>
          <cell r="E77">
            <v>37306</v>
          </cell>
          <cell r="F77" t="str">
            <v>N/A</v>
          </cell>
          <cell r="K77" t="str">
            <v>S-4</v>
          </cell>
          <cell r="L77" t="str">
            <v>N/A</v>
          </cell>
          <cell r="P77" t="str">
            <v>N/A</v>
          </cell>
          <cell r="Q77" t="str">
            <v>80</v>
          </cell>
          <cell r="R77" t="str">
            <v>8</v>
          </cell>
          <cell r="S77" t="str">
            <v>0</v>
          </cell>
          <cell r="T77" t="str">
            <v>1.5</v>
          </cell>
          <cell r="U77" t="str">
            <v>2.5</v>
          </cell>
          <cell r="V77">
            <v>150</v>
          </cell>
          <cell r="W77" t="str">
            <v>II</v>
          </cell>
          <cell r="X77" t="str">
            <v>Manufacturing</v>
          </cell>
          <cell r="Y77" t="str">
            <v>10</v>
          </cell>
          <cell r="Z77" t="str">
            <v>N/A</v>
          </cell>
          <cell r="AA77" t="str">
            <v>Process Room</v>
          </cell>
          <cell r="AB77" t="str">
            <v>Non-Sterile</v>
          </cell>
          <cell r="AC77" t="str">
            <v>N/A</v>
          </cell>
          <cell r="AG77" t="str">
            <v>N/A</v>
          </cell>
          <cell r="AH77" t="str">
            <v>N/A</v>
          </cell>
          <cell r="AI77" t="str">
            <v>LATEX FREE</v>
          </cell>
          <cell r="AJ77" t="str">
            <v>Current</v>
          </cell>
          <cell r="AK77" t="str">
            <v>N/A</v>
          </cell>
          <cell r="AL77" t="str">
            <v>N/A</v>
          </cell>
          <cell r="AM77" t="str">
            <v>N/A</v>
          </cell>
          <cell r="AN77" t="str">
            <v>N/A</v>
          </cell>
          <cell r="AO77" t="str">
            <v>LF513SL</v>
          </cell>
          <cell r="AP77" t="str">
            <v>N/A</v>
          </cell>
          <cell r="AS77" t="str">
            <v>LF513DL</v>
          </cell>
          <cell r="AT77" t="str">
            <v>N/A</v>
          </cell>
          <cell r="AU77" t="str">
            <v>5030B,7257,2347</v>
          </cell>
          <cell r="AV77" t="str">
            <v>N/A</v>
          </cell>
        </row>
        <row r="78">
          <cell r="A78">
            <v>514</v>
          </cell>
          <cell r="B78" t="str">
            <v>Cat #</v>
          </cell>
          <cell r="C78" t="str">
            <v>Bulk Clean 1/4" Straight Connector/500</v>
          </cell>
          <cell r="D78" t="str">
            <v>511 ETAL</v>
          </cell>
          <cell r="E78">
            <v>37306</v>
          </cell>
          <cell r="F78" t="str">
            <v>N/A</v>
          </cell>
          <cell r="K78" t="str">
            <v>S-4</v>
          </cell>
          <cell r="L78" t="str">
            <v>N/A</v>
          </cell>
          <cell r="P78" t="str">
            <v>N/A</v>
          </cell>
          <cell r="Q78" t="str">
            <v>80</v>
          </cell>
          <cell r="R78" t="str">
            <v>8</v>
          </cell>
          <cell r="S78" t="str">
            <v>0</v>
          </cell>
          <cell r="T78" t="str">
            <v>1.5</v>
          </cell>
          <cell r="U78" t="str">
            <v>2.5</v>
          </cell>
          <cell r="V78">
            <v>500</v>
          </cell>
          <cell r="W78" t="str">
            <v>II</v>
          </cell>
          <cell r="X78" t="str">
            <v>Manufacturing</v>
          </cell>
          <cell r="Y78" t="str">
            <v>10</v>
          </cell>
          <cell r="Z78" t="str">
            <v>N/A</v>
          </cell>
          <cell r="AA78" t="str">
            <v>Process Room</v>
          </cell>
          <cell r="AB78" t="str">
            <v>Non-Sterile</v>
          </cell>
          <cell r="AC78" t="str">
            <v>N/A</v>
          </cell>
          <cell r="AG78" t="str">
            <v>N/A</v>
          </cell>
          <cell r="AH78" t="str">
            <v>N/A</v>
          </cell>
          <cell r="AI78" t="str">
            <v>LATEX FREE</v>
          </cell>
          <cell r="AJ78" t="str">
            <v>Current</v>
          </cell>
          <cell r="AK78" t="str">
            <v>N/A</v>
          </cell>
          <cell r="AL78" t="str">
            <v>N/A</v>
          </cell>
          <cell r="AM78" t="str">
            <v>N/A</v>
          </cell>
          <cell r="AN78" t="str">
            <v>N/A</v>
          </cell>
          <cell r="AO78" t="str">
            <v>LF514SL</v>
          </cell>
          <cell r="AP78" t="str">
            <v>N/A</v>
          </cell>
          <cell r="AS78" t="str">
            <v>LF514DL</v>
          </cell>
          <cell r="AT78" t="str">
            <v>N/A</v>
          </cell>
          <cell r="AU78" t="str">
            <v>5040B,7257,2347</v>
          </cell>
          <cell r="AV78" t="str">
            <v>N/A</v>
          </cell>
        </row>
        <row r="79">
          <cell r="A79">
            <v>515</v>
          </cell>
          <cell r="B79" t="str">
            <v>Cat #</v>
          </cell>
          <cell r="C79" t="str">
            <v>Clean 5/16" Straight Connector/500</v>
          </cell>
          <cell r="D79" t="str">
            <v>511 ETAL</v>
          </cell>
          <cell r="E79">
            <v>37306</v>
          </cell>
          <cell r="F79" t="str">
            <v>N/A</v>
          </cell>
          <cell r="K79" t="str">
            <v>S-4</v>
          </cell>
          <cell r="L79" t="str">
            <v>N/A</v>
          </cell>
          <cell r="P79" t="str">
            <v>N/A</v>
          </cell>
          <cell r="Q79" t="str">
            <v>80</v>
          </cell>
          <cell r="R79" t="str">
            <v>8</v>
          </cell>
          <cell r="S79" t="str">
            <v>0</v>
          </cell>
          <cell r="T79" t="str">
            <v>1.5</v>
          </cell>
          <cell r="U79" t="str">
            <v>2.5</v>
          </cell>
          <cell r="V79">
            <v>500</v>
          </cell>
          <cell r="W79" t="str">
            <v>II</v>
          </cell>
          <cell r="X79" t="str">
            <v>Manufacturing</v>
          </cell>
          <cell r="Y79" t="str">
            <v>10</v>
          </cell>
          <cell r="Z79" t="str">
            <v>N/A</v>
          </cell>
          <cell r="AA79" t="str">
            <v>Process Room</v>
          </cell>
          <cell r="AB79" t="str">
            <v>Non-Sterile</v>
          </cell>
          <cell r="AC79" t="str">
            <v>N/A</v>
          </cell>
          <cell r="AG79" t="str">
            <v>N/A</v>
          </cell>
          <cell r="AH79" t="str">
            <v>N/A</v>
          </cell>
          <cell r="AI79" t="str">
            <v>LATEX FREE</v>
          </cell>
          <cell r="AJ79" t="str">
            <v>Current</v>
          </cell>
          <cell r="AK79" t="str">
            <v>N/A</v>
          </cell>
          <cell r="AL79" t="str">
            <v>N/A</v>
          </cell>
          <cell r="AM79" t="str">
            <v>N/A</v>
          </cell>
          <cell r="AN79" t="str">
            <v>N/A</v>
          </cell>
          <cell r="AO79" t="str">
            <v>LF515SL</v>
          </cell>
          <cell r="AP79" t="str">
            <v>N/A</v>
          </cell>
          <cell r="AS79" t="str">
            <v>LF515DL</v>
          </cell>
          <cell r="AT79" t="str">
            <v>N/A</v>
          </cell>
          <cell r="AU79" t="str">
            <v>5050B,7257,2347</v>
          </cell>
          <cell r="AV79" t="str">
            <v>N/A</v>
          </cell>
        </row>
        <row r="80">
          <cell r="A80">
            <v>516</v>
          </cell>
          <cell r="B80" t="str">
            <v>Cat #</v>
          </cell>
          <cell r="C80" t="str">
            <v>Bulk Clean 3/8"Connector/500</v>
          </cell>
          <cell r="D80" t="str">
            <v>511 ETAL</v>
          </cell>
          <cell r="E80">
            <v>37306</v>
          </cell>
          <cell r="F80" t="str">
            <v>N/A</v>
          </cell>
          <cell r="K80" t="str">
            <v>S-4</v>
          </cell>
          <cell r="L80" t="str">
            <v>N/A</v>
          </cell>
          <cell r="P80" t="str">
            <v>N/A</v>
          </cell>
          <cell r="Q80" t="str">
            <v>80</v>
          </cell>
          <cell r="R80" t="str">
            <v>8</v>
          </cell>
          <cell r="S80" t="str">
            <v>0</v>
          </cell>
          <cell r="T80" t="str">
            <v>1.5</v>
          </cell>
          <cell r="U80" t="str">
            <v>2.5</v>
          </cell>
          <cell r="V80">
            <v>500</v>
          </cell>
          <cell r="W80" t="str">
            <v>II</v>
          </cell>
          <cell r="X80" t="str">
            <v>Manufacturing</v>
          </cell>
          <cell r="Y80" t="str">
            <v>10</v>
          </cell>
          <cell r="Z80" t="str">
            <v>N/A</v>
          </cell>
          <cell r="AA80" t="str">
            <v>Process Room</v>
          </cell>
          <cell r="AB80" t="str">
            <v>Non-Sterile</v>
          </cell>
          <cell r="AC80" t="str">
            <v>N/A</v>
          </cell>
          <cell r="AG80" t="str">
            <v>N/A</v>
          </cell>
          <cell r="AH80" t="str">
            <v>N/A</v>
          </cell>
          <cell r="AI80" t="str">
            <v>LATEX FREE</v>
          </cell>
          <cell r="AJ80" t="str">
            <v>Current</v>
          </cell>
          <cell r="AK80" t="str">
            <v>N/A</v>
          </cell>
          <cell r="AL80" t="str">
            <v>N/A</v>
          </cell>
          <cell r="AM80" t="str">
            <v>N/A</v>
          </cell>
          <cell r="AN80" t="str">
            <v>N/A</v>
          </cell>
          <cell r="AO80" t="str">
            <v>LF516SL</v>
          </cell>
          <cell r="AP80" t="str">
            <v>N/A</v>
          </cell>
          <cell r="AS80" t="str">
            <v>LF516DL</v>
          </cell>
          <cell r="AT80" t="str">
            <v>N/A</v>
          </cell>
          <cell r="AU80" t="str">
            <v>5060B,7257,2347</v>
          </cell>
          <cell r="AV80" t="str">
            <v>N/A</v>
          </cell>
        </row>
        <row r="81">
          <cell r="A81">
            <v>517</v>
          </cell>
          <cell r="B81" t="str">
            <v>Cat #</v>
          </cell>
          <cell r="C81" t="str">
            <v>Bulk Clean 1/4" Y Connector/500</v>
          </cell>
          <cell r="D81" t="str">
            <v>511 ETAL</v>
          </cell>
          <cell r="E81">
            <v>37306</v>
          </cell>
          <cell r="F81" t="str">
            <v>N/A</v>
          </cell>
          <cell r="K81" t="str">
            <v>S-4</v>
          </cell>
          <cell r="L81" t="str">
            <v>N/A</v>
          </cell>
          <cell r="P81" t="str">
            <v>N/A</v>
          </cell>
          <cell r="Q81" t="str">
            <v>80</v>
          </cell>
          <cell r="R81" t="str">
            <v>8</v>
          </cell>
          <cell r="S81" t="str">
            <v>0</v>
          </cell>
          <cell r="T81" t="str">
            <v>1.5</v>
          </cell>
          <cell r="U81" t="str">
            <v>2.5</v>
          </cell>
          <cell r="V81">
            <v>500</v>
          </cell>
          <cell r="W81" t="str">
            <v>II</v>
          </cell>
          <cell r="X81" t="str">
            <v>Manufacturing</v>
          </cell>
          <cell r="Y81" t="str">
            <v>10</v>
          </cell>
          <cell r="Z81" t="str">
            <v>N/A</v>
          </cell>
          <cell r="AA81" t="str">
            <v>Process Room</v>
          </cell>
          <cell r="AB81" t="str">
            <v>Non-Sterile</v>
          </cell>
          <cell r="AC81" t="str">
            <v>N/A</v>
          </cell>
          <cell r="AG81" t="str">
            <v>N/A</v>
          </cell>
          <cell r="AH81" t="str">
            <v>N/A</v>
          </cell>
          <cell r="AI81" t="str">
            <v>LATEX FREE</v>
          </cell>
          <cell r="AJ81" t="str">
            <v>Current</v>
          </cell>
          <cell r="AK81" t="str">
            <v>N/A</v>
          </cell>
          <cell r="AL81" t="str">
            <v>N/A</v>
          </cell>
          <cell r="AM81" t="str">
            <v>N/A</v>
          </cell>
          <cell r="AN81" t="str">
            <v>N/A</v>
          </cell>
          <cell r="AO81" t="str">
            <v>LF517SL</v>
          </cell>
          <cell r="AP81" t="str">
            <v>N/A</v>
          </cell>
          <cell r="AS81" t="str">
            <v>LF517DL</v>
          </cell>
          <cell r="AT81" t="str">
            <v>N/A</v>
          </cell>
          <cell r="AU81" t="str">
            <v>5070B,7257,2347</v>
          </cell>
          <cell r="AV81" t="str">
            <v>N/A</v>
          </cell>
        </row>
        <row r="82">
          <cell r="A82">
            <v>518</v>
          </cell>
          <cell r="B82" t="str">
            <v>Cat #</v>
          </cell>
          <cell r="C82" t="str">
            <v>Bulk Clean 3/8" Y Connector/500</v>
          </cell>
          <cell r="D82" t="str">
            <v>511 ETAL</v>
          </cell>
          <cell r="E82">
            <v>37306</v>
          </cell>
          <cell r="F82" t="str">
            <v>N/A</v>
          </cell>
          <cell r="K82" t="str">
            <v>S-4</v>
          </cell>
          <cell r="L82" t="str">
            <v>N/A</v>
          </cell>
          <cell r="P82" t="str">
            <v>N/A</v>
          </cell>
          <cell r="Q82" t="str">
            <v>80</v>
          </cell>
          <cell r="R82" t="str">
            <v>8</v>
          </cell>
          <cell r="S82" t="str">
            <v>0</v>
          </cell>
          <cell r="T82" t="str">
            <v>1.5</v>
          </cell>
          <cell r="U82" t="str">
            <v>2.5</v>
          </cell>
          <cell r="V82">
            <v>500</v>
          </cell>
          <cell r="W82" t="str">
            <v>II</v>
          </cell>
          <cell r="X82" t="str">
            <v>Manufacturing</v>
          </cell>
          <cell r="Y82" t="str">
            <v>10</v>
          </cell>
          <cell r="Z82" t="str">
            <v>N/A</v>
          </cell>
          <cell r="AA82" t="str">
            <v>Process Room</v>
          </cell>
          <cell r="AB82" t="str">
            <v>Non-Sterile</v>
          </cell>
          <cell r="AC82" t="str">
            <v>N/A</v>
          </cell>
          <cell r="AG82" t="str">
            <v>N/A</v>
          </cell>
          <cell r="AH82" t="str">
            <v>N/A</v>
          </cell>
          <cell r="AI82" t="str">
            <v>LATEX FREE</v>
          </cell>
          <cell r="AJ82" t="str">
            <v>Current</v>
          </cell>
          <cell r="AK82" t="str">
            <v>N/A</v>
          </cell>
          <cell r="AL82" t="str">
            <v>N/A</v>
          </cell>
          <cell r="AM82" t="str">
            <v>N/A</v>
          </cell>
          <cell r="AN82" t="str">
            <v>N/A</v>
          </cell>
          <cell r="AO82" t="str">
            <v>LF518SL</v>
          </cell>
          <cell r="AP82" t="str">
            <v>N/A</v>
          </cell>
          <cell r="AS82" t="str">
            <v>LF518DL</v>
          </cell>
          <cell r="AT82" t="str">
            <v>N/A</v>
          </cell>
          <cell r="AU82" t="str">
            <v>5080B,7257,2347</v>
          </cell>
          <cell r="AV82" t="str">
            <v>N/A</v>
          </cell>
        </row>
        <row r="83">
          <cell r="A83">
            <v>519</v>
          </cell>
          <cell r="B83" t="str">
            <v>Cat #</v>
          </cell>
          <cell r="C83" t="str">
            <v>Bulk Clean 6 in 1 Y Connector/150</v>
          </cell>
          <cell r="D83" t="str">
            <v>511 ETAL</v>
          </cell>
          <cell r="E83">
            <v>37306</v>
          </cell>
          <cell r="F83" t="str">
            <v>N/A</v>
          </cell>
          <cell r="K83" t="str">
            <v>S-4</v>
          </cell>
          <cell r="L83" t="str">
            <v>N/A</v>
          </cell>
          <cell r="P83" t="str">
            <v>N/A</v>
          </cell>
          <cell r="Q83" t="str">
            <v>80</v>
          </cell>
          <cell r="R83" t="str">
            <v>8</v>
          </cell>
          <cell r="S83" t="str">
            <v>0</v>
          </cell>
          <cell r="T83" t="str">
            <v>1.5</v>
          </cell>
          <cell r="U83" t="str">
            <v>2.5</v>
          </cell>
          <cell r="V83">
            <v>150</v>
          </cell>
          <cell r="W83" t="str">
            <v>II</v>
          </cell>
          <cell r="X83" t="str">
            <v>Manufacturing</v>
          </cell>
          <cell r="Y83" t="str">
            <v>10</v>
          </cell>
          <cell r="Z83" t="str">
            <v>N/A</v>
          </cell>
          <cell r="AA83" t="str">
            <v>Process Room</v>
          </cell>
          <cell r="AB83" t="str">
            <v>Non-Sterile</v>
          </cell>
          <cell r="AC83" t="str">
            <v>N/A</v>
          </cell>
          <cell r="AG83" t="str">
            <v>N/A</v>
          </cell>
          <cell r="AH83" t="str">
            <v>N/A</v>
          </cell>
          <cell r="AI83" t="str">
            <v>LATEX FREE</v>
          </cell>
          <cell r="AJ83" t="str">
            <v>Current</v>
          </cell>
          <cell r="AK83" t="str">
            <v>N/A</v>
          </cell>
          <cell r="AL83" t="str">
            <v>N/A</v>
          </cell>
          <cell r="AM83" t="str">
            <v>N/A</v>
          </cell>
          <cell r="AN83" t="str">
            <v>N/A</v>
          </cell>
          <cell r="AO83" t="str">
            <v>LF519SL</v>
          </cell>
          <cell r="AP83" t="str">
            <v>N/A</v>
          </cell>
          <cell r="AS83" t="str">
            <v>LF519DL</v>
          </cell>
          <cell r="AT83" t="str">
            <v>N/A</v>
          </cell>
          <cell r="AU83" t="str">
            <v>5090B,7257,2347</v>
          </cell>
          <cell r="AV83" t="str">
            <v>N/A</v>
          </cell>
        </row>
        <row r="84">
          <cell r="A84">
            <v>694</v>
          </cell>
          <cell r="B84" t="str">
            <v>Cat #</v>
          </cell>
          <cell r="C84" t="str">
            <v>18" x 26" White/Blue Polypropylene/White Towel W/3" Fen./300</v>
          </cell>
          <cell r="D84" t="str">
            <v>694</v>
          </cell>
          <cell r="E84">
            <v>37357</v>
          </cell>
          <cell r="F84" t="str">
            <v>N/A</v>
          </cell>
          <cell r="K84" t="str">
            <v>S-4</v>
          </cell>
          <cell r="L84" t="str">
            <v>32</v>
          </cell>
          <cell r="P84" t="str">
            <v>32</v>
          </cell>
          <cell r="Q84" t="str">
            <v>N/A</v>
          </cell>
          <cell r="R84" t="str">
            <v>8</v>
          </cell>
          <cell r="S84" t="str">
            <v>0</v>
          </cell>
          <cell r="T84" t="str">
            <v>.1.5</v>
          </cell>
          <cell r="U84" t="str">
            <v>2.5</v>
          </cell>
          <cell r="V84">
            <v>300</v>
          </cell>
          <cell r="W84" t="str">
            <v>II</v>
          </cell>
          <cell r="X84" t="str">
            <v>Manufacturing</v>
          </cell>
          <cell r="Y84" t="str">
            <v>N/A</v>
          </cell>
          <cell r="Z84" t="str">
            <v>1</v>
          </cell>
          <cell r="AA84" t="str">
            <v>Towel Machine</v>
          </cell>
          <cell r="AB84" t="str">
            <v>Non-Sterile</v>
          </cell>
          <cell r="AC84" t="str">
            <v>N/A</v>
          </cell>
          <cell r="AG84" t="str">
            <v>N/A</v>
          </cell>
          <cell r="AH84" t="str">
            <v>N/A</v>
          </cell>
          <cell r="AI84" t="str">
            <v>LATEX FREE</v>
          </cell>
          <cell r="AJ84" t="str">
            <v>Current</v>
          </cell>
          <cell r="AK84" t="str">
            <v>N/A</v>
          </cell>
          <cell r="AL84" t="str">
            <v>N/A</v>
          </cell>
          <cell r="AM84" t="str">
            <v>N/A</v>
          </cell>
          <cell r="AN84" t="str">
            <v>N/A</v>
          </cell>
          <cell r="AO84" t="str">
            <v>LF694SL</v>
          </cell>
          <cell r="AP84" t="str">
            <v>N/A</v>
          </cell>
          <cell r="AS84" t="str">
            <v>N/A</v>
          </cell>
          <cell r="AT84" t="str">
            <v>N/A</v>
          </cell>
          <cell r="AU84" t="str">
            <v>6961,6950F,2963A</v>
          </cell>
          <cell r="AV84" t="str">
            <v>N/A</v>
          </cell>
        </row>
        <row r="85">
          <cell r="A85">
            <v>695</v>
          </cell>
          <cell r="B85" t="str">
            <v>Cat #</v>
          </cell>
          <cell r="C85" t="str">
            <v>18" x 26" Autoclavable White/Blue Propylene/White Towel/500</v>
          </cell>
          <cell r="D85" t="str">
            <v>695</v>
          </cell>
          <cell r="E85">
            <v>37372</v>
          </cell>
          <cell r="F85" t="str">
            <v>N/A</v>
          </cell>
          <cell r="K85" t="str">
            <v>S-4</v>
          </cell>
          <cell r="L85" t="str">
            <v>32</v>
          </cell>
          <cell r="P85" t="str">
            <v>32</v>
          </cell>
          <cell r="Q85" t="str">
            <v>N/A</v>
          </cell>
          <cell r="R85" t="str">
            <v>8</v>
          </cell>
          <cell r="S85" t="str">
            <v>0</v>
          </cell>
          <cell r="T85" t="str">
            <v>1.5</v>
          </cell>
          <cell r="U85" t="str">
            <v>2.5</v>
          </cell>
          <cell r="V85">
            <v>500</v>
          </cell>
          <cell r="W85" t="str">
            <v>II</v>
          </cell>
          <cell r="X85" t="str">
            <v>Manufacturing</v>
          </cell>
          <cell r="Y85" t="str">
            <v>N/A</v>
          </cell>
          <cell r="Z85" t="str">
            <v>1</v>
          </cell>
          <cell r="AA85" t="str">
            <v>Towel Machine</v>
          </cell>
          <cell r="AB85" t="str">
            <v>Non-Sterile</v>
          </cell>
          <cell r="AC85" t="str">
            <v>N/A</v>
          </cell>
          <cell r="AG85" t="str">
            <v>N/A</v>
          </cell>
          <cell r="AH85" t="str">
            <v>N/A</v>
          </cell>
          <cell r="AI85" t="str">
            <v>LATEX FREE</v>
          </cell>
          <cell r="AJ85" t="str">
            <v>Current</v>
          </cell>
          <cell r="AK85" t="str">
            <v>N/A</v>
          </cell>
          <cell r="AL85" t="str">
            <v>N/A</v>
          </cell>
          <cell r="AM85" t="str">
            <v>N/A</v>
          </cell>
          <cell r="AN85" t="str">
            <v>N/A</v>
          </cell>
          <cell r="AO85" t="str">
            <v>LF695CSL</v>
          </cell>
          <cell r="AP85" t="str">
            <v>N/A</v>
          </cell>
          <cell r="AS85" t="str">
            <v>N/A</v>
          </cell>
          <cell r="AT85" t="str">
            <v>N/A</v>
          </cell>
          <cell r="AU85" t="str">
            <v>6961,6950F,2963A</v>
          </cell>
          <cell r="AV85" t="str">
            <v>N/A</v>
          </cell>
        </row>
        <row r="86">
          <cell r="A86">
            <v>700</v>
          </cell>
          <cell r="B86" t="str">
            <v>Cat #</v>
          </cell>
          <cell r="C86" t="str">
            <v>54" x 108" Adult Shroud Kit/10</v>
          </cell>
          <cell r="D86" t="str">
            <v>700 ETAL</v>
          </cell>
          <cell r="E86">
            <v>36563</v>
          </cell>
          <cell r="F86" t="str">
            <v>N/A</v>
          </cell>
          <cell r="K86" t="str">
            <v>S-4</v>
          </cell>
          <cell r="L86" t="str">
            <v>N/A</v>
          </cell>
          <cell r="P86" t="str">
            <v>N/A</v>
          </cell>
          <cell r="Q86" t="str">
            <v>N/A</v>
          </cell>
          <cell r="R86" t="str">
            <v>8</v>
          </cell>
          <cell r="S86" t="str">
            <v>0</v>
          </cell>
          <cell r="T86" t="str">
            <v>1.5</v>
          </cell>
          <cell r="U86" t="str">
            <v>2.5</v>
          </cell>
          <cell r="V86">
            <v>10</v>
          </cell>
          <cell r="W86" t="str">
            <v>S-4</v>
          </cell>
          <cell r="X86" t="str">
            <v>Manufacturing</v>
          </cell>
          <cell r="Y86" t="str">
            <v>N/A</v>
          </cell>
          <cell r="Z86" t="str">
            <v>N/A</v>
          </cell>
          <cell r="AA86" t="str">
            <v>Shroud Area</v>
          </cell>
          <cell r="AB86" t="str">
            <v>Non-Sterile</v>
          </cell>
          <cell r="AC86" t="str">
            <v>N/A</v>
          </cell>
          <cell r="AG86" t="str">
            <v>N/A</v>
          </cell>
          <cell r="AH86" t="str">
            <v>N/A</v>
          </cell>
          <cell r="AI86" t="str">
            <v>LATEX FREE</v>
          </cell>
          <cell r="AJ86" t="str">
            <v>Current</v>
          </cell>
          <cell r="AK86" t="str">
            <v>N/A</v>
          </cell>
          <cell r="AL86" t="str">
            <v>N/A</v>
          </cell>
          <cell r="AM86" t="str">
            <v>7001I</v>
          </cell>
          <cell r="AN86" t="str">
            <v>N/A</v>
          </cell>
          <cell r="AO86" t="str">
            <v>LF700CSL</v>
          </cell>
          <cell r="AP86" t="str">
            <v>N/A</v>
          </cell>
          <cell r="AS86" t="str">
            <v>N/A</v>
          </cell>
          <cell r="AT86" t="str">
            <v>N/A</v>
          </cell>
          <cell r="AU86" t="str">
            <v>7250A,725PM,7257</v>
          </cell>
          <cell r="AV86" t="str">
            <v>N/A</v>
          </cell>
        </row>
        <row r="87">
          <cell r="A87">
            <v>701</v>
          </cell>
          <cell r="B87" t="str">
            <v>Cat #</v>
          </cell>
          <cell r="C87" t="str">
            <v>54" x 72" Child Shroud Kit/10</v>
          </cell>
          <cell r="D87" t="str">
            <v>700 ETAL</v>
          </cell>
          <cell r="E87">
            <v>36563</v>
          </cell>
          <cell r="F87" t="str">
            <v>N/A</v>
          </cell>
          <cell r="K87" t="str">
            <v>S-4</v>
          </cell>
          <cell r="L87" t="str">
            <v>N/A</v>
          </cell>
          <cell r="P87" t="str">
            <v>N/A</v>
          </cell>
          <cell r="Q87" t="str">
            <v>N/A</v>
          </cell>
          <cell r="R87" t="str">
            <v>8</v>
          </cell>
          <cell r="S87" t="str">
            <v>0</v>
          </cell>
          <cell r="T87" t="str">
            <v>1.5</v>
          </cell>
          <cell r="U87" t="str">
            <v>2.5</v>
          </cell>
          <cell r="V87">
            <v>10</v>
          </cell>
          <cell r="W87" t="str">
            <v>S-4</v>
          </cell>
          <cell r="X87" t="str">
            <v>Manufacturing</v>
          </cell>
          <cell r="Y87" t="str">
            <v>N/A</v>
          </cell>
          <cell r="Z87" t="str">
            <v>N/A</v>
          </cell>
          <cell r="AA87" t="str">
            <v>Shroud Area</v>
          </cell>
          <cell r="AB87" t="str">
            <v>Non-Sterile</v>
          </cell>
          <cell r="AC87" t="str">
            <v>N/A</v>
          </cell>
          <cell r="AG87" t="str">
            <v>N/A</v>
          </cell>
          <cell r="AH87" t="str">
            <v>N/A</v>
          </cell>
          <cell r="AI87" t="str">
            <v>LATEX FREE</v>
          </cell>
          <cell r="AJ87" t="str">
            <v>Current</v>
          </cell>
          <cell r="AK87" t="str">
            <v>N/A</v>
          </cell>
          <cell r="AL87" t="str">
            <v>N/A</v>
          </cell>
          <cell r="AM87" t="str">
            <v>7011I</v>
          </cell>
          <cell r="AN87" t="str">
            <v>N/A</v>
          </cell>
          <cell r="AO87" t="str">
            <v>LF701CSL</v>
          </cell>
          <cell r="AP87" t="str">
            <v>N/A</v>
          </cell>
          <cell r="AS87" t="str">
            <v>N/A</v>
          </cell>
          <cell r="AT87" t="str">
            <v>N/A</v>
          </cell>
          <cell r="AU87" t="str">
            <v>7011C,725PM,</v>
          </cell>
          <cell r="AV87" t="str">
            <v>N/A</v>
          </cell>
        </row>
        <row r="88">
          <cell r="A88">
            <v>702</v>
          </cell>
          <cell r="B88" t="str">
            <v>Cat #</v>
          </cell>
          <cell r="C88" t="str">
            <v>54" x 108" Plastic Shroud Sheet/50</v>
          </cell>
          <cell r="D88" t="str">
            <v>700 ETAL</v>
          </cell>
          <cell r="E88">
            <v>36563</v>
          </cell>
          <cell r="F88" t="str">
            <v>N/A</v>
          </cell>
          <cell r="K88" t="str">
            <v>S-4</v>
          </cell>
          <cell r="L88" t="str">
            <v>N/A</v>
          </cell>
          <cell r="P88" t="str">
            <v>N/A</v>
          </cell>
          <cell r="Q88" t="str">
            <v>N/A</v>
          </cell>
          <cell r="R88" t="str">
            <v>8</v>
          </cell>
          <cell r="S88" t="str">
            <v>0</v>
          </cell>
          <cell r="T88" t="str">
            <v>1.5</v>
          </cell>
          <cell r="U88" t="str">
            <v>2.5</v>
          </cell>
          <cell r="V88">
            <v>50</v>
          </cell>
          <cell r="W88" t="str">
            <v>S-4</v>
          </cell>
          <cell r="X88" t="str">
            <v>Manufacturing</v>
          </cell>
          <cell r="Y88" t="str">
            <v>N/A</v>
          </cell>
          <cell r="Z88" t="str">
            <v>N/A</v>
          </cell>
          <cell r="AA88" t="str">
            <v>Shroud Area</v>
          </cell>
          <cell r="AB88" t="str">
            <v>Non-Sterile</v>
          </cell>
          <cell r="AC88" t="str">
            <v>N/A</v>
          </cell>
          <cell r="AG88" t="str">
            <v>N/A</v>
          </cell>
          <cell r="AH88" t="str">
            <v>N/A</v>
          </cell>
          <cell r="AI88" t="str">
            <v>LATEX FREE</v>
          </cell>
          <cell r="AJ88" t="str">
            <v>Current</v>
          </cell>
          <cell r="AK88" t="str">
            <v>N/A</v>
          </cell>
          <cell r="AL88" t="str">
            <v>N/A</v>
          </cell>
          <cell r="AM88" t="str">
            <v>N/A</v>
          </cell>
          <cell r="AN88" t="str">
            <v>N/A</v>
          </cell>
          <cell r="AO88" t="str">
            <v>LF702CSL</v>
          </cell>
          <cell r="AP88" t="str">
            <v>N/A</v>
          </cell>
          <cell r="AS88" t="str">
            <v>N/A</v>
          </cell>
          <cell r="AT88" t="str">
            <v>N/A</v>
          </cell>
          <cell r="AU88" t="str">
            <v>7251C</v>
          </cell>
          <cell r="AV88" t="str">
            <v>N/A</v>
          </cell>
        </row>
        <row r="89">
          <cell r="A89">
            <v>725</v>
          </cell>
          <cell r="B89" t="str">
            <v>Cat #</v>
          </cell>
          <cell r="C89" t="str">
            <v>54" x 108" Adult Shroud Kit /50</v>
          </cell>
          <cell r="D89" t="str">
            <v>700 ETAL</v>
          </cell>
          <cell r="E89">
            <v>36563</v>
          </cell>
          <cell r="F89" t="str">
            <v>N/A</v>
          </cell>
          <cell r="K89" t="str">
            <v>S-4</v>
          </cell>
          <cell r="L89" t="str">
            <v>N/A</v>
          </cell>
          <cell r="P89" t="str">
            <v>N/A</v>
          </cell>
          <cell r="Q89" t="str">
            <v>N/A</v>
          </cell>
          <cell r="R89" t="str">
            <v>8</v>
          </cell>
          <cell r="S89" t="str">
            <v>0</v>
          </cell>
          <cell r="T89" t="str">
            <v>1.5</v>
          </cell>
          <cell r="U89" t="str">
            <v>2.5</v>
          </cell>
          <cell r="V89">
            <v>50</v>
          </cell>
          <cell r="W89" t="str">
            <v>S-4</v>
          </cell>
          <cell r="X89" t="str">
            <v>Manufacturing</v>
          </cell>
          <cell r="Y89" t="str">
            <v>N/A</v>
          </cell>
          <cell r="Z89" t="str">
            <v>N/A</v>
          </cell>
          <cell r="AA89" t="str">
            <v>Shroud Area</v>
          </cell>
          <cell r="AB89" t="str">
            <v>Non-Sterile</v>
          </cell>
          <cell r="AC89" t="str">
            <v>N/A</v>
          </cell>
          <cell r="AG89" t="str">
            <v>N/A</v>
          </cell>
          <cell r="AH89" t="str">
            <v>N/A</v>
          </cell>
          <cell r="AI89" t="str">
            <v>LATEX FREE</v>
          </cell>
          <cell r="AJ89" t="str">
            <v>Current</v>
          </cell>
          <cell r="AK89" t="str">
            <v>N/A</v>
          </cell>
          <cell r="AL89" t="str">
            <v>N/A</v>
          </cell>
          <cell r="AM89" t="str">
            <v>7256</v>
          </cell>
          <cell r="AN89" t="str">
            <v>N/A</v>
          </cell>
          <cell r="AO89" t="str">
            <v>LF725CSL</v>
          </cell>
          <cell r="AP89" t="str">
            <v>N/A</v>
          </cell>
          <cell r="AS89" t="str">
            <v>N/A</v>
          </cell>
          <cell r="AT89" t="str">
            <v>N/A</v>
          </cell>
          <cell r="AU89" t="str">
            <v>7251C,725PM</v>
          </cell>
          <cell r="AV89" t="str">
            <v>N/A</v>
          </cell>
        </row>
        <row r="90">
          <cell r="A90" t="str">
            <v>725GM</v>
          </cell>
          <cell r="B90" t="str">
            <v>Comp #</v>
          </cell>
          <cell r="C90" t="str">
            <v>Sub-Assembly of Components 7006,7286,9046/200</v>
          </cell>
          <cell r="D90" t="str">
            <v>174TP ETAL</v>
          </cell>
          <cell r="E90">
            <v>36564</v>
          </cell>
          <cell r="F90" t="str">
            <v>N/A</v>
          </cell>
          <cell r="K90" t="str">
            <v>S-4</v>
          </cell>
          <cell r="L90" t="str">
            <v>N/A</v>
          </cell>
          <cell r="P90" t="str">
            <v>8</v>
          </cell>
          <cell r="Q90" t="str">
            <v>N/A</v>
          </cell>
          <cell r="R90" t="str">
            <v>8</v>
          </cell>
          <cell r="S90" t="str">
            <v>0</v>
          </cell>
          <cell r="T90" t="str">
            <v>1.5</v>
          </cell>
          <cell r="U90" t="str">
            <v>2.5</v>
          </cell>
          <cell r="V90">
            <v>200</v>
          </cell>
          <cell r="W90" t="str">
            <v>S-4</v>
          </cell>
          <cell r="X90" t="str">
            <v>Manufacturing</v>
          </cell>
          <cell r="Y90" t="str">
            <v>N/A</v>
          </cell>
          <cell r="Z90" t="str">
            <v>N/A</v>
          </cell>
          <cell r="AA90" t="str">
            <v>Shroud Area</v>
          </cell>
          <cell r="AB90" t="str">
            <v>Non-Sterile</v>
          </cell>
          <cell r="AC90" t="str">
            <v>N/A</v>
          </cell>
          <cell r="AG90" t="str">
            <v>N/A</v>
          </cell>
          <cell r="AH90" t="str">
            <v>N/A</v>
          </cell>
          <cell r="AI90" t="str">
            <v>LATEX FREE</v>
          </cell>
          <cell r="AJ90" t="str">
            <v>Current</v>
          </cell>
          <cell r="AK90" t="str">
            <v>N/A</v>
          </cell>
          <cell r="AL90" t="str">
            <v>N/A</v>
          </cell>
          <cell r="AM90" t="str">
            <v>N/A</v>
          </cell>
          <cell r="AN90" t="str">
            <v>N/A</v>
          </cell>
          <cell r="AO90" t="str">
            <v>N/A</v>
          </cell>
          <cell r="AP90" t="str">
            <v>N/A</v>
          </cell>
          <cell r="AS90" t="str">
            <v>Reuse 8252A 10x</v>
          </cell>
          <cell r="AT90" t="str">
            <v>N/A</v>
          </cell>
          <cell r="AU90" t="str">
            <v>7003A,3377A,7254,7007,9013A-1</v>
          </cell>
          <cell r="AV90" t="str">
            <v>N/A</v>
          </cell>
        </row>
        <row r="91">
          <cell r="A91" t="str">
            <v>725PM</v>
          </cell>
          <cell r="B91" t="str">
            <v>Comp #</v>
          </cell>
          <cell r="C91" t="str">
            <v>Sub-Assembly of Components 700,701,725,727,7276,7279,904,908</v>
          </cell>
          <cell r="D91" t="str">
            <v>174TP ETAL</v>
          </cell>
          <cell r="E91">
            <v>36564</v>
          </cell>
          <cell r="F91" t="str">
            <v>N/A</v>
          </cell>
          <cell r="K91" t="str">
            <v>S-4</v>
          </cell>
          <cell r="L91" t="str">
            <v>N/A</v>
          </cell>
          <cell r="P91" t="str">
            <v>8</v>
          </cell>
          <cell r="Q91" t="str">
            <v>N/A</v>
          </cell>
          <cell r="R91" t="str">
            <v>8</v>
          </cell>
          <cell r="S91" t="str">
            <v>0</v>
          </cell>
          <cell r="T91" t="str">
            <v>1.5</v>
          </cell>
          <cell r="U91" t="str">
            <v>2.5</v>
          </cell>
          <cell r="V91">
            <v>200</v>
          </cell>
          <cell r="W91" t="str">
            <v>S-4</v>
          </cell>
          <cell r="X91" t="str">
            <v>Manufacturing</v>
          </cell>
          <cell r="Y91" t="str">
            <v>N/A</v>
          </cell>
          <cell r="Z91" t="str">
            <v>N/A</v>
          </cell>
          <cell r="AA91" t="str">
            <v>Shroud Area</v>
          </cell>
          <cell r="AB91" t="str">
            <v>Non-Sterile</v>
          </cell>
          <cell r="AC91" t="str">
            <v>N/A</v>
          </cell>
          <cell r="AG91" t="str">
            <v>N/A</v>
          </cell>
          <cell r="AH91" t="str">
            <v>N/A</v>
          </cell>
          <cell r="AI91" t="str">
            <v>LATEX FREE</v>
          </cell>
          <cell r="AJ91" t="str">
            <v>Current</v>
          </cell>
          <cell r="AK91" t="str">
            <v>N/A</v>
          </cell>
          <cell r="AL91" t="str">
            <v>N/A</v>
          </cell>
          <cell r="AM91" t="str">
            <v>N/A</v>
          </cell>
          <cell r="AN91" t="str">
            <v>N/A</v>
          </cell>
          <cell r="AO91" t="str">
            <v>N/A</v>
          </cell>
          <cell r="AP91" t="str">
            <v>N/A</v>
          </cell>
          <cell r="AS91" t="str">
            <v>Identification Label</v>
          </cell>
          <cell r="AT91" t="str">
            <v>N/A</v>
          </cell>
          <cell r="AU91" t="str">
            <v>7003A,3377A,7254,9013A-1</v>
          </cell>
          <cell r="AV91" t="str">
            <v>N/A</v>
          </cell>
        </row>
        <row r="92">
          <cell r="A92">
            <v>727</v>
          </cell>
          <cell r="B92" t="str">
            <v>Cat #</v>
          </cell>
          <cell r="C92" t="str">
            <v>72" x 108" XL Shroud Kit/24</v>
          </cell>
          <cell r="D92" t="str">
            <v>700 ETAL</v>
          </cell>
          <cell r="E92">
            <v>36563</v>
          </cell>
          <cell r="F92" t="str">
            <v>N/A</v>
          </cell>
          <cell r="K92" t="str">
            <v>S-4</v>
          </cell>
          <cell r="L92" t="str">
            <v>N/A</v>
          </cell>
          <cell r="P92" t="str">
            <v>N/A</v>
          </cell>
          <cell r="Q92" t="str">
            <v>N/A</v>
          </cell>
          <cell r="R92" t="str">
            <v>8</v>
          </cell>
          <cell r="S92" t="str">
            <v>0</v>
          </cell>
          <cell r="T92" t="str">
            <v>1.5</v>
          </cell>
          <cell r="U92" t="str">
            <v>2.5</v>
          </cell>
          <cell r="V92">
            <v>24</v>
          </cell>
          <cell r="W92" t="str">
            <v>S-4</v>
          </cell>
          <cell r="X92" t="str">
            <v>Manufacturing</v>
          </cell>
          <cell r="Y92" t="str">
            <v>N/A</v>
          </cell>
          <cell r="Z92" t="str">
            <v>N/A</v>
          </cell>
          <cell r="AA92" t="str">
            <v>Shroud Area</v>
          </cell>
          <cell r="AB92" t="str">
            <v>Non-Sterile</v>
          </cell>
          <cell r="AC92" t="str">
            <v>N/A</v>
          </cell>
          <cell r="AG92" t="str">
            <v>N/A</v>
          </cell>
          <cell r="AH92" t="str">
            <v>N/A</v>
          </cell>
          <cell r="AI92" t="str">
            <v>LATEX FREE</v>
          </cell>
          <cell r="AJ92" t="str">
            <v>Current</v>
          </cell>
          <cell r="AK92" t="str">
            <v>N/A</v>
          </cell>
          <cell r="AL92" t="str">
            <v>N/A</v>
          </cell>
          <cell r="AM92" t="str">
            <v>7271</v>
          </cell>
          <cell r="AN92" t="str">
            <v>N/A</v>
          </cell>
          <cell r="AO92" t="str">
            <v>LF727CSL</v>
          </cell>
          <cell r="AP92" t="str">
            <v>N/A</v>
          </cell>
          <cell r="AS92" t="str">
            <v>N/A</v>
          </cell>
          <cell r="AT92" t="str">
            <v>N/A</v>
          </cell>
          <cell r="AU92" t="str">
            <v>7271C, 725PM</v>
          </cell>
          <cell r="AV92" t="str">
            <v>N/A</v>
          </cell>
        </row>
        <row r="93">
          <cell r="A93">
            <v>728</v>
          </cell>
          <cell r="B93" t="str">
            <v>Cat #</v>
          </cell>
          <cell r="C93" t="str">
            <v>72" x 108" XL Shroud Sheet/24</v>
          </cell>
          <cell r="D93" t="str">
            <v>700 ETAL</v>
          </cell>
          <cell r="E93">
            <v>36563</v>
          </cell>
          <cell r="F93" t="str">
            <v>N/A</v>
          </cell>
          <cell r="K93" t="str">
            <v>S-4</v>
          </cell>
          <cell r="L93" t="str">
            <v>N/A</v>
          </cell>
          <cell r="P93" t="str">
            <v>N/A</v>
          </cell>
          <cell r="Q93" t="str">
            <v>N/A</v>
          </cell>
          <cell r="R93" t="str">
            <v>8</v>
          </cell>
          <cell r="S93" t="str">
            <v>0</v>
          </cell>
          <cell r="T93" t="str">
            <v>1.5</v>
          </cell>
          <cell r="U93" t="str">
            <v>2.5</v>
          </cell>
          <cell r="V93">
            <v>24</v>
          </cell>
          <cell r="W93" t="str">
            <v>S-4</v>
          </cell>
          <cell r="X93" t="str">
            <v>Manufacturing</v>
          </cell>
          <cell r="Y93" t="str">
            <v>N/A</v>
          </cell>
          <cell r="Z93" t="str">
            <v>N/A</v>
          </cell>
          <cell r="AA93" t="str">
            <v>Shroud Area</v>
          </cell>
          <cell r="AB93" t="str">
            <v>Non-Sterile</v>
          </cell>
          <cell r="AC93" t="str">
            <v>N/A</v>
          </cell>
          <cell r="AG93" t="str">
            <v>N/A</v>
          </cell>
          <cell r="AH93" t="str">
            <v>N/A</v>
          </cell>
          <cell r="AI93" t="str">
            <v>LATEX FREE</v>
          </cell>
          <cell r="AJ93" t="str">
            <v>Current</v>
          </cell>
          <cell r="AK93" t="str">
            <v>N/A</v>
          </cell>
          <cell r="AL93" t="str">
            <v>N/A</v>
          </cell>
          <cell r="AM93" t="str">
            <v>N/A</v>
          </cell>
          <cell r="AN93" t="str">
            <v>N/A</v>
          </cell>
          <cell r="AO93" t="str">
            <v>LF728CSL</v>
          </cell>
          <cell r="AP93" t="str">
            <v>N/A</v>
          </cell>
          <cell r="AS93" t="str">
            <v>N/A</v>
          </cell>
          <cell r="AT93" t="str">
            <v>N/A</v>
          </cell>
          <cell r="AU93" t="str">
            <v>N/A</v>
          </cell>
          <cell r="AV93" t="str">
            <v>7271</v>
          </cell>
        </row>
        <row r="94">
          <cell r="A94">
            <v>736</v>
          </cell>
          <cell r="B94" t="str">
            <v>Cat #</v>
          </cell>
          <cell r="C94" t="str">
            <v>22x22mm Plastic Coverslips/15000</v>
          </cell>
          <cell r="D94" t="str">
            <v>736</v>
          </cell>
          <cell r="E94">
            <v>36542</v>
          </cell>
          <cell r="F94" t="str">
            <v>N/A</v>
          </cell>
          <cell r="K94" t="str">
            <v>S-4</v>
          </cell>
          <cell r="L94" t="str">
            <v>N/A</v>
          </cell>
          <cell r="P94" t="str">
            <v>20</v>
          </cell>
          <cell r="Q94" t="str">
            <v>120</v>
          </cell>
          <cell r="R94" t="str">
            <v>8</v>
          </cell>
          <cell r="S94" t="str">
            <v>0</v>
          </cell>
          <cell r="T94" t="str">
            <v>1.5</v>
          </cell>
          <cell r="U94" t="str">
            <v>2.5</v>
          </cell>
          <cell r="V94">
            <v>15000</v>
          </cell>
          <cell r="W94" t="str">
            <v>S-4</v>
          </cell>
          <cell r="X94" t="str">
            <v>Manufacturing</v>
          </cell>
          <cell r="Y94" t="str">
            <v>15</v>
          </cell>
          <cell r="Z94" t="str">
            <v>N/A</v>
          </cell>
          <cell r="AA94" t="str">
            <v>Process Room</v>
          </cell>
          <cell r="AB94" t="str">
            <v>Non-Sterile</v>
          </cell>
          <cell r="AC94" t="str">
            <v>N/A</v>
          </cell>
          <cell r="AG94" t="str">
            <v>N/A</v>
          </cell>
          <cell r="AH94" t="str">
            <v>N/A</v>
          </cell>
          <cell r="AI94" t="str">
            <v>LATEX FREE</v>
          </cell>
          <cell r="AJ94" t="str">
            <v>Current</v>
          </cell>
          <cell r="AK94" t="str">
            <v>N/A</v>
          </cell>
          <cell r="AL94" t="str">
            <v>N/A</v>
          </cell>
          <cell r="AM94" t="str">
            <v>N/A</v>
          </cell>
          <cell r="AN94" t="str">
            <v>N/A</v>
          </cell>
          <cell r="AO94" t="str">
            <v>LF736SL</v>
          </cell>
          <cell r="AP94" t="str">
            <v>N/A</v>
          </cell>
          <cell r="AS94" t="str">
            <v>N/A</v>
          </cell>
          <cell r="AT94" t="str">
            <v>N/A</v>
          </cell>
          <cell r="AU94" t="str">
            <v>7350A,7361</v>
          </cell>
          <cell r="AV94" t="str">
            <v>N/A</v>
          </cell>
        </row>
        <row r="95">
          <cell r="A95" t="str">
            <v>767</v>
          </cell>
          <cell r="B95" t="str">
            <v>Cat#</v>
          </cell>
          <cell r="C95" t="str">
            <v>Bulk Saf-Shield Irrigation Splas Guard/200</v>
          </cell>
          <cell r="D95" t="str">
            <v>767</v>
          </cell>
          <cell r="E95">
            <v>37553</v>
          </cell>
          <cell r="F95" t="str">
            <v>N/A</v>
          </cell>
          <cell r="K95" t="str">
            <v>S-4</v>
          </cell>
          <cell r="L95" t="str">
            <v>N/A</v>
          </cell>
          <cell r="P95" t="str">
            <v>N/A</v>
          </cell>
          <cell r="Q95" t="str">
            <v>N/A</v>
          </cell>
          <cell r="R95" t="str">
            <v>8</v>
          </cell>
          <cell r="S95" t="str">
            <v>0</v>
          </cell>
          <cell r="T95" t="str">
            <v>1.5</v>
          </cell>
          <cell r="U95" t="str">
            <v>2.5</v>
          </cell>
          <cell r="V95">
            <v>200</v>
          </cell>
          <cell r="X95" t="str">
            <v>Injection Moding</v>
          </cell>
          <cell r="Y95" t="str">
            <v>N/A</v>
          </cell>
          <cell r="Z95" t="str">
            <v>N/A</v>
          </cell>
          <cell r="AA95" t="str">
            <v>Injection Molding</v>
          </cell>
          <cell r="AB95" t="str">
            <v>Non-Sterile</v>
          </cell>
          <cell r="AC95" t="str">
            <v>N/A</v>
          </cell>
          <cell r="AG95" t="str">
            <v>N/A</v>
          </cell>
          <cell r="AH95" t="str">
            <v>Y</v>
          </cell>
          <cell r="AI95" t="str">
            <v>LATEX FREE</v>
          </cell>
          <cell r="AJ95" t="str">
            <v>Current</v>
          </cell>
          <cell r="AK95" t="str">
            <v>N/A</v>
          </cell>
          <cell r="AL95" t="str">
            <v>N/A</v>
          </cell>
          <cell r="AM95" t="str">
            <v>N/A</v>
          </cell>
          <cell r="AN95" t="str">
            <v>N/A</v>
          </cell>
          <cell r="AO95" t="str">
            <v>LF767CSL</v>
          </cell>
          <cell r="AP95" t="str">
            <v>N/A</v>
          </cell>
          <cell r="AS95" t="str">
            <v>N/A</v>
          </cell>
          <cell r="AT95" t="str">
            <v>N/A</v>
          </cell>
          <cell r="AU95" t="str">
            <v>7660B,3173</v>
          </cell>
          <cell r="AV95" t="str">
            <v>N/A</v>
          </cell>
        </row>
        <row r="96">
          <cell r="A96" t="str">
            <v>810</v>
          </cell>
          <cell r="B96" t="str">
            <v>Cat #</v>
          </cell>
          <cell r="C96" t="str">
            <v>16"x 20" Geriatric Bib Plus 3" Pocket/500</v>
          </cell>
          <cell r="D96" t="str">
            <v>810</v>
          </cell>
          <cell r="E96">
            <v>36508</v>
          </cell>
          <cell r="F96" t="str">
            <v>N/A</v>
          </cell>
          <cell r="K96" t="str">
            <v>S-4</v>
          </cell>
          <cell r="L96" t="str">
            <v>N/A</v>
          </cell>
          <cell r="P96" t="str">
            <v>20</v>
          </cell>
          <cell r="Q96" t="str">
            <v>N/A</v>
          </cell>
          <cell r="R96" t="str">
            <v>8</v>
          </cell>
          <cell r="S96" t="str">
            <v>0</v>
          </cell>
          <cell r="T96" t="str">
            <v>1.5</v>
          </cell>
          <cell r="U96" t="str">
            <v>2.5</v>
          </cell>
          <cell r="V96">
            <v>500</v>
          </cell>
          <cell r="X96" t="str">
            <v>Manufacturing</v>
          </cell>
          <cell r="Y96" t="str">
            <v>N/A</v>
          </cell>
          <cell r="Z96" t="str">
            <v>N/A</v>
          </cell>
          <cell r="AA96" t="str">
            <v>Manufacturing</v>
          </cell>
          <cell r="AB96" t="str">
            <v>Non-Sterile</v>
          </cell>
          <cell r="AC96" t="str">
            <v>N/A</v>
          </cell>
          <cell r="AG96" t="str">
            <v>N/A</v>
          </cell>
          <cell r="AH96" t="str">
            <v>N/A</v>
          </cell>
          <cell r="AI96" t="str">
            <v>LATEX FREE</v>
          </cell>
          <cell r="AJ96" t="str">
            <v>Current</v>
          </cell>
          <cell r="AK96" t="str">
            <v>N/A</v>
          </cell>
          <cell r="AL96" t="str">
            <v>N/A</v>
          </cell>
          <cell r="AM96" t="str">
            <v>N/A</v>
          </cell>
          <cell r="AN96" t="str">
            <v>N/A</v>
          </cell>
          <cell r="AO96" t="str">
            <v>N/A</v>
          </cell>
          <cell r="AP96" t="str">
            <v>N/A</v>
          </cell>
          <cell r="AS96" t="str">
            <v>Printed Carton</v>
          </cell>
          <cell r="AT96" t="str">
            <v>N/A</v>
          </cell>
          <cell r="AU96" t="str">
            <v>N/A</v>
          </cell>
          <cell r="AV96" t="str">
            <v>810</v>
          </cell>
        </row>
        <row r="97">
          <cell r="A97" t="str">
            <v>815</v>
          </cell>
          <cell r="B97" t="str">
            <v>Cat #</v>
          </cell>
          <cell r="C97" t="str">
            <v xml:space="preserve">21"x 28" Pillow Case Protectors/200 </v>
          </cell>
          <cell r="D97" t="str">
            <v>815</v>
          </cell>
          <cell r="E97">
            <v>36580</v>
          </cell>
          <cell r="F97" t="str">
            <v>N/A</v>
          </cell>
          <cell r="K97" t="str">
            <v>S-4</v>
          </cell>
          <cell r="L97" t="str">
            <v>N/A</v>
          </cell>
          <cell r="P97" t="str">
            <v>20</v>
          </cell>
          <cell r="Q97" t="str">
            <v>N/A</v>
          </cell>
          <cell r="R97" t="str">
            <v>8</v>
          </cell>
          <cell r="S97" t="str">
            <v>0</v>
          </cell>
          <cell r="T97" t="str">
            <v>1.5</v>
          </cell>
          <cell r="U97" t="str">
            <v>2.5</v>
          </cell>
          <cell r="V97">
            <v>200</v>
          </cell>
          <cell r="X97" t="str">
            <v>Manufacturing</v>
          </cell>
          <cell r="Y97" t="str">
            <v>N/A</v>
          </cell>
          <cell r="Z97" t="str">
            <v>N/A</v>
          </cell>
          <cell r="AA97" t="str">
            <v>Manufacturing</v>
          </cell>
          <cell r="AB97" t="str">
            <v>Non-Sterile</v>
          </cell>
          <cell r="AC97" t="str">
            <v>N/A</v>
          </cell>
          <cell r="AG97" t="str">
            <v>N/A</v>
          </cell>
          <cell r="AH97" t="str">
            <v>N/A</v>
          </cell>
          <cell r="AI97" t="str">
            <v>LATEX FREE</v>
          </cell>
          <cell r="AJ97" t="str">
            <v>Current</v>
          </cell>
          <cell r="AK97" t="str">
            <v>N/A</v>
          </cell>
          <cell r="AL97" t="str">
            <v>N/A</v>
          </cell>
          <cell r="AM97" t="str">
            <v>N/A</v>
          </cell>
          <cell r="AN97" t="str">
            <v>N/A</v>
          </cell>
          <cell r="AO97" t="str">
            <v>N/A</v>
          </cell>
          <cell r="AP97" t="str">
            <v>N/A</v>
          </cell>
          <cell r="AS97" t="str">
            <v>Printed Carton</v>
          </cell>
          <cell r="AT97" t="str">
            <v>N/A</v>
          </cell>
          <cell r="AU97" t="str">
            <v>N/A</v>
          </cell>
          <cell r="AV97" t="str">
            <v>815</v>
          </cell>
        </row>
        <row r="98">
          <cell r="A98">
            <v>843</v>
          </cell>
          <cell r="B98" t="str">
            <v>Cat #</v>
          </cell>
          <cell r="C98" t="str">
            <v>15" x 15" Standard CSR Wrap/100</v>
          </cell>
          <cell r="D98" t="str">
            <v>843 ETAL</v>
          </cell>
          <cell r="E98">
            <v>36563</v>
          </cell>
          <cell r="F98" t="str">
            <v>N/A</v>
          </cell>
          <cell r="K98" t="str">
            <v>S-4</v>
          </cell>
          <cell r="L98" t="str">
            <v>N/A</v>
          </cell>
          <cell r="P98" t="str">
            <v>N/A</v>
          </cell>
          <cell r="Q98" t="str">
            <v>N/A</v>
          </cell>
          <cell r="R98" t="str">
            <v>8</v>
          </cell>
          <cell r="S98" t="str">
            <v>0</v>
          </cell>
          <cell r="T98" t="str">
            <v>1.5</v>
          </cell>
          <cell r="U98" t="str">
            <v>2.5</v>
          </cell>
          <cell r="V98" t="str">
            <v>100</v>
          </cell>
          <cell r="W98" t="str">
            <v>S-4</v>
          </cell>
          <cell r="X98" t="str">
            <v>Manufacturing</v>
          </cell>
          <cell r="Y98" t="str">
            <v>N/A</v>
          </cell>
          <cell r="Z98" t="str">
            <v>N/A</v>
          </cell>
          <cell r="AA98" t="str">
            <v>Manufacturing</v>
          </cell>
          <cell r="AB98" t="str">
            <v>Non-Sterile</v>
          </cell>
          <cell r="AC98" t="str">
            <v>N/A</v>
          </cell>
          <cell r="AG98" t="str">
            <v>N/A</v>
          </cell>
          <cell r="AH98" t="str">
            <v>N/A</v>
          </cell>
          <cell r="AI98" t="str">
            <v>LATEX FREE</v>
          </cell>
          <cell r="AJ98" t="str">
            <v>Current</v>
          </cell>
          <cell r="AK98" t="str">
            <v>N/A</v>
          </cell>
          <cell r="AL98" t="str">
            <v>N/A</v>
          </cell>
          <cell r="AM98" t="str">
            <v>N/A</v>
          </cell>
          <cell r="AN98" t="str">
            <v>N/A</v>
          </cell>
          <cell r="AO98" t="str">
            <v>LF843SL</v>
          </cell>
          <cell r="AP98" t="str">
            <v>N/A</v>
          </cell>
          <cell r="AS98" t="str">
            <v>N/A</v>
          </cell>
          <cell r="AT98" t="str">
            <v>N/A</v>
          </cell>
          <cell r="AU98" t="str">
            <v>N/A</v>
          </cell>
          <cell r="AV98" t="str">
            <v>8415D</v>
          </cell>
        </row>
        <row r="99">
          <cell r="A99">
            <v>845</v>
          </cell>
          <cell r="B99" t="str">
            <v>Cat #</v>
          </cell>
          <cell r="C99" t="str">
            <v>12" x 12" Standard CSR Wrap/100</v>
          </cell>
          <cell r="D99" t="str">
            <v>843 ETAL</v>
          </cell>
          <cell r="E99">
            <v>36563</v>
          </cell>
          <cell r="F99" t="str">
            <v>N/A</v>
          </cell>
          <cell r="K99" t="str">
            <v>S-4</v>
          </cell>
          <cell r="L99" t="str">
            <v>N/A</v>
          </cell>
          <cell r="P99" t="str">
            <v>N/A</v>
          </cell>
          <cell r="Q99" t="str">
            <v>N/A</v>
          </cell>
          <cell r="R99" t="str">
            <v>8</v>
          </cell>
          <cell r="S99" t="str">
            <v>0</v>
          </cell>
          <cell r="T99" t="str">
            <v>1.5</v>
          </cell>
          <cell r="U99" t="str">
            <v>2.5</v>
          </cell>
          <cell r="V99" t="str">
            <v>100</v>
          </cell>
          <cell r="W99" t="str">
            <v>S-4</v>
          </cell>
          <cell r="X99" t="str">
            <v>Manufacturing</v>
          </cell>
          <cell r="Y99" t="str">
            <v>N/A</v>
          </cell>
          <cell r="Z99" t="str">
            <v>N/A</v>
          </cell>
          <cell r="AA99" t="str">
            <v>Manufacturing</v>
          </cell>
          <cell r="AB99" t="str">
            <v>Non-Sterile</v>
          </cell>
          <cell r="AC99" t="str">
            <v>N/A</v>
          </cell>
          <cell r="AG99" t="str">
            <v>N/A</v>
          </cell>
          <cell r="AH99" t="str">
            <v>N/A</v>
          </cell>
          <cell r="AI99" t="str">
            <v>LATEX FREE</v>
          </cell>
          <cell r="AJ99" t="str">
            <v>Current</v>
          </cell>
          <cell r="AK99" t="str">
            <v>N/A</v>
          </cell>
          <cell r="AL99" t="str">
            <v>N/A</v>
          </cell>
          <cell r="AM99" t="str">
            <v>N/A</v>
          </cell>
          <cell r="AN99" t="str">
            <v>N/A</v>
          </cell>
          <cell r="AO99" t="str">
            <v>LF845SL</v>
          </cell>
          <cell r="AP99" t="str">
            <v>N/A</v>
          </cell>
          <cell r="AS99" t="str">
            <v>N/A</v>
          </cell>
          <cell r="AT99" t="str">
            <v>N/A</v>
          </cell>
          <cell r="AU99" t="str">
            <v>N/A</v>
          </cell>
          <cell r="AV99" t="str">
            <v>8412D</v>
          </cell>
        </row>
        <row r="100">
          <cell r="A100">
            <v>846</v>
          </cell>
          <cell r="B100" t="str">
            <v>Cat #</v>
          </cell>
          <cell r="C100" t="str">
            <v>18" x 18" Standard CSR Wrap/100</v>
          </cell>
          <cell r="D100" t="str">
            <v>843 ETAL</v>
          </cell>
          <cell r="E100">
            <v>36563</v>
          </cell>
          <cell r="F100" t="str">
            <v>N/A</v>
          </cell>
          <cell r="K100" t="str">
            <v>S-4</v>
          </cell>
          <cell r="L100" t="str">
            <v>N/A</v>
          </cell>
          <cell r="P100" t="str">
            <v>N/A</v>
          </cell>
          <cell r="Q100" t="str">
            <v>N/A</v>
          </cell>
          <cell r="R100" t="str">
            <v>8</v>
          </cell>
          <cell r="S100" t="str">
            <v>0</v>
          </cell>
          <cell r="T100" t="str">
            <v>1.5</v>
          </cell>
          <cell r="U100" t="str">
            <v>2.5</v>
          </cell>
          <cell r="V100" t="str">
            <v>100</v>
          </cell>
          <cell r="W100" t="str">
            <v>S-4</v>
          </cell>
          <cell r="X100" t="str">
            <v>Manufacturing</v>
          </cell>
          <cell r="Y100" t="str">
            <v>N/A</v>
          </cell>
          <cell r="Z100" t="str">
            <v>N/A</v>
          </cell>
          <cell r="AA100" t="str">
            <v>Manufacturing</v>
          </cell>
          <cell r="AB100" t="str">
            <v>Non-Sterile</v>
          </cell>
          <cell r="AC100" t="str">
            <v>N/A</v>
          </cell>
          <cell r="AG100" t="str">
            <v>N/A</v>
          </cell>
          <cell r="AH100" t="str">
            <v>N/A</v>
          </cell>
          <cell r="AI100" t="str">
            <v>LATEX FREE</v>
          </cell>
          <cell r="AJ100" t="str">
            <v>Current</v>
          </cell>
          <cell r="AK100" t="str">
            <v>N/A</v>
          </cell>
          <cell r="AL100" t="str">
            <v>N/A</v>
          </cell>
          <cell r="AM100" t="str">
            <v>N/A</v>
          </cell>
          <cell r="AN100" t="str">
            <v>N/A</v>
          </cell>
          <cell r="AO100" t="str">
            <v>LF846SL</v>
          </cell>
          <cell r="AP100" t="str">
            <v>N/A</v>
          </cell>
          <cell r="AS100" t="str">
            <v>N/A</v>
          </cell>
          <cell r="AT100" t="str">
            <v>N/A</v>
          </cell>
          <cell r="AU100" t="str">
            <v>N/A</v>
          </cell>
          <cell r="AV100" t="str">
            <v>8418D</v>
          </cell>
        </row>
        <row r="101">
          <cell r="A101">
            <v>847</v>
          </cell>
          <cell r="B101" t="str">
            <v>Cat #</v>
          </cell>
          <cell r="C101" t="str">
            <v>24" x 24" Standard CSR Wrap/100</v>
          </cell>
          <cell r="D101" t="str">
            <v>843 ETAL</v>
          </cell>
          <cell r="E101">
            <v>36563</v>
          </cell>
          <cell r="F101" t="str">
            <v>N/A</v>
          </cell>
          <cell r="K101" t="str">
            <v>S-4</v>
          </cell>
          <cell r="L101" t="str">
            <v>N/A</v>
          </cell>
          <cell r="P101" t="str">
            <v>N/A</v>
          </cell>
          <cell r="Q101" t="str">
            <v>N/A</v>
          </cell>
          <cell r="R101" t="str">
            <v>8</v>
          </cell>
          <cell r="S101" t="str">
            <v>0</v>
          </cell>
          <cell r="T101" t="str">
            <v>1.5</v>
          </cell>
          <cell r="U101" t="str">
            <v>2.5</v>
          </cell>
          <cell r="V101" t="str">
            <v>100</v>
          </cell>
          <cell r="W101" t="str">
            <v>S-4</v>
          </cell>
          <cell r="X101" t="str">
            <v>Manufacturing</v>
          </cell>
          <cell r="Y101" t="str">
            <v>N/A</v>
          </cell>
          <cell r="Z101" t="str">
            <v>N/A</v>
          </cell>
          <cell r="AA101" t="str">
            <v>Manufacturing</v>
          </cell>
          <cell r="AB101" t="str">
            <v>Non-Sterile</v>
          </cell>
          <cell r="AC101" t="str">
            <v>N/A</v>
          </cell>
          <cell r="AG101" t="str">
            <v>N/A</v>
          </cell>
          <cell r="AH101" t="str">
            <v>N/A</v>
          </cell>
          <cell r="AI101" t="str">
            <v>LATEX FREE</v>
          </cell>
          <cell r="AJ101" t="str">
            <v>Current</v>
          </cell>
          <cell r="AK101" t="str">
            <v>N/A</v>
          </cell>
          <cell r="AL101" t="str">
            <v>N/A</v>
          </cell>
          <cell r="AM101" t="str">
            <v>N/A</v>
          </cell>
          <cell r="AN101" t="str">
            <v>N/A</v>
          </cell>
          <cell r="AO101" t="str">
            <v>LF847SL</v>
          </cell>
          <cell r="AP101" t="str">
            <v>N/A</v>
          </cell>
          <cell r="AS101" t="str">
            <v>N/A</v>
          </cell>
          <cell r="AT101" t="str">
            <v>N/A</v>
          </cell>
          <cell r="AU101" t="str">
            <v>N/A</v>
          </cell>
          <cell r="AV101" t="str">
            <v>8424D</v>
          </cell>
        </row>
        <row r="102">
          <cell r="A102">
            <v>848</v>
          </cell>
          <cell r="B102" t="str">
            <v>Cat #</v>
          </cell>
          <cell r="C102" t="str">
            <v>30" x 30" Standard CSR Wrap/100</v>
          </cell>
          <cell r="D102" t="str">
            <v>843 ETAL</v>
          </cell>
          <cell r="E102">
            <v>36563</v>
          </cell>
          <cell r="F102" t="str">
            <v>N/A</v>
          </cell>
          <cell r="K102" t="str">
            <v>S-4</v>
          </cell>
          <cell r="L102" t="str">
            <v>N/A</v>
          </cell>
          <cell r="P102" t="str">
            <v>N/A</v>
          </cell>
          <cell r="Q102" t="str">
            <v>N/A</v>
          </cell>
          <cell r="R102" t="str">
            <v>8</v>
          </cell>
          <cell r="S102" t="str">
            <v>0</v>
          </cell>
          <cell r="T102" t="str">
            <v>1.5</v>
          </cell>
          <cell r="U102" t="str">
            <v>2.5</v>
          </cell>
          <cell r="V102" t="str">
            <v>100</v>
          </cell>
          <cell r="W102" t="str">
            <v>S-4</v>
          </cell>
          <cell r="X102" t="str">
            <v>Manufacturing</v>
          </cell>
          <cell r="Y102" t="str">
            <v>N/A</v>
          </cell>
          <cell r="Z102" t="str">
            <v>N/A</v>
          </cell>
          <cell r="AA102" t="str">
            <v>Manufacturing</v>
          </cell>
          <cell r="AB102" t="str">
            <v>Non-Sterile</v>
          </cell>
          <cell r="AC102" t="str">
            <v>N/A</v>
          </cell>
          <cell r="AG102" t="str">
            <v>N/A</v>
          </cell>
          <cell r="AH102" t="str">
            <v>N/A</v>
          </cell>
          <cell r="AI102" t="str">
            <v>LATEX FREE</v>
          </cell>
          <cell r="AJ102" t="str">
            <v>Current</v>
          </cell>
          <cell r="AK102" t="str">
            <v>N/A</v>
          </cell>
          <cell r="AL102" t="str">
            <v>N/A</v>
          </cell>
          <cell r="AM102" t="str">
            <v>N/A</v>
          </cell>
          <cell r="AN102" t="str">
            <v>N/A</v>
          </cell>
          <cell r="AO102" t="str">
            <v>LF848SL</v>
          </cell>
          <cell r="AP102" t="str">
            <v>N/A</v>
          </cell>
          <cell r="AS102" t="str">
            <v>N/A</v>
          </cell>
          <cell r="AT102" t="str">
            <v>N/A</v>
          </cell>
          <cell r="AU102" t="str">
            <v>N/A</v>
          </cell>
          <cell r="AV102" t="str">
            <v>8430D</v>
          </cell>
        </row>
        <row r="103">
          <cell r="A103">
            <v>849</v>
          </cell>
          <cell r="B103" t="str">
            <v>Cat #</v>
          </cell>
          <cell r="C103" t="str">
            <v>36" x 36" Standard CSR Wrap/100</v>
          </cell>
          <cell r="D103" t="str">
            <v>843 ETAL</v>
          </cell>
          <cell r="E103">
            <v>36563</v>
          </cell>
          <cell r="F103" t="str">
            <v>N/A</v>
          </cell>
          <cell r="K103" t="str">
            <v>S-4</v>
          </cell>
          <cell r="L103" t="str">
            <v>N/A</v>
          </cell>
          <cell r="P103" t="str">
            <v>N/A</v>
          </cell>
          <cell r="Q103" t="str">
            <v>N/A</v>
          </cell>
          <cell r="R103" t="str">
            <v>8</v>
          </cell>
          <cell r="S103" t="str">
            <v>0</v>
          </cell>
          <cell r="T103" t="str">
            <v>1.5</v>
          </cell>
          <cell r="U103" t="str">
            <v>2.5</v>
          </cell>
          <cell r="V103" t="str">
            <v>100</v>
          </cell>
          <cell r="W103" t="str">
            <v>S-4</v>
          </cell>
          <cell r="X103" t="str">
            <v>Manufacturing</v>
          </cell>
          <cell r="Y103" t="str">
            <v>N/A</v>
          </cell>
          <cell r="Z103" t="str">
            <v>N/A</v>
          </cell>
          <cell r="AA103" t="str">
            <v>Manufacturing</v>
          </cell>
          <cell r="AB103" t="str">
            <v>Non-Sterile</v>
          </cell>
          <cell r="AC103" t="str">
            <v>N/A</v>
          </cell>
          <cell r="AG103" t="str">
            <v>N/A</v>
          </cell>
          <cell r="AH103" t="str">
            <v>N/A</v>
          </cell>
          <cell r="AI103" t="str">
            <v>LATEX FREE</v>
          </cell>
          <cell r="AJ103" t="str">
            <v>Current</v>
          </cell>
          <cell r="AK103" t="str">
            <v>N/A</v>
          </cell>
          <cell r="AL103" t="str">
            <v>N/A</v>
          </cell>
          <cell r="AM103" t="str">
            <v>N/A</v>
          </cell>
          <cell r="AN103" t="str">
            <v>N/A</v>
          </cell>
          <cell r="AO103" t="str">
            <v>LF849SL</v>
          </cell>
          <cell r="AP103" t="str">
            <v>N/A</v>
          </cell>
          <cell r="AS103" t="str">
            <v>N/A</v>
          </cell>
          <cell r="AT103" t="str">
            <v>N/A</v>
          </cell>
          <cell r="AU103" t="str">
            <v>N/A</v>
          </cell>
          <cell r="AV103" t="str">
            <v>8436D</v>
          </cell>
        </row>
        <row r="104">
          <cell r="A104">
            <v>850</v>
          </cell>
          <cell r="B104" t="str">
            <v>Cat #</v>
          </cell>
          <cell r="C104" t="str">
            <v>12" x 12" Standard CSR Wrap/1000</v>
          </cell>
          <cell r="D104" t="str">
            <v>843 ETAL</v>
          </cell>
          <cell r="E104">
            <v>36563</v>
          </cell>
          <cell r="F104" t="str">
            <v>N/A</v>
          </cell>
          <cell r="K104" t="str">
            <v>S-4</v>
          </cell>
          <cell r="L104" t="str">
            <v>N/A</v>
          </cell>
          <cell r="P104" t="str">
            <v>N/A</v>
          </cell>
          <cell r="Q104" t="str">
            <v>N/A</v>
          </cell>
          <cell r="R104" t="str">
            <v>8</v>
          </cell>
          <cell r="S104" t="str">
            <v>0</v>
          </cell>
          <cell r="T104" t="str">
            <v>1.5</v>
          </cell>
          <cell r="U104" t="str">
            <v>2.5</v>
          </cell>
          <cell r="V104" t="str">
            <v>1000</v>
          </cell>
          <cell r="W104" t="str">
            <v>S-4</v>
          </cell>
          <cell r="X104" t="str">
            <v>Manufacturing</v>
          </cell>
          <cell r="Y104" t="str">
            <v>N/A</v>
          </cell>
          <cell r="Z104" t="str">
            <v>N/A</v>
          </cell>
          <cell r="AA104" t="str">
            <v>Manufacturing</v>
          </cell>
          <cell r="AB104" t="str">
            <v>Non-Sterile</v>
          </cell>
          <cell r="AC104" t="str">
            <v>N/A</v>
          </cell>
          <cell r="AG104" t="str">
            <v>N/A</v>
          </cell>
          <cell r="AH104" t="str">
            <v>N/A</v>
          </cell>
          <cell r="AI104" t="str">
            <v>LATEX FREE</v>
          </cell>
          <cell r="AJ104" t="str">
            <v>Current</v>
          </cell>
          <cell r="AK104" t="str">
            <v>N/A</v>
          </cell>
          <cell r="AL104" t="str">
            <v>N/A</v>
          </cell>
          <cell r="AM104" t="str">
            <v>N/A</v>
          </cell>
          <cell r="AN104" t="str">
            <v>N/A</v>
          </cell>
          <cell r="AO104" t="str">
            <v>LF850CSL</v>
          </cell>
          <cell r="AP104" t="str">
            <v>N/A</v>
          </cell>
          <cell r="AS104" t="str">
            <v>N/A</v>
          </cell>
          <cell r="AT104" t="str">
            <v>N/A</v>
          </cell>
          <cell r="AU104" t="str">
            <v>N/A</v>
          </cell>
          <cell r="AV104" t="str">
            <v>8412D</v>
          </cell>
        </row>
        <row r="105">
          <cell r="A105">
            <v>851</v>
          </cell>
          <cell r="B105" t="str">
            <v>Cat #</v>
          </cell>
          <cell r="C105" t="str">
            <v>15" x 15" Standard CSR Wrap/500</v>
          </cell>
          <cell r="D105" t="str">
            <v>843 ETAL</v>
          </cell>
          <cell r="E105">
            <v>36563</v>
          </cell>
          <cell r="F105" t="str">
            <v>N/A</v>
          </cell>
          <cell r="K105" t="str">
            <v>S-4</v>
          </cell>
          <cell r="L105" t="str">
            <v>N/A</v>
          </cell>
          <cell r="P105" t="str">
            <v>N/A</v>
          </cell>
          <cell r="Q105" t="str">
            <v>N/A</v>
          </cell>
          <cell r="R105" t="str">
            <v>8</v>
          </cell>
          <cell r="S105" t="str">
            <v>0</v>
          </cell>
          <cell r="T105" t="str">
            <v>1.5</v>
          </cell>
          <cell r="U105" t="str">
            <v>2.5</v>
          </cell>
          <cell r="V105" t="str">
            <v>500</v>
          </cell>
          <cell r="W105" t="str">
            <v>S-4</v>
          </cell>
          <cell r="X105" t="str">
            <v>Manufacturing</v>
          </cell>
          <cell r="Y105" t="str">
            <v>N/A</v>
          </cell>
          <cell r="Z105" t="str">
            <v>N/A</v>
          </cell>
          <cell r="AA105" t="str">
            <v>Manufacturing</v>
          </cell>
          <cell r="AB105" t="str">
            <v>Non-Sterile</v>
          </cell>
          <cell r="AC105" t="str">
            <v>N/A</v>
          </cell>
          <cell r="AG105" t="str">
            <v>N/A</v>
          </cell>
          <cell r="AH105" t="str">
            <v>N/A</v>
          </cell>
          <cell r="AI105" t="str">
            <v>LATEX FREE</v>
          </cell>
          <cell r="AJ105" t="str">
            <v>Current</v>
          </cell>
          <cell r="AK105" t="str">
            <v>N/A</v>
          </cell>
          <cell r="AL105" t="str">
            <v>N/A</v>
          </cell>
          <cell r="AM105" t="str">
            <v>N/A</v>
          </cell>
          <cell r="AN105" t="str">
            <v>N/A</v>
          </cell>
          <cell r="AO105" t="str">
            <v>N/A</v>
          </cell>
          <cell r="AP105" t="str">
            <v>N/A</v>
          </cell>
          <cell r="AS105" t="str">
            <v>Printed Carton</v>
          </cell>
          <cell r="AT105" t="str">
            <v>N/A</v>
          </cell>
          <cell r="AU105" t="str">
            <v>N/A</v>
          </cell>
          <cell r="AV105" t="str">
            <v>8415D</v>
          </cell>
        </row>
        <row r="106">
          <cell r="A106">
            <v>852</v>
          </cell>
          <cell r="B106" t="str">
            <v>Cat #</v>
          </cell>
          <cell r="C106" t="str">
            <v>20" x 20" Standard CSR Wrap/500</v>
          </cell>
          <cell r="D106" t="str">
            <v>843 ETAL</v>
          </cell>
          <cell r="E106">
            <v>36563</v>
          </cell>
          <cell r="F106" t="str">
            <v>N/A</v>
          </cell>
          <cell r="K106" t="str">
            <v>S-4</v>
          </cell>
          <cell r="L106" t="str">
            <v>N/A</v>
          </cell>
          <cell r="P106" t="str">
            <v>N/A</v>
          </cell>
          <cell r="Q106" t="str">
            <v>N/A</v>
          </cell>
          <cell r="R106" t="str">
            <v>8</v>
          </cell>
          <cell r="S106" t="str">
            <v>0</v>
          </cell>
          <cell r="T106" t="str">
            <v>1.5</v>
          </cell>
          <cell r="U106" t="str">
            <v>2.5</v>
          </cell>
          <cell r="V106" t="str">
            <v>500</v>
          </cell>
          <cell r="W106" t="str">
            <v>S-4</v>
          </cell>
          <cell r="X106" t="str">
            <v>Manufacturing</v>
          </cell>
          <cell r="Y106" t="str">
            <v>N/A</v>
          </cell>
          <cell r="Z106" t="str">
            <v>N/A</v>
          </cell>
          <cell r="AA106" t="str">
            <v>Manufacturing</v>
          </cell>
          <cell r="AB106" t="str">
            <v>Non-Sterile</v>
          </cell>
          <cell r="AC106" t="str">
            <v>N/A</v>
          </cell>
          <cell r="AG106" t="str">
            <v>N/A</v>
          </cell>
          <cell r="AH106" t="str">
            <v>N/A</v>
          </cell>
          <cell r="AI106" t="str">
            <v>LATEX FREE</v>
          </cell>
          <cell r="AJ106" t="str">
            <v>Current</v>
          </cell>
          <cell r="AK106" t="str">
            <v>N/A</v>
          </cell>
          <cell r="AL106" t="str">
            <v>N/A</v>
          </cell>
          <cell r="AM106" t="str">
            <v>N/A</v>
          </cell>
          <cell r="AN106" t="str">
            <v>N/A</v>
          </cell>
          <cell r="AO106" t="str">
            <v>N/A</v>
          </cell>
          <cell r="AP106" t="str">
            <v>N/A</v>
          </cell>
          <cell r="AS106" t="str">
            <v>Barcode label</v>
          </cell>
          <cell r="AT106" t="str">
            <v>N/A</v>
          </cell>
          <cell r="AU106" t="str">
            <v>N/A</v>
          </cell>
          <cell r="AV106" t="str">
            <v>8420D</v>
          </cell>
        </row>
        <row r="107">
          <cell r="A107">
            <v>853</v>
          </cell>
          <cell r="B107" t="str">
            <v>Cat #</v>
          </cell>
          <cell r="C107" t="str">
            <v>24" x 24" Standard CSR Wrap/500</v>
          </cell>
          <cell r="D107" t="str">
            <v>843 ETAL</v>
          </cell>
          <cell r="E107">
            <v>36563</v>
          </cell>
          <cell r="F107" t="str">
            <v>N/A</v>
          </cell>
          <cell r="K107" t="str">
            <v>S-4</v>
          </cell>
          <cell r="L107" t="str">
            <v>N/A</v>
          </cell>
          <cell r="P107" t="str">
            <v>N/A</v>
          </cell>
          <cell r="Q107" t="str">
            <v>N/A</v>
          </cell>
          <cell r="R107" t="str">
            <v>8</v>
          </cell>
          <cell r="S107" t="str">
            <v>0</v>
          </cell>
          <cell r="T107" t="str">
            <v>1.5</v>
          </cell>
          <cell r="U107" t="str">
            <v>2.5</v>
          </cell>
          <cell r="V107" t="str">
            <v>500</v>
          </cell>
          <cell r="W107" t="str">
            <v>S-4</v>
          </cell>
          <cell r="X107" t="str">
            <v>Manufacturing</v>
          </cell>
          <cell r="Y107" t="str">
            <v>N/A</v>
          </cell>
          <cell r="Z107" t="str">
            <v>N/A</v>
          </cell>
          <cell r="AA107" t="str">
            <v>Manufacturing</v>
          </cell>
          <cell r="AB107" t="str">
            <v>Non-Sterile</v>
          </cell>
          <cell r="AC107" t="str">
            <v>N/A</v>
          </cell>
          <cell r="AG107" t="str">
            <v>N/A</v>
          </cell>
          <cell r="AH107" t="str">
            <v>N/A</v>
          </cell>
          <cell r="AI107" t="str">
            <v>LATEX FREE</v>
          </cell>
          <cell r="AJ107" t="str">
            <v>Current</v>
          </cell>
          <cell r="AK107" t="str">
            <v>N/A</v>
          </cell>
          <cell r="AL107" t="str">
            <v>N/A</v>
          </cell>
          <cell r="AM107" t="str">
            <v>N/A</v>
          </cell>
          <cell r="AN107" t="str">
            <v>N/A</v>
          </cell>
          <cell r="AO107" t="str">
            <v>N/A</v>
          </cell>
          <cell r="AP107" t="str">
            <v>N/A</v>
          </cell>
          <cell r="AS107" t="str">
            <v>Barcode label</v>
          </cell>
          <cell r="AT107" t="str">
            <v>N/A</v>
          </cell>
          <cell r="AU107" t="str">
            <v>N/A</v>
          </cell>
          <cell r="AV107" t="str">
            <v>8424D</v>
          </cell>
        </row>
        <row r="108">
          <cell r="A108">
            <v>854</v>
          </cell>
          <cell r="B108" t="str">
            <v>Cat #</v>
          </cell>
          <cell r="C108" t="str">
            <v>30" x 30" Standard CSR Wrap/250</v>
          </cell>
          <cell r="D108" t="str">
            <v>843 ETAL</v>
          </cell>
          <cell r="E108">
            <v>36563</v>
          </cell>
          <cell r="F108" t="str">
            <v>N/A</v>
          </cell>
          <cell r="K108" t="str">
            <v>S-4</v>
          </cell>
          <cell r="L108" t="str">
            <v>N/A</v>
          </cell>
          <cell r="P108" t="str">
            <v>N/A</v>
          </cell>
          <cell r="Q108" t="str">
            <v>N/A</v>
          </cell>
          <cell r="R108" t="str">
            <v>8</v>
          </cell>
          <cell r="S108" t="str">
            <v>0</v>
          </cell>
          <cell r="T108" t="str">
            <v>1.5</v>
          </cell>
          <cell r="U108" t="str">
            <v>2.5</v>
          </cell>
          <cell r="V108" t="str">
            <v>250</v>
          </cell>
          <cell r="W108" t="str">
            <v>S-4</v>
          </cell>
          <cell r="X108" t="str">
            <v>Manufacturing</v>
          </cell>
          <cell r="Y108" t="str">
            <v>N/A</v>
          </cell>
          <cell r="Z108" t="str">
            <v>N/A</v>
          </cell>
          <cell r="AA108" t="str">
            <v>Manufacturing</v>
          </cell>
          <cell r="AB108" t="str">
            <v>Non-Sterile</v>
          </cell>
          <cell r="AC108" t="str">
            <v>N/A</v>
          </cell>
          <cell r="AG108" t="str">
            <v>N/A</v>
          </cell>
          <cell r="AH108" t="str">
            <v>N/A</v>
          </cell>
          <cell r="AI108" t="str">
            <v>LATEX FREE</v>
          </cell>
          <cell r="AJ108" t="str">
            <v>Current</v>
          </cell>
          <cell r="AK108" t="str">
            <v>N/A</v>
          </cell>
          <cell r="AL108" t="str">
            <v>N/A</v>
          </cell>
          <cell r="AM108" t="str">
            <v>N/A</v>
          </cell>
          <cell r="AN108" t="str">
            <v>N/A</v>
          </cell>
          <cell r="AO108" t="str">
            <v>N/A</v>
          </cell>
          <cell r="AP108" t="str">
            <v>N/A</v>
          </cell>
          <cell r="AS108" t="str">
            <v>Barcode label</v>
          </cell>
          <cell r="AT108" t="str">
            <v>N/A</v>
          </cell>
          <cell r="AU108" t="str">
            <v>N/A</v>
          </cell>
          <cell r="AV108" t="str">
            <v>8430D,8513</v>
          </cell>
        </row>
        <row r="109">
          <cell r="A109">
            <v>855</v>
          </cell>
          <cell r="B109" t="str">
            <v>Cat #</v>
          </cell>
          <cell r="C109" t="str">
            <v>36" x 36" Standard CSR Wrap/250</v>
          </cell>
          <cell r="D109" t="str">
            <v>843 ETAL</v>
          </cell>
          <cell r="E109">
            <v>36563</v>
          </cell>
          <cell r="F109" t="str">
            <v>N/A</v>
          </cell>
          <cell r="K109" t="str">
            <v>S-4</v>
          </cell>
          <cell r="L109" t="str">
            <v>N/A</v>
          </cell>
          <cell r="P109" t="str">
            <v>N/A</v>
          </cell>
          <cell r="Q109" t="str">
            <v>N/A</v>
          </cell>
          <cell r="R109" t="str">
            <v>8</v>
          </cell>
          <cell r="S109" t="str">
            <v>0</v>
          </cell>
          <cell r="T109" t="str">
            <v>1.5</v>
          </cell>
          <cell r="U109" t="str">
            <v>2.5</v>
          </cell>
          <cell r="V109" t="str">
            <v>250</v>
          </cell>
          <cell r="W109" t="str">
            <v>S-4</v>
          </cell>
          <cell r="X109" t="str">
            <v>Manufacturing</v>
          </cell>
          <cell r="Y109" t="str">
            <v>N/A</v>
          </cell>
          <cell r="Z109" t="str">
            <v>N/A</v>
          </cell>
          <cell r="AA109" t="str">
            <v>Manufacturing</v>
          </cell>
          <cell r="AB109" t="str">
            <v>Non-Sterile</v>
          </cell>
          <cell r="AC109" t="str">
            <v>N/A</v>
          </cell>
          <cell r="AG109" t="str">
            <v>N/A</v>
          </cell>
          <cell r="AH109" t="str">
            <v>N/A</v>
          </cell>
          <cell r="AI109" t="str">
            <v>LATEX FREE</v>
          </cell>
          <cell r="AJ109" t="str">
            <v>Current</v>
          </cell>
          <cell r="AK109" t="str">
            <v>N/A</v>
          </cell>
          <cell r="AL109" t="str">
            <v>N/A</v>
          </cell>
          <cell r="AM109" t="str">
            <v>N/A</v>
          </cell>
          <cell r="AN109" t="str">
            <v>N/A</v>
          </cell>
          <cell r="AO109" t="str">
            <v>N/A</v>
          </cell>
          <cell r="AP109" t="str">
            <v>N/A</v>
          </cell>
          <cell r="AS109" t="str">
            <v>Barcode label</v>
          </cell>
          <cell r="AT109" t="str">
            <v>N/A</v>
          </cell>
          <cell r="AU109" t="str">
            <v>N/A</v>
          </cell>
          <cell r="AV109" t="str">
            <v>8436D,2963A</v>
          </cell>
        </row>
        <row r="110">
          <cell r="A110">
            <v>856</v>
          </cell>
          <cell r="B110" t="str">
            <v>Cat #</v>
          </cell>
          <cell r="C110" t="str">
            <v>40" x 40" Standard CSR Wrap/250</v>
          </cell>
          <cell r="D110" t="str">
            <v>843 ETAL</v>
          </cell>
          <cell r="E110">
            <v>36563</v>
          </cell>
          <cell r="F110" t="str">
            <v>N/A</v>
          </cell>
          <cell r="K110" t="str">
            <v>S-4</v>
          </cell>
          <cell r="L110" t="str">
            <v>N/A</v>
          </cell>
          <cell r="P110" t="str">
            <v>N/A</v>
          </cell>
          <cell r="Q110" t="str">
            <v>N/A</v>
          </cell>
          <cell r="R110" t="str">
            <v>8</v>
          </cell>
          <cell r="S110" t="str">
            <v>0</v>
          </cell>
          <cell r="T110" t="str">
            <v>1.5</v>
          </cell>
          <cell r="U110" t="str">
            <v>2.5</v>
          </cell>
          <cell r="V110" t="str">
            <v>250</v>
          </cell>
          <cell r="W110" t="str">
            <v>S-4</v>
          </cell>
          <cell r="X110" t="str">
            <v>Manufacturing</v>
          </cell>
          <cell r="Y110" t="str">
            <v>N/A</v>
          </cell>
          <cell r="Z110" t="str">
            <v>N/A</v>
          </cell>
          <cell r="AA110" t="str">
            <v>Manufacturing</v>
          </cell>
          <cell r="AB110" t="str">
            <v>Non-Sterile</v>
          </cell>
          <cell r="AC110" t="str">
            <v>N/A</v>
          </cell>
          <cell r="AG110" t="str">
            <v>N/A</v>
          </cell>
          <cell r="AH110" t="str">
            <v>N/A</v>
          </cell>
          <cell r="AI110" t="str">
            <v>LATEX FREE</v>
          </cell>
          <cell r="AJ110" t="str">
            <v>Current</v>
          </cell>
          <cell r="AK110" t="str">
            <v>N/A</v>
          </cell>
          <cell r="AL110" t="str">
            <v>N/A</v>
          </cell>
          <cell r="AM110" t="str">
            <v>N/A</v>
          </cell>
          <cell r="AN110" t="str">
            <v>N/A</v>
          </cell>
          <cell r="AO110" t="str">
            <v>N/A</v>
          </cell>
          <cell r="AP110" t="str">
            <v>N/A</v>
          </cell>
          <cell r="AS110" t="str">
            <v>Barcode label</v>
          </cell>
          <cell r="AT110" t="str">
            <v>N/A</v>
          </cell>
          <cell r="AU110" t="str">
            <v>N/A</v>
          </cell>
          <cell r="AV110" t="str">
            <v>8440D,8513</v>
          </cell>
        </row>
        <row r="111">
          <cell r="A111">
            <v>857</v>
          </cell>
          <cell r="B111" t="str">
            <v>Cat #</v>
          </cell>
          <cell r="C111" t="str">
            <v>45" x 45" Standard CSR Wrap/250</v>
          </cell>
          <cell r="D111" t="str">
            <v>843 ETAL</v>
          </cell>
          <cell r="E111">
            <v>36563</v>
          </cell>
          <cell r="F111" t="str">
            <v>N/A</v>
          </cell>
          <cell r="K111" t="str">
            <v>S-4</v>
          </cell>
          <cell r="L111" t="str">
            <v>N/A</v>
          </cell>
          <cell r="P111" t="str">
            <v>N/A</v>
          </cell>
          <cell r="Q111" t="str">
            <v>N/A</v>
          </cell>
          <cell r="R111" t="str">
            <v>8</v>
          </cell>
          <cell r="S111" t="str">
            <v>0</v>
          </cell>
          <cell r="T111" t="str">
            <v>1.5</v>
          </cell>
          <cell r="U111" t="str">
            <v>2.5</v>
          </cell>
          <cell r="V111" t="str">
            <v>250</v>
          </cell>
          <cell r="W111" t="str">
            <v>S-4</v>
          </cell>
          <cell r="X111" t="str">
            <v>Manufacturing</v>
          </cell>
          <cell r="Y111" t="str">
            <v>N/A</v>
          </cell>
          <cell r="Z111" t="str">
            <v>N/A</v>
          </cell>
          <cell r="AA111" t="str">
            <v>Manufacturing</v>
          </cell>
          <cell r="AB111" t="str">
            <v>Non-Sterile</v>
          </cell>
          <cell r="AC111" t="str">
            <v>N/A</v>
          </cell>
          <cell r="AG111" t="str">
            <v>N/A</v>
          </cell>
          <cell r="AH111" t="str">
            <v>N/A</v>
          </cell>
          <cell r="AI111" t="str">
            <v>LATEX FREE</v>
          </cell>
          <cell r="AJ111" t="str">
            <v>Current</v>
          </cell>
          <cell r="AK111" t="str">
            <v>N/A</v>
          </cell>
          <cell r="AL111" t="str">
            <v>N/A</v>
          </cell>
          <cell r="AM111" t="str">
            <v>N/A</v>
          </cell>
          <cell r="AN111" t="str">
            <v>N/A</v>
          </cell>
          <cell r="AO111" t="str">
            <v>LF857CSL</v>
          </cell>
          <cell r="AP111" t="str">
            <v>N/A</v>
          </cell>
          <cell r="AS111" t="str">
            <v>N/A</v>
          </cell>
          <cell r="AT111" t="str">
            <v>N/A</v>
          </cell>
          <cell r="AU111" t="str">
            <v>N/A</v>
          </cell>
          <cell r="AV111" t="str">
            <v>8445D,8513</v>
          </cell>
        </row>
        <row r="112">
          <cell r="A112">
            <v>858</v>
          </cell>
          <cell r="B112" t="str">
            <v>Cat #</v>
          </cell>
          <cell r="C112" t="str">
            <v>54" x 54" Standard CSR Wrap/100</v>
          </cell>
          <cell r="D112" t="str">
            <v>843 ETAL</v>
          </cell>
          <cell r="E112">
            <v>36563</v>
          </cell>
          <cell r="F112" t="str">
            <v>N/A</v>
          </cell>
          <cell r="K112" t="str">
            <v>S-4</v>
          </cell>
          <cell r="L112" t="str">
            <v>N/A</v>
          </cell>
          <cell r="P112" t="str">
            <v>N/A</v>
          </cell>
          <cell r="Q112" t="str">
            <v>N/A</v>
          </cell>
          <cell r="R112" t="str">
            <v>8</v>
          </cell>
          <cell r="S112" t="str">
            <v>0</v>
          </cell>
          <cell r="T112" t="str">
            <v>1.5</v>
          </cell>
          <cell r="U112" t="str">
            <v>2.5</v>
          </cell>
          <cell r="V112" t="str">
            <v>100</v>
          </cell>
          <cell r="W112" t="str">
            <v>S-4</v>
          </cell>
          <cell r="X112" t="str">
            <v>Manufacturing</v>
          </cell>
          <cell r="Y112" t="str">
            <v>N/A</v>
          </cell>
          <cell r="Z112" t="str">
            <v>N/A</v>
          </cell>
          <cell r="AA112" t="str">
            <v>Manufacturing</v>
          </cell>
          <cell r="AB112" t="str">
            <v>Non-Sterile</v>
          </cell>
          <cell r="AC112" t="str">
            <v>N/A</v>
          </cell>
          <cell r="AG112" t="str">
            <v>N/A</v>
          </cell>
          <cell r="AH112" t="str">
            <v>N/A</v>
          </cell>
          <cell r="AI112" t="str">
            <v>LATEX FREE</v>
          </cell>
          <cell r="AJ112" t="str">
            <v>Current</v>
          </cell>
          <cell r="AK112" t="str">
            <v>N/A</v>
          </cell>
          <cell r="AL112" t="str">
            <v>N/A</v>
          </cell>
          <cell r="AM112" t="str">
            <v>N/A</v>
          </cell>
          <cell r="AN112" t="str">
            <v>N/A</v>
          </cell>
          <cell r="AO112" t="str">
            <v>LF858SL</v>
          </cell>
          <cell r="AP112" t="str">
            <v>N/A</v>
          </cell>
          <cell r="AS112" t="str">
            <v>N/A</v>
          </cell>
          <cell r="AT112" t="str">
            <v>N/A</v>
          </cell>
          <cell r="AU112" t="str">
            <v>N/A</v>
          </cell>
          <cell r="AV112" t="str">
            <v>8454D</v>
          </cell>
        </row>
        <row r="113">
          <cell r="A113">
            <v>901</v>
          </cell>
          <cell r="B113" t="str">
            <v>Cat #</v>
          </cell>
          <cell r="C113" t="str">
            <v>White Post Mortem Bag W/ ID Tags/ Straight Zipper/10</v>
          </cell>
          <cell r="D113" t="str">
            <v>901 ETAL</v>
          </cell>
          <cell r="E113">
            <v>37574</v>
          </cell>
          <cell r="F113" t="str">
            <v>N/A</v>
          </cell>
          <cell r="K113" t="str">
            <v>S-4</v>
          </cell>
          <cell r="L113" t="str">
            <v>N/A</v>
          </cell>
          <cell r="P113" t="str">
            <v>N/A</v>
          </cell>
          <cell r="Q113" t="str">
            <v>N/A</v>
          </cell>
          <cell r="R113" t="str">
            <v>8</v>
          </cell>
          <cell r="S113" t="str">
            <v>0</v>
          </cell>
          <cell r="T113" t="str">
            <v>1.5</v>
          </cell>
          <cell r="U113" t="str">
            <v>2.5</v>
          </cell>
          <cell r="V113">
            <v>10</v>
          </cell>
          <cell r="W113" t="str">
            <v>S-4</v>
          </cell>
          <cell r="X113" t="str">
            <v>Manufacturing</v>
          </cell>
          <cell r="Y113" t="str">
            <v>N/A</v>
          </cell>
          <cell r="Z113" t="str">
            <v>N/A</v>
          </cell>
          <cell r="AA113" t="str">
            <v>Repack Area</v>
          </cell>
          <cell r="AB113" t="str">
            <v>Non-Sterile</v>
          </cell>
          <cell r="AC113" t="str">
            <v>N/A</v>
          </cell>
          <cell r="AG113" t="str">
            <v>N/A</v>
          </cell>
          <cell r="AH113" t="str">
            <v>N/A</v>
          </cell>
          <cell r="AI113" t="str">
            <v>LATEX FREE</v>
          </cell>
          <cell r="AJ113" t="str">
            <v>Current</v>
          </cell>
          <cell r="AK113" t="str">
            <v>N/A</v>
          </cell>
          <cell r="AL113" t="str">
            <v>N/A</v>
          </cell>
          <cell r="AM113" t="str">
            <v>901CC-1</v>
          </cell>
          <cell r="AN113" t="str">
            <v>N/A</v>
          </cell>
          <cell r="AO113" t="str">
            <v>LF901SL</v>
          </cell>
          <cell r="AP113" t="str">
            <v>Rev A</v>
          </cell>
          <cell r="AS113" t="str">
            <v>N/A</v>
          </cell>
          <cell r="AT113" t="str">
            <v>N/A</v>
          </cell>
          <cell r="AU113" t="str">
            <v>N/A</v>
          </cell>
          <cell r="AV113" t="str">
            <v>901D,9013A-1</v>
          </cell>
        </row>
        <row r="114">
          <cell r="A114">
            <v>902</v>
          </cell>
          <cell r="B114" t="str">
            <v>Cat #</v>
          </cell>
          <cell r="C114" t="str">
            <v>Yellow Post Mortem Bag W/ ID Tags/ Straight Zipper/10</v>
          </cell>
          <cell r="D114" t="str">
            <v>901 ETAL</v>
          </cell>
          <cell r="E114">
            <v>37574</v>
          </cell>
          <cell r="F114" t="str">
            <v>N/A</v>
          </cell>
          <cell r="K114" t="str">
            <v>S-4</v>
          </cell>
          <cell r="L114" t="str">
            <v>N/A</v>
          </cell>
          <cell r="P114" t="str">
            <v>N/A</v>
          </cell>
          <cell r="Q114" t="str">
            <v>N/A</v>
          </cell>
          <cell r="R114" t="str">
            <v>8</v>
          </cell>
          <cell r="S114" t="str">
            <v>0</v>
          </cell>
          <cell r="T114" t="str">
            <v>1.5</v>
          </cell>
          <cell r="U114" t="str">
            <v>2.5</v>
          </cell>
          <cell r="V114">
            <v>10</v>
          </cell>
          <cell r="W114" t="str">
            <v>S-4</v>
          </cell>
          <cell r="X114" t="str">
            <v>Manufacturing</v>
          </cell>
          <cell r="Y114" t="str">
            <v>N/A</v>
          </cell>
          <cell r="Z114" t="str">
            <v>N/A</v>
          </cell>
          <cell r="AA114" t="str">
            <v>Repack Area</v>
          </cell>
          <cell r="AB114" t="str">
            <v>Non-Sterile</v>
          </cell>
          <cell r="AC114" t="str">
            <v>N/A</v>
          </cell>
          <cell r="AG114" t="str">
            <v>N/A</v>
          </cell>
          <cell r="AH114" t="str">
            <v>N/A</v>
          </cell>
          <cell r="AI114" t="str">
            <v>LATEX FREE</v>
          </cell>
          <cell r="AJ114" t="str">
            <v>Current</v>
          </cell>
          <cell r="AK114" t="str">
            <v>N/A</v>
          </cell>
          <cell r="AL114" t="str">
            <v>N/A</v>
          </cell>
          <cell r="AM114" t="str">
            <v>902CC-1</v>
          </cell>
          <cell r="AN114" t="str">
            <v>N/A</v>
          </cell>
          <cell r="AO114" t="str">
            <v>LF902SL</v>
          </cell>
          <cell r="AP114" t="str">
            <v>N/A</v>
          </cell>
          <cell r="AS114" t="str">
            <v>N/A</v>
          </cell>
          <cell r="AT114" t="str">
            <v>N/A</v>
          </cell>
          <cell r="AU114" t="str">
            <v>N/A</v>
          </cell>
          <cell r="AV114" t="str">
            <v>902D,9013A-1,9023</v>
          </cell>
        </row>
        <row r="115">
          <cell r="A115">
            <v>903</v>
          </cell>
          <cell r="B115" t="str">
            <v>Cat #</v>
          </cell>
          <cell r="C115" t="str">
            <v>Yellow Post Mortem Kit/ Straight Zipper/10</v>
          </cell>
          <cell r="D115" t="str">
            <v>901 ETAL</v>
          </cell>
          <cell r="E115">
            <v>37574</v>
          </cell>
          <cell r="F115" t="str">
            <v>N/A</v>
          </cell>
          <cell r="K115" t="str">
            <v>S-4</v>
          </cell>
          <cell r="L115" t="str">
            <v>N/A</v>
          </cell>
          <cell r="P115" t="str">
            <v>N/A</v>
          </cell>
          <cell r="Q115" t="str">
            <v>N/A</v>
          </cell>
          <cell r="R115" t="str">
            <v>8</v>
          </cell>
          <cell r="S115" t="str">
            <v>0</v>
          </cell>
          <cell r="T115" t="str">
            <v>1.5</v>
          </cell>
          <cell r="U115" t="str">
            <v>2.5</v>
          </cell>
          <cell r="V115">
            <v>10</v>
          </cell>
          <cell r="W115" t="str">
            <v>S-4</v>
          </cell>
          <cell r="X115" t="str">
            <v>Manufacturing</v>
          </cell>
          <cell r="Y115" t="str">
            <v>N/A</v>
          </cell>
          <cell r="Z115" t="str">
            <v>N/A</v>
          </cell>
          <cell r="AA115" t="str">
            <v>Repack Area</v>
          </cell>
          <cell r="AB115" t="str">
            <v>Non-Sterile</v>
          </cell>
          <cell r="AC115" t="str">
            <v>N/A</v>
          </cell>
          <cell r="AG115" t="str">
            <v>N/A</v>
          </cell>
          <cell r="AH115" t="str">
            <v>N/A</v>
          </cell>
          <cell r="AI115" t="str">
            <v>LATEX FREE</v>
          </cell>
          <cell r="AJ115" t="str">
            <v>Current</v>
          </cell>
          <cell r="AK115" t="str">
            <v>N/A</v>
          </cell>
          <cell r="AL115" t="str">
            <v>N/A</v>
          </cell>
          <cell r="AM115" t="str">
            <v>903CC-1</v>
          </cell>
          <cell r="AN115" t="str">
            <v>N/A</v>
          </cell>
          <cell r="AO115" t="str">
            <v>LF903SL</v>
          </cell>
          <cell r="AP115" t="str">
            <v>N/A</v>
          </cell>
          <cell r="AS115" t="str">
            <v>N/A</v>
          </cell>
          <cell r="AT115" t="str">
            <v>N/A</v>
          </cell>
          <cell r="AU115" t="str">
            <v>902D,725PM,9023</v>
          </cell>
          <cell r="AV115" t="str">
            <v>N/A</v>
          </cell>
        </row>
        <row r="116">
          <cell r="A116">
            <v>904</v>
          </cell>
          <cell r="B116" t="str">
            <v>Cat #</v>
          </cell>
          <cell r="C116" t="str">
            <v>White Post Mortem Kit/ Straight Zipper/10</v>
          </cell>
          <cell r="D116" t="str">
            <v>901 ETAL</v>
          </cell>
          <cell r="E116">
            <v>37574</v>
          </cell>
          <cell r="F116" t="str">
            <v>N/A</v>
          </cell>
          <cell r="K116" t="str">
            <v>S-4</v>
          </cell>
          <cell r="L116" t="str">
            <v>N/A</v>
          </cell>
          <cell r="P116" t="str">
            <v>N/A</v>
          </cell>
          <cell r="Q116" t="str">
            <v>N/A</v>
          </cell>
          <cell r="R116" t="str">
            <v>8</v>
          </cell>
          <cell r="S116" t="str">
            <v>0</v>
          </cell>
          <cell r="T116" t="str">
            <v>1.5</v>
          </cell>
          <cell r="U116" t="str">
            <v>2.5</v>
          </cell>
          <cell r="V116">
            <v>10</v>
          </cell>
          <cell r="W116" t="str">
            <v>S-4</v>
          </cell>
          <cell r="X116" t="str">
            <v>Manufacturing</v>
          </cell>
          <cell r="Y116" t="str">
            <v>N/A</v>
          </cell>
          <cell r="Z116" t="str">
            <v>N/A</v>
          </cell>
          <cell r="AA116" t="str">
            <v>Repack Area</v>
          </cell>
          <cell r="AB116" t="str">
            <v>Non-Sterile</v>
          </cell>
          <cell r="AC116" t="str">
            <v>N/A</v>
          </cell>
          <cell r="AG116" t="str">
            <v>N/A</v>
          </cell>
          <cell r="AH116" t="str">
            <v>N/A</v>
          </cell>
          <cell r="AI116" t="str">
            <v>LATEX FREE</v>
          </cell>
          <cell r="AJ116" t="str">
            <v>Current</v>
          </cell>
          <cell r="AK116" t="str">
            <v>N/A</v>
          </cell>
          <cell r="AL116" t="str">
            <v>N/A</v>
          </cell>
          <cell r="AM116" t="str">
            <v>904CC-1</v>
          </cell>
          <cell r="AN116" t="str">
            <v>N/A</v>
          </cell>
          <cell r="AO116" t="str">
            <v>LF904SL</v>
          </cell>
          <cell r="AP116" t="str">
            <v>N/A</v>
          </cell>
          <cell r="AS116" t="str">
            <v>N/A</v>
          </cell>
          <cell r="AT116" t="str">
            <v>N/A</v>
          </cell>
          <cell r="AU116" t="str">
            <v>901D,725PM</v>
          </cell>
          <cell r="AV116" t="str">
            <v>N/A</v>
          </cell>
        </row>
        <row r="117">
          <cell r="A117">
            <v>905</v>
          </cell>
          <cell r="B117" t="str">
            <v>Cat #</v>
          </cell>
          <cell r="C117" t="str">
            <v>White Infant Post Mortem Bag/ Straight Zipper/10</v>
          </cell>
          <cell r="D117" t="str">
            <v>901 ETAL</v>
          </cell>
          <cell r="E117">
            <v>37574</v>
          </cell>
          <cell r="F117" t="str">
            <v>N/A</v>
          </cell>
          <cell r="K117" t="str">
            <v>S-4</v>
          </cell>
          <cell r="L117" t="str">
            <v>N/A</v>
          </cell>
          <cell r="P117" t="str">
            <v>N/A</v>
          </cell>
          <cell r="Q117" t="str">
            <v>N/A</v>
          </cell>
          <cell r="R117" t="str">
            <v>8</v>
          </cell>
          <cell r="S117" t="str">
            <v>0</v>
          </cell>
          <cell r="T117" t="str">
            <v>1.5</v>
          </cell>
          <cell r="U117" t="str">
            <v>2.5</v>
          </cell>
          <cell r="V117">
            <v>10</v>
          </cell>
          <cell r="W117" t="str">
            <v>S-4</v>
          </cell>
          <cell r="X117" t="str">
            <v>Manufacturing</v>
          </cell>
          <cell r="Y117" t="str">
            <v>N/A</v>
          </cell>
          <cell r="Z117" t="str">
            <v>N/A</v>
          </cell>
          <cell r="AA117" t="str">
            <v>Repack Area</v>
          </cell>
          <cell r="AB117" t="str">
            <v>Non-Sterile</v>
          </cell>
          <cell r="AC117" t="str">
            <v>N/A</v>
          </cell>
          <cell r="AG117" t="str">
            <v>N/A</v>
          </cell>
          <cell r="AH117" t="str">
            <v>N/A</v>
          </cell>
          <cell r="AI117" t="str">
            <v>LATEX FREE</v>
          </cell>
          <cell r="AJ117" t="str">
            <v>Current</v>
          </cell>
          <cell r="AK117" t="str">
            <v>N/A</v>
          </cell>
          <cell r="AL117" t="str">
            <v>N/A</v>
          </cell>
          <cell r="AM117" t="str">
            <v>905CC-1</v>
          </cell>
          <cell r="AN117" t="str">
            <v>N/A</v>
          </cell>
          <cell r="AO117" t="str">
            <v>LF905SL</v>
          </cell>
          <cell r="AP117" t="str">
            <v>N/A</v>
          </cell>
          <cell r="AS117" t="str">
            <v>N/A</v>
          </cell>
          <cell r="AT117" t="str">
            <v>N/A</v>
          </cell>
          <cell r="AU117" t="str">
            <v>N/A</v>
          </cell>
          <cell r="AV117" t="str">
            <v>905D,9013A-1</v>
          </cell>
        </row>
        <row r="118">
          <cell r="A118" t="str">
            <v>906</v>
          </cell>
          <cell r="B118" t="str">
            <v>Cat #</v>
          </cell>
          <cell r="C118" t="str">
            <v>30" x 48" White Pediatric Post Mortem Bag/ Straight Zipper/10</v>
          </cell>
          <cell r="D118" t="str">
            <v>901 ETAL</v>
          </cell>
          <cell r="E118">
            <v>37574</v>
          </cell>
          <cell r="F118" t="str">
            <v>N/A</v>
          </cell>
          <cell r="K118" t="str">
            <v>S-4</v>
          </cell>
          <cell r="L118" t="str">
            <v>N/A</v>
          </cell>
          <cell r="P118" t="str">
            <v>N/A</v>
          </cell>
          <cell r="Q118" t="str">
            <v>N/A</v>
          </cell>
          <cell r="R118" t="str">
            <v>8</v>
          </cell>
          <cell r="S118" t="str">
            <v>0</v>
          </cell>
          <cell r="T118" t="str">
            <v>1.5</v>
          </cell>
          <cell r="U118" t="str">
            <v>2.5</v>
          </cell>
          <cell r="V118">
            <v>10</v>
          </cell>
          <cell r="X118" t="str">
            <v>Manufacturing</v>
          </cell>
          <cell r="Y118" t="str">
            <v>N/A</v>
          </cell>
          <cell r="Z118" t="str">
            <v>N/A</v>
          </cell>
          <cell r="AA118" t="str">
            <v>Repack Area</v>
          </cell>
          <cell r="AB118" t="str">
            <v>Non-Sterile</v>
          </cell>
          <cell r="AC118" t="str">
            <v>N/A</v>
          </cell>
          <cell r="AG118" t="str">
            <v>N/A</v>
          </cell>
          <cell r="AH118" t="str">
            <v>N/A</v>
          </cell>
          <cell r="AI118" t="str">
            <v>LATEX FREE</v>
          </cell>
          <cell r="AJ118" t="str">
            <v>Current</v>
          </cell>
          <cell r="AK118" t="str">
            <v>N/A</v>
          </cell>
          <cell r="AL118" t="str">
            <v>N/A</v>
          </cell>
          <cell r="AM118" t="str">
            <v>LF906CC</v>
          </cell>
          <cell r="AN118" t="str">
            <v>N/A</v>
          </cell>
          <cell r="AO118" t="str">
            <v>LF906CSL</v>
          </cell>
          <cell r="AP118" t="str">
            <v>N/A</v>
          </cell>
          <cell r="AS118" t="str">
            <v>N/A</v>
          </cell>
          <cell r="AT118" t="str">
            <v>N/A</v>
          </cell>
          <cell r="AU118" t="str">
            <v>N/A</v>
          </cell>
          <cell r="AV118" t="str">
            <v>906D,9013A-1</v>
          </cell>
        </row>
        <row r="119">
          <cell r="A119">
            <v>907</v>
          </cell>
          <cell r="B119" t="str">
            <v>Cat #</v>
          </cell>
          <cell r="C119" t="str">
            <v>White Post Mortem Bag W/ ID Tags/ Curved Zipper/10</v>
          </cell>
          <cell r="D119" t="str">
            <v>901 ETAL</v>
          </cell>
          <cell r="E119">
            <v>37574</v>
          </cell>
          <cell r="F119" t="str">
            <v>N/A</v>
          </cell>
          <cell r="K119" t="str">
            <v>S-4</v>
          </cell>
          <cell r="L119" t="str">
            <v>N/A</v>
          </cell>
          <cell r="P119" t="str">
            <v>N/A</v>
          </cell>
          <cell r="Q119" t="str">
            <v>N/A</v>
          </cell>
          <cell r="R119" t="str">
            <v>8</v>
          </cell>
          <cell r="S119" t="str">
            <v>0</v>
          </cell>
          <cell r="T119" t="str">
            <v>1.5</v>
          </cell>
          <cell r="U119" t="str">
            <v>2.5</v>
          </cell>
          <cell r="V119">
            <v>10</v>
          </cell>
          <cell r="W119" t="str">
            <v>S-4</v>
          </cell>
          <cell r="X119" t="str">
            <v>Manufacturing</v>
          </cell>
          <cell r="Y119" t="str">
            <v>N/A</v>
          </cell>
          <cell r="Z119" t="str">
            <v>N/A</v>
          </cell>
          <cell r="AA119" t="str">
            <v>Repack Area</v>
          </cell>
          <cell r="AB119" t="str">
            <v>Non-Sterile</v>
          </cell>
          <cell r="AC119" t="str">
            <v>N/A</v>
          </cell>
          <cell r="AG119" t="str">
            <v>N/A</v>
          </cell>
          <cell r="AH119" t="str">
            <v>N/A</v>
          </cell>
          <cell r="AI119" t="str">
            <v>LATEX FREE</v>
          </cell>
          <cell r="AJ119" t="str">
            <v>Current</v>
          </cell>
          <cell r="AK119" t="str">
            <v>N/A</v>
          </cell>
          <cell r="AL119" t="str">
            <v>N/A</v>
          </cell>
          <cell r="AM119" t="str">
            <v>907CC-1</v>
          </cell>
          <cell r="AN119" t="str">
            <v>N/A</v>
          </cell>
          <cell r="AO119" t="str">
            <v>LF907SL</v>
          </cell>
          <cell r="AP119" t="str">
            <v>N/A</v>
          </cell>
          <cell r="AS119" t="str">
            <v>N/A</v>
          </cell>
          <cell r="AT119" t="str">
            <v>N/A</v>
          </cell>
          <cell r="AU119" t="str">
            <v>N/A</v>
          </cell>
          <cell r="AV119" t="str">
            <v>907D,9013A-1</v>
          </cell>
        </row>
        <row r="120">
          <cell r="A120">
            <v>908</v>
          </cell>
          <cell r="B120" t="str">
            <v>Cat #</v>
          </cell>
          <cell r="C120" t="str">
            <v>White Post Mortem Kit/ Curved Zipper/10</v>
          </cell>
          <cell r="D120" t="str">
            <v>901 ETAL</v>
          </cell>
          <cell r="E120">
            <v>37574</v>
          </cell>
          <cell r="F120" t="str">
            <v>N/A</v>
          </cell>
          <cell r="K120" t="str">
            <v>S-4</v>
          </cell>
          <cell r="L120" t="str">
            <v>N/A</v>
          </cell>
          <cell r="P120" t="str">
            <v>N/A</v>
          </cell>
          <cell r="Q120" t="str">
            <v>N/A</v>
          </cell>
          <cell r="R120" t="str">
            <v>8</v>
          </cell>
          <cell r="S120" t="str">
            <v>0</v>
          </cell>
          <cell r="T120" t="str">
            <v>1.5</v>
          </cell>
          <cell r="U120" t="str">
            <v>2.5</v>
          </cell>
          <cell r="V120">
            <v>10</v>
          </cell>
          <cell r="W120" t="str">
            <v>S-4</v>
          </cell>
          <cell r="X120" t="str">
            <v>Manufacturing</v>
          </cell>
          <cell r="Y120" t="str">
            <v>N/A</v>
          </cell>
          <cell r="Z120" t="str">
            <v>N/A</v>
          </cell>
          <cell r="AA120" t="str">
            <v>Repack Area</v>
          </cell>
          <cell r="AB120" t="str">
            <v>Non-Sterile</v>
          </cell>
          <cell r="AC120" t="str">
            <v>N/A</v>
          </cell>
          <cell r="AG120" t="str">
            <v>N/A</v>
          </cell>
          <cell r="AH120" t="str">
            <v>N/A</v>
          </cell>
          <cell r="AI120" t="str">
            <v>LATEX FREE</v>
          </cell>
          <cell r="AJ120" t="str">
            <v>Current</v>
          </cell>
          <cell r="AK120" t="str">
            <v>N/A</v>
          </cell>
          <cell r="AL120" t="str">
            <v>N/A</v>
          </cell>
          <cell r="AM120" t="str">
            <v>908CC-1</v>
          </cell>
          <cell r="AN120" t="str">
            <v>N/A</v>
          </cell>
          <cell r="AO120" t="str">
            <v>LF908SL</v>
          </cell>
          <cell r="AP120" t="str">
            <v>N/A</v>
          </cell>
          <cell r="AS120" t="str">
            <v>N/A</v>
          </cell>
          <cell r="AT120" t="str">
            <v>N/A</v>
          </cell>
          <cell r="AU120" t="str">
            <v>907D,725PM</v>
          </cell>
          <cell r="AV120" t="str">
            <v>N/A</v>
          </cell>
        </row>
        <row r="121">
          <cell r="A121" t="str">
            <v>908IB</v>
          </cell>
          <cell r="B121" t="str">
            <v>Comp #</v>
          </cell>
          <cell r="C121" t="str">
            <v>Sub-Assembly of Components 9085/200</v>
          </cell>
          <cell r="D121" t="str">
            <v>174TP ETAL</v>
          </cell>
          <cell r="E121">
            <v>36564</v>
          </cell>
          <cell r="F121" t="str">
            <v>N/A</v>
          </cell>
          <cell r="K121" t="str">
            <v>S-4</v>
          </cell>
          <cell r="L121" t="str">
            <v>N/A</v>
          </cell>
          <cell r="P121" t="str">
            <v>8</v>
          </cell>
          <cell r="Q121" t="str">
            <v>N/A</v>
          </cell>
          <cell r="R121" t="str">
            <v>8</v>
          </cell>
          <cell r="S121" t="str">
            <v>0</v>
          </cell>
          <cell r="T121" t="str">
            <v>1.5</v>
          </cell>
          <cell r="U121" t="str">
            <v>2.5</v>
          </cell>
          <cell r="V121">
            <v>200</v>
          </cell>
          <cell r="W121" t="str">
            <v>S-4</v>
          </cell>
          <cell r="X121" t="str">
            <v>Manufacturing</v>
          </cell>
          <cell r="Y121" t="str">
            <v>N/A</v>
          </cell>
          <cell r="Z121" t="str">
            <v>N/A</v>
          </cell>
          <cell r="AA121" t="str">
            <v>Shroud Area</v>
          </cell>
          <cell r="AB121" t="str">
            <v>Non-Sterile</v>
          </cell>
          <cell r="AC121" t="str">
            <v>N/A</v>
          </cell>
          <cell r="AG121" t="str">
            <v>N/A</v>
          </cell>
          <cell r="AH121" t="str">
            <v>N/A</v>
          </cell>
          <cell r="AI121" t="str">
            <v>LATEX FREE</v>
          </cell>
          <cell r="AJ121" t="str">
            <v>Current</v>
          </cell>
          <cell r="AK121" t="str">
            <v>N/A</v>
          </cell>
          <cell r="AL121" t="str">
            <v>N/A</v>
          </cell>
          <cell r="AM121" t="str">
            <v>N/A</v>
          </cell>
          <cell r="AN121" t="str">
            <v>N/A</v>
          </cell>
          <cell r="AO121" t="str">
            <v>N/A</v>
          </cell>
          <cell r="AP121" t="str">
            <v>N/A</v>
          </cell>
          <cell r="AS121" t="str">
            <v>Identification Label</v>
          </cell>
          <cell r="AT121" t="str">
            <v>N/A</v>
          </cell>
          <cell r="AU121" t="str">
            <v>7003A,3377A,7254,9013A-1</v>
          </cell>
          <cell r="AV121" t="str">
            <v>N/A</v>
          </cell>
        </row>
        <row r="122">
          <cell r="A122" t="str">
            <v>909</v>
          </cell>
          <cell r="B122" t="str">
            <v>Cat #</v>
          </cell>
          <cell r="C122" t="str">
            <v>72" x 90" Heavy Duty Post Mortem Bag W/ Wraparound Zipper/6</v>
          </cell>
          <cell r="D122" t="str">
            <v>901 ETAL</v>
          </cell>
          <cell r="E122">
            <v>37574</v>
          </cell>
          <cell r="F122" t="str">
            <v>N/A</v>
          </cell>
          <cell r="K122" t="str">
            <v>S-4</v>
          </cell>
          <cell r="P122" t="str">
            <v>N/A</v>
          </cell>
          <cell r="Q122" t="str">
            <v>N/A</v>
          </cell>
          <cell r="R122" t="str">
            <v>8</v>
          </cell>
          <cell r="S122" t="str">
            <v>0</v>
          </cell>
          <cell r="T122" t="str">
            <v>1.5</v>
          </cell>
          <cell r="U122" t="str">
            <v>2.5</v>
          </cell>
          <cell r="V122">
            <v>6</v>
          </cell>
          <cell r="X122" t="str">
            <v>Manufacturing</v>
          </cell>
          <cell r="Y122" t="str">
            <v>N/A</v>
          </cell>
          <cell r="Z122" t="str">
            <v>N/A</v>
          </cell>
          <cell r="AA122" t="str">
            <v>Repack Area</v>
          </cell>
          <cell r="AB122" t="str">
            <v>Non-Sterile</v>
          </cell>
          <cell r="AC122" t="str">
            <v>N/A</v>
          </cell>
          <cell r="AG122" t="str">
            <v>N/A</v>
          </cell>
          <cell r="AH122" t="str">
            <v>N/A</v>
          </cell>
          <cell r="AI122" t="str">
            <v>LATEX FREE</v>
          </cell>
          <cell r="AJ122" t="str">
            <v>Current</v>
          </cell>
          <cell r="AK122" t="str">
            <v>N/A</v>
          </cell>
          <cell r="AL122" t="str">
            <v>N/A</v>
          </cell>
          <cell r="AM122" t="str">
            <v>LF909CC</v>
          </cell>
          <cell r="AN122" t="str">
            <v>N/A</v>
          </cell>
          <cell r="AO122" t="str">
            <v>LF909CSL</v>
          </cell>
          <cell r="AP122" t="str">
            <v>N/A</v>
          </cell>
          <cell r="AS122" t="str">
            <v>N/A</v>
          </cell>
          <cell r="AT122" t="str">
            <v>N/A</v>
          </cell>
          <cell r="AU122" t="str">
            <v>911BG,909D</v>
          </cell>
          <cell r="AV122" t="str">
            <v>N/A</v>
          </cell>
        </row>
        <row r="123">
          <cell r="A123">
            <v>910</v>
          </cell>
          <cell r="B123" t="str">
            <v>Cat #</v>
          </cell>
          <cell r="C123" t="str">
            <v>White Post Mortem Bag/ Straight Zipper/10</v>
          </cell>
          <cell r="D123" t="str">
            <v>901 ETAL</v>
          </cell>
          <cell r="E123">
            <v>37574</v>
          </cell>
          <cell r="F123" t="str">
            <v>N/A</v>
          </cell>
          <cell r="K123" t="str">
            <v>S-4</v>
          </cell>
          <cell r="P123" t="str">
            <v>N/A</v>
          </cell>
          <cell r="Q123" t="str">
            <v>N/A</v>
          </cell>
          <cell r="R123" t="str">
            <v>8</v>
          </cell>
          <cell r="S123" t="str">
            <v>0</v>
          </cell>
          <cell r="T123" t="str">
            <v>1.5</v>
          </cell>
          <cell r="U123" t="str">
            <v>2.5</v>
          </cell>
          <cell r="V123">
            <v>10</v>
          </cell>
          <cell r="W123" t="str">
            <v>S-4</v>
          </cell>
          <cell r="X123" t="str">
            <v>Manufacturing</v>
          </cell>
          <cell r="Y123" t="str">
            <v>N/A</v>
          </cell>
          <cell r="Z123" t="str">
            <v>N/A</v>
          </cell>
          <cell r="AA123" t="str">
            <v>Repack Area</v>
          </cell>
          <cell r="AB123" t="str">
            <v>Non-Sterile</v>
          </cell>
          <cell r="AC123" t="str">
            <v>N/A</v>
          </cell>
          <cell r="AG123" t="str">
            <v>N/A</v>
          </cell>
          <cell r="AH123" t="str">
            <v>N/A</v>
          </cell>
          <cell r="AI123" t="str">
            <v>LATEX FREE</v>
          </cell>
          <cell r="AJ123" t="str">
            <v>Current</v>
          </cell>
          <cell r="AK123" t="str">
            <v>N/A</v>
          </cell>
          <cell r="AL123" t="str">
            <v>N/A</v>
          </cell>
          <cell r="AM123" t="str">
            <v>N/A</v>
          </cell>
          <cell r="AN123" t="str">
            <v>N/A</v>
          </cell>
          <cell r="AO123" t="str">
            <v>LF910SL</v>
          </cell>
          <cell r="AP123" t="str">
            <v>Rev A</v>
          </cell>
          <cell r="AS123" t="str">
            <v>N/A</v>
          </cell>
          <cell r="AT123" t="str">
            <v>N/A</v>
          </cell>
          <cell r="AU123" t="str">
            <v>N/A</v>
          </cell>
          <cell r="AV123" t="str">
            <v>901D</v>
          </cell>
        </row>
        <row r="124">
          <cell r="A124">
            <v>911</v>
          </cell>
          <cell r="B124" t="str">
            <v>Cat #</v>
          </cell>
          <cell r="C124" t="str">
            <v>White Heavy Duty Body Bag/ Wraparound Zipper/10</v>
          </cell>
          <cell r="D124" t="str">
            <v>901 ETAL</v>
          </cell>
          <cell r="E124">
            <v>37574</v>
          </cell>
          <cell r="F124" t="str">
            <v>N/A</v>
          </cell>
          <cell r="K124" t="str">
            <v>S-4</v>
          </cell>
          <cell r="P124" t="str">
            <v>N/A</v>
          </cell>
          <cell r="Q124" t="str">
            <v>N/A</v>
          </cell>
          <cell r="R124" t="str">
            <v>8</v>
          </cell>
          <cell r="S124" t="str">
            <v>0</v>
          </cell>
          <cell r="T124" t="str">
            <v>1.5</v>
          </cell>
          <cell r="U124" t="str">
            <v>2.5</v>
          </cell>
          <cell r="V124">
            <v>10</v>
          </cell>
          <cell r="W124" t="str">
            <v>S-4</v>
          </cell>
          <cell r="X124" t="str">
            <v>Manufacturing</v>
          </cell>
          <cell r="Y124" t="str">
            <v>N/A</v>
          </cell>
          <cell r="Z124" t="str">
            <v>N/A</v>
          </cell>
          <cell r="AA124" t="str">
            <v>Repack Area</v>
          </cell>
          <cell r="AB124" t="str">
            <v>Non-Sterile</v>
          </cell>
          <cell r="AC124" t="str">
            <v>N/A</v>
          </cell>
          <cell r="AG124" t="str">
            <v>N/A</v>
          </cell>
          <cell r="AH124" t="str">
            <v>N/A</v>
          </cell>
          <cell r="AI124" t="str">
            <v>LATEX FREE</v>
          </cell>
          <cell r="AJ124" t="str">
            <v>Current</v>
          </cell>
          <cell r="AK124" t="str">
            <v>N/A</v>
          </cell>
          <cell r="AL124" t="str">
            <v>N/A</v>
          </cell>
          <cell r="AM124" t="str">
            <v>911CC-1</v>
          </cell>
          <cell r="AN124" t="str">
            <v>N/A</v>
          </cell>
          <cell r="AO124" t="str">
            <v>LF911CSL</v>
          </cell>
          <cell r="AP124" t="str">
            <v>N/A</v>
          </cell>
          <cell r="AS124" t="str">
            <v>N/A</v>
          </cell>
          <cell r="AT124" t="str">
            <v>N/A</v>
          </cell>
          <cell r="AU124" t="str">
            <v>911BG,911D-1</v>
          </cell>
          <cell r="AV124" t="str">
            <v>N/A</v>
          </cell>
        </row>
        <row r="125">
          <cell r="A125" t="str">
            <v>911BG</v>
          </cell>
          <cell r="B125" t="str">
            <v>Comp #</v>
          </cell>
          <cell r="C125" t="str">
            <v>Sub Assembly of Components for 911/100</v>
          </cell>
          <cell r="D125" t="str">
            <v>174TP ETAL</v>
          </cell>
          <cell r="E125">
            <v>36564</v>
          </cell>
          <cell r="F125" t="str">
            <v>N/A</v>
          </cell>
          <cell r="K125" t="str">
            <v>S-4</v>
          </cell>
          <cell r="L125" t="str">
            <v>N/A</v>
          </cell>
          <cell r="P125" t="str">
            <v>8</v>
          </cell>
          <cell r="Q125" t="str">
            <v>N/A</v>
          </cell>
          <cell r="R125" t="str">
            <v>8</v>
          </cell>
          <cell r="S125" t="str">
            <v>0</v>
          </cell>
          <cell r="T125" t="str">
            <v>1.5</v>
          </cell>
          <cell r="U125" t="str">
            <v>2.5</v>
          </cell>
          <cell r="V125">
            <v>100</v>
          </cell>
          <cell r="W125" t="str">
            <v>S-4</v>
          </cell>
          <cell r="X125" t="str">
            <v>Manufacturing</v>
          </cell>
          <cell r="Y125" t="str">
            <v>N/A</v>
          </cell>
          <cell r="Z125" t="str">
            <v>N/A</v>
          </cell>
          <cell r="AA125" t="str">
            <v>Shroud Area</v>
          </cell>
          <cell r="AB125" t="str">
            <v>Non-Sterile</v>
          </cell>
          <cell r="AC125" t="str">
            <v>N/A</v>
          </cell>
          <cell r="AG125" t="str">
            <v>N/A</v>
          </cell>
          <cell r="AH125" t="str">
            <v>N/A</v>
          </cell>
          <cell r="AI125" t="str">
            <v>LATEX FREE</v>
          </cell>
          <cell r="AJ125" t="str">
            <v>Current</v>
          </cell>
          <cell r="AK125" t="str">
            <v>N/A</v>
          </cell>
          <cell r="AL125" t="str">
            <v>N/A</v>
          </cell>
          <cell r="AM125" t="str">
            <v>N/A</v>
          </cell>
          <cell r="AN125" t="str">
            <v>N/A</v>
          </cell>
          <cell r="AO125" t="str">
            <v>N/A</v>
          </cell>
          <cell r="AP125" t="str">
            <v>N/A</v>
          </cell>
          <cell r="AS125" t="str">
            <v>Identification Label</v>
          </cell>
          <cell r="AT125" t="str">
            <v>N/A</v>
          </cell>
          <cell r="AU125" t="str">
            <v>7003A,3377A,7254,9013A-1,5517,911L</v>
          </cell>
        </row>
        <row r="126">
          <cell r="A126">
            <v>912</v>
          </cell>
          <cell r="B126" t="str">
            <v>Cat #</v>
          </cell>
          <cell r="C126" t="str">
            <v>White Heavy Duty Body Bag/ W/ Wraparound Zipper/10</v>
          </cell>
          <cell r="D126" t="str">
            <v>901 ETAL</v>
          </cell>
          <cell r="E126">
            <v>37574</v>
          </cell>
          <cell r="F126" t="str">
            <v>N/A</v>
          </cell>
          <cell r="K126" t="str">
            <v>S-4</v>
          </cell>
          <cell r="L126" t="str">
            <v>N/A</v>
          </cell>
          <cell r="P126" t="str">
            <v>N/A</v>
          </cell>
          <cell r="Q126" t="str">
            <v>N/A</v>
          </cell>
          <cell r="R126" t="str">
            <v>8</v>
          </cell>
          <cell r="S126" t="str">
            <v>0</v>
          </cell>
          <cell r="T126" t="str">
            <v>1.5</v>
          </cell>
          <cell r="U126" t="str">
            <v>2.5</v>
          </cell>
          <cell r="V126">
            <v>10</v>
          </cell>
          <cell r="W126" t="str">
            <v>S-4</v>
          </cell>
          <cell r="X126" t="str">
            <v>Manufacturing</v>
          </cell>
          <cell r="Y126" t="str">
            <v>N/A</v>
          </cell>
          <cell r="Z126" t="str">
            <v>N/A</v>
          </cell>
          <cell r="AA126" t="str">
            <v>Shroud Area</v>
          </cell>
          <cell r="AB126" t="str">
            <v>Non-Sterile</v>
          </cell>
          <cell r="AC126" t="str">
            <v>N/A</v>
          </cell>
          <cell r="AG126" t="str">
            <v>N/A</v>
          </cell>
          <cell r="AH126" t="str">
            <v>N/A</v>
          </cell>
          <cell r="AI126" t="str">
            <v>LATEX FREE</v>
          </cell>
          <cell r="AJ126" t="str">
            <v>Current</v>
          </cell>
          <cell r="AK126" t="str">
            <v>N/A</v>
          </cell>
          <cell r="AL126" t="str">
            <v>N/A</v>
          </cell>
          <cell r="AM126" t="str">
            <v>LF912CC</v>
          </cell>
          <cell r="AN126" t="str">
            <v>N/A</v>
          </cell>
          <cell r="AO126" t="str">
            <v>LF912SL</v>
          </cell>
          <cell r="AP126" t="str">
            <v>N/A</v>
          </cell>
          <cell r="AS126" t="str">
            <v>N/A</v>
          </cell>
          <cell r="AT126" t="str">
            <v>N/A</v>
          </cell>
          <cell r="AU126" t="str">
            <v>N/A</v>
          </cell>
          <cell r="AV126" t="str">
            <v>911D-1,9013A-1</v>
          </cell>
        </row>
        <row r="127">
          <cell r="A127">
            <v>913</v>
          </cell>
          <cell r="B127" t="str">
            <v>Cat #</v>
          </cell>
          <cell r="C127" t="str">
            <v>Post Mortem Bag W/ XL Shroud Kit (72" x 108")/ Straight Zipper/10</v>
          </cell>
          <cell r="D127" t="str">
            <v>901 ETAL</v>
          </cell>
          <cell r="E127">
            <v>37574</v>
          </cell>
          <cell r="F127" t="str">
            <v>N/A</v>
          </cell>
          <cell r="K127" t="str">
            <v>S-4</v>
          </cell>
          <cell r="L127" t="str">
            <v>N/A</v>
          </cell>
          <cell r="P127" t="str">
            <v>N/A</v>
          </cell>
          <cell r="Q127" t="str">
            <v>N/A</v>
          </cell>
          <cell r="R127" t="str">
            <v>8</v>
          </cell>
          <cell r="S127" t="str">
            <v>0</v>
          </cell>
          <cell r="T127" t="str">
            <v>1.5</v>
          </cell>
          <cell r="U127" t="str">
            <v>2.5</v>
          </cell>
          <cell r="V127">
            <v>10</v>
          </cell>
          <cell r="W127" t="str">
            <v>S-4</v>
          </cell>
          <cell r="X127" t="str">
            <v>Manufacturing</v>
          </cell>
          <cell r="Y127" t="str">
            <v>N/A</v>
          </cell>
          <cell r="Z127" t="str">
            <v>N/A</v>
          </cell>
          <cell r="AA127" t="str">
            <v>Shroud Area</v>
          </cell>
          <cell r="AB127" t="str">
            <v>Non-Sterile</v>
          </cell>
          <cell r="AC127" t="str">
            <v>N/A</v>
          </cell>
          <cell r="AG127" t="str">
            <v>N/A</v>
          </cell>
          <cell r="AH127" t="str">
            <v>N/A</v>
          </cell>
          <cell r="AI127" t="str">
            <v>LATEX FREE</v>
          </cell>
          <cell r="AJ127" t="str">
            <v>Current</v>
          </cell>
          <cell r="AK127" t="str">
            <v>N/A</v>
          </cell>
          <cell r="AL127" t="str">
            <v>N/A</v>
          </cell>
          <cell r="AM127" t="str">
            <v>913I</v>
          </cell>
          <cell r="AN127" t="str">
            <v>N/A</v>
          </cell>
          <cell r="AO127" t="str">
            <v>LF913CSL</v>
          </cell>
          <cell r="AP127" t="str">
            <v>N/A</v>
          </cell>
          <cell r="AS127" t="str">
            <v>N/A</v>
          </cell>
          <cell r="AT127" t="str">
            <v>N/A</v>
          </cell>
          <cell r="AU127" t="str">
            <v>901D,7271C,725PM,5517</v>
          </cell>
          <cell r="AV127" t="str">
            <v>N/A</v>
          </cell>
        </row>
        <row r="128">
          <cell r="A128" t="str">
            <v>914</v>
          </cell>
          <cell r="B128" t="str">
            <v>Cat #</v>
          </cell>
          <cell r="C128" t="str">
            <v>White Eva Post Mortem Bag W/ ID Tags/ Straight Zipper/10</v>
          </cell>
          <cell r="D128" t="str">
            <v>901 ETAL</v>
          </cell>
          <cell r="E128">
            <v>37574</v>
          </cell>
          <cell r="F128" t="str">
            <v>N/A</v>
          </cell>
          <cell r="K128" t="str">
            <v>S-4</v>
          </cell>
          <cell r="L128" t="str">
            <v>N/A</v>
          </cell>
          <cell r="P128" t="str">
            <v>N/A</v>
          </cell>
          <cell r="Q128" t="str">
            <v>N/A</v>
          </cell>
          <cell r="R128" t="str">
            <v>8</v>
          </cell>
          <cell r="S128" t="str">
            <v>0</v>
          </cell>
          <cell r="T128" t="str">
            <v>1.5</v>
          </cell>
          <cell r="U128" t="str">
            <v>2.5</v>
          </cell>
          <cell r="V128">
            <v>10</v>
          </cell>
          <cell r="X128" t="str">
            <v>Manufacturing</v>
          </cell>
          <cell r="Y128" t="str">
            <v>N/A</v>
          </cell>
          <cell r="Z128" t="str">
            <v>N/A</v>
          </cell>
          <cell r="AA128" t="str">
            <v>Shroud Area</v>
          </cell>
          <cell r="AB128" t="str">
            <v>Non-Sterile</v>
          </cell>
          <cell r="AC128" t="str">
            <v>N/A</v>
          </cell>
          <cell r="AG128" t="str">
            <v>N/A</v>
          </cell>
          <cell r="AH128" t="str">
            <v>N/A</v>
          </cell>
          <cell r="AI128" t="str">
            <v>LATEX FREE</v>
          </cell>
          <cell r="AJ128" t="str">
            <v>Current</v>
          </cell>
          <cell r="AK128" t="str">
            <v>N/A</v>
          </cell>
          <cell r="AL128" t="str">
            <v>N/A</v>
          </cell>
          <cell r="AM128" t="str">
            <v>914CC</v>
          </cell>
          <cell r="AN128" t="str">
            <v>N/A</v>
          </cell>
          <cell r="AO128" t="str">
            <v>LF914CSL</v>
          </cell>
          <cell r="AP128" t="str">
            <v>N/A</v>
          </cell>
          <cell r="AS128" t="str">
            <v>N/A</v>
          </cell>
          <cell r="AT128" t="str">
            <v>N/A</v>
          </cell>
          <cell r="AU128" t="str">
            <v>914D,9013A-1,</v>
          </cell>
          <cell r="AV128" t="str">
            <v>N/A</v>
          </cell>
        </row>
        <row r="129">
          <cell r="A129" t="str">
            <v>915</v>
          </cell>
          <cell r="B129" t="str">
            <v>Cat #</v>
          </cell>
          <cell r="C129" t="str">
            <v>White Eva Post Mortem Kit/ W/ Straight Zipper/10</v>
          </cell>
          <cell r="D129" t="str">
            <v>901 ETAL</v>
          </cell>
          <cell r="E129">
            <v>37574</v>
          </cell>
          <cell r="F129" t="str">
            <v>N/A</v>
          </cell>
          <cell r="K129" t="str">
            <v>S-4</v>
          </cell>
          <cell r="L129" t="str">
            <v>N/A</v>
          </cell>
          <cell r="P129" t="str">
            <v>N/A</v>
          </cell>
          <cell r="Q129" t="str">
            <v>N/A</v>
          </cell>
          <cell r="R129" t="str">
            <v>8</v>
          </cell>
          <cell r="S129" t="str">
            <v>0</v>
          </cell>
          <cell r="T129" t="str">
            <v>1.5</v>
          </cell>
          <cell r="U129" t="str">
            <v>2.5</v>
          </cell>
          <cell r="V129">
            <v>10</v>
          </cell>
          <cell r="X129" t="str">
            <v>Manufacturing</v>
          </cell>
          <cell r="Y129" t="str">
            <v>N/A</v>
          </cell>
          <cell r="Z129" t="str">
            <v>N/A</v>
          </cell>
          <cell r="AA129" t="str">
            <v>Shroud Area</v>
          </cell>
          <cell r="AB129" t="str">
            <v>Non-Sterile</v>
          </cell>
          <cell r="AC129" t="str">
            <v>N/A</v>
          </cell>
          <cell r="AG129" t="str">
            <v>N/A</v>
          </cell>
          <cell r="AH129" t="str">
            <v>N/A</v>
          </cell>
          <cell r="AI129" t="str">
            <v>LATEX FREE</v>
          </cell>
          <cell r="AJ129" t="str">
            <v>Current</v>
          </cell>
          <cell r="AK129" t="str">
            <v>N/A</v>
          </cell>
          <cell r="AL129" t="str">
            <v>N/A</v>
          </cell>
          <cell r="AM129" t="str">
            <v>915CC</v>
          </cell>
          <cell r="AN129" t="str">
            <v>N/A</v>
          </cell>
          <cell r="AO129" t="str">
            <v>LF915CSL</v>
          </cell>
          <cell r="AP129" t="str">
            <v>N/A</v>
          </cell>
          <cell r="AS129" t="str">
            <v>N/A</v>
          </cell>
          <cell r="AT129" t="str">
            <v>N/A</v>
          </cell>
          <cell r="AU129" t="str">
            <v>914D,725PM,</v>
          </cell>
          <cell r="AV129" t="str">
            <v>N/A</v>
          </cell>
        </row>
        <row r="130">
          <cell r="A130" t="str">
            <v>916</v>
          </cell>
          <cell r="B130" t="str">
            <v>Cat #</v>
          </cell>
          <cell r="C130" t="str">
            <v>White Eva Post Mortem Bag/ W/ ID Tags/ Curved Zipper/10</v>
          </cell>
          <cell r="D130" t="str">
            <v>901 ETAL</v>
          </cell>
          <cell r="E130">
            <v>37574</v>
          </cell>
          <cell r="F130" t="str">
            <v>N/A</v>
          </cell>
          <cell r="K130" t="str">
            <v>S-4</v>
          </cell>
          <cell r="L130" t="str">
            <v>N/A</v>
          </cell>
          <cell r="P130" t="str">
            <v>N/A</v>
          </cell>
          <cell r="Q130" t="str">
            <v>N/A</v>
          </cell>
          <cell r="R130" t="str">
            <v>8</v>
          </cell>
          <cell r="S130" t="str">
            <v>0</v>
          </cell>
          <cell r="T130" t="str">
            <v>1.5</v>
          </cell>
          <cell r="U130" t="str">
            <v>2.5</v>
          </cell>
          <cell r="V130">
            <v>10</v>
          </cell>
          <cell r="X130" t="str">
            <v>Manufacturing</v>
          </cell>
          <cell r="Y130" t="str">
            <v>N/A</v>
          </cell>
          <cell r="Z130" t="str">
            <v>N/A</v>
          </cell>
          <cell r="AA130" t="str">
            <v>Shroud Area</v>
          </cell>
          <cell r="AB130" t="str">
            <v>Non-Sterile</v>
          </cell>
          <cell r="AC130" t="str">
            <v>N/A</v>
          </cell>
          <cell r="AG130" t="str">
            <v>N/A</v>
          </cell>
          <cell r="AH130" t="str">
            <v>N/A</v>
          </cell>
          <cell r="AI130" t="str">
            <v>LATEX FREE</v>
          </cell>
          <cell r="AJ130" t="str">
            <v>Current</v>
          </cell>
          <cell r="AK130" t="str">
            <v>N/A</v>
          </cell>
          <cell r="AL130" t="str">
            <v>N/A</v>
          </cell>
          <cell r="AM130" t="str">
            <v>916CC</v>
          </cell>
          <cell r="AN130" t="str">
            <v>N/A</v>
          </cell>
          <cell r="AO130" t="str">
            <v>LF916CSL</v>
          </cell>
          <cell r="AP130" t="str">
            <v>N/A</v>
          </cell>
          <cell r="AS130" t="str">
            <v>N/A</v>
          </cell>
          <cell r="AT130" t="str">
            <v>N/A</v>
          </cell>
          <cell r="AU130" t="str">
            <v>916D,9013A-1,</v>
          </cell>
          <cell r="AV130" t="str">
            <v>916D</v>
          </cell>
        </row>
        <row r="131">
          <cell r="A131" t="str">
            <v>917</v>
          </cell>
          <cell r="B131" t="str">
            <v>Cat #</v>
          </cell>
          <cell r="C131" t="str">
            <v>White Eva Post Mortem Kit/ W/ Curved Zipper/10</v>
          </cell>
          <cell r="D131" t="str">
            <v>901 ETAL</v>
          </cell>
          <cell r="E131">
            <v>37574</v>
          </cell>
          <cell r="F131" t="str">
            <v>N/A</v>
          </cell>
          <cell r="K131" t="str">
            <v>S-4</v>
          </cell>
          <cell r="L131" t="str">
            <v>N/A</v>
          </cell>
          <cell r="P131" t="str">
            <v>N/A</v>
          </cell>
          <cell r="Q131" t="str">
            <v>N/A</v>
          </cell>
          <cell r="R131" t="str">
            <v>8</v>
          </cell>
          <cell r="S131" t="str">
            <v>0</v>
          </cell>
          <cell r="T131" t="str">
            <v>1.5</v>
          </cell>
          <cell r="U131" t="str">
            <v>2.5</v>
          </cell>
          <cell r="V131">
            <v>10</v>
          </cell>
          <cell r="X131" t="str">
            <v>Manufacturing</v>
          </cell>
          <cell r="Y131" t="str">
            <v>N/A</v>
          </cell>
          <cell r="Z131" t="str">
            <v>N/A</v>
          </cell>
          <cell r="AA131" t="str">
            <v>Shroud Area</v>
          </cell>
          <cell r="AB131" t="str">
            <v>Non-Sterile</v>
          </cell>
          <cell r="AC131" t="str">
            <v>N/A</v>
          </cell>
          <cell r="AG131" t="str">
            <v>N/A</v>
          </cell>
          <cell r="AH131" t="str">
            <v>N/A</v>
          </cell>
          <cell r="AI131" t="str">
            <v>LATEX FREE</v>
          </cell>
          <cell r="AJ131" t="str">
            <v>Current</v>
          </cell>
          <cell r="AK131" t="str">
            <v>N/A</v>
          </cell>
          <cell r="AL131" t="str">
            <v>N/A</v>
          </cell>
          <cell r="AM131" t="str">
            <v>917CC</v>
          </cell>
          <cell r="AN131" t="str">
            <v>N/A</v>
          </cell>
          <cell r="AO131" t="str">
            <v>LF917CSL</v>
          </cell>
          <cell r="AP131" t="str">
            <v>N/A</v>
          </cell>
          <cell r="AS131" t="str">
            <v>N/A</v>
          </cell>
          <cell r="AT131" t="str">
            <v>N/A</v>
          </cell>
          <cell r="AU131" t="str">
            <v>916D,725PM</v>
          </cell>
          <cell r="AV131" t="str">
            <v>916D</v>
          </cell>
        </row>
        <row r="132">
          <cell r="A132" t="str">
            <v>918</v>
          </cell>
          <cell r="B132" t="str">
            <v>Cat #</v>
          </cell>
          <cell r="C132" t="str">
            <v>White Eva Heavy Duty Post Mortem Kit/ Wraparound Zipper/10</v>
          </cell>
          <cell r="D132" t="str">
            <v>901 ETAL</v>
          </cell>
          <cell r="E132">
            <v>37574</v>
          </cell>
          <cell r="F132" t="str">
            <v>N/A</v>
          </cell>
          <cell r="K132" t="str">
            <v>S-4</v>
          </cell>
          <cell r="L132" t="str">
            <v>N/A</v>
          </cell>
          <cell r="P132" t="str">
            <v>N/A</v>
          </cell>
          <cell r="Q132" t="str">
            <v>N/A</v>
          </cell>
          <cell r="R132" t="str">
            <v>8</v>
          </cell>
          <cell r="S132" t="str">
            <v>0</v>
          </cell>
          <cell r="T132" t="str">
            <v>1.5</v>
          </cell>
          <cell r="U132" t="str">
            <v>2.5</v>
          </cell>
          <cell r="V132">
            <v>10</v>
          </cell>
          <cell r="X132" t="str">
            <v>Manufacturing</v>
          </cell>
          <cell r="Y132" t="str">
            <v>N/A</v>
          </cell>
          <cell r="Z132" t="str">
            <v>N/A</v>
          </cell>
          <cell r="AA132" t="str">
            <v>Shroud Area</v>
          </cell>
          <cell r="AB132" t="str">
            <v>Non-Sterile</v>
          </cell>
          <cell r="AC132" t="str">
            <v>N/A</v>
          </cell>
          <cell r="AG132" t="str">
            <v>N/A</v>
          </cell>
          <cell r="AH132" t="str">
            <v>N/A</v>
          </cell>
          <cell r="AI132" t="str">
            <v>LATEX FREE</v>
          </cell>
          <cell r="AJ132" t="str">
            <v>Current</v>
          </cell>
          <cell r="AK132" t="str">
            <v>N/A</v>
          </cell>
          <cell r="AL132" t="str">
            <v>N/A</v>
          </cell>
          <cell r="AM132" t="str">
            <v>918CC</v>
          </cell>
          <cell r="AN132" t="str">
            <v>N/A</v>
          </cell>
          <cell r="AO132" t="str">
            <v>LF918CSL</v>
          </cell>
          <cell r="AP132" t="str">
            <v>N/A</v>
          </cell>
          <cell r="AS132" t="str">
            <v>N/A</v>
          </cell>
          <cell r="AT132" t="str">
            <v>N/A</v>
          </cell>
          <cell r="AU132" t="str">
            <v>911BG,918D</v>
          </cell>
          <cell r="AV132" t="str">
            <v>N/A</v>
          </cell>
        </row>
        <row r="133">
          <cell r="A133">
            <v>1002</v>
          </cell>
          <cell r="B133" t="str">
            <v>Cat #</v>
          </cell>
          <cell r="C133" t="str">
            <v>10" x 22" Standard CSR Wrap/1000</v>
          </cell>
          <cell r="D133" t="str">
            <v>843 ETAL</v>
          </cell>
          <cell r="E133">
            <v>36563</v>
          </cell>
          <cell r="F133" t="str">
            <v>N/A</v>
          </cell>
          <cell r="K133" t="str">
            <v>S-4</v>
          </cell>
          <cell r="L133" t="str">
            <v>N/A</v>
          </cell>
          <cell r="P133" t="str">
            <v>N/A</v>
          </cell>
          <cell r="Q133" t="str">
            <v>N/A</v>
          </cell>
          <cell r="R133" t="str">
            <v>8</v>
          </cell>
          <cell r="S133" t="str">
            <v>0</v>
          </cell>
          <cell r="T133" t="str">
            <v>1.5</v>
          </cell>
          <cell r="U133" t="str">
            <v>2.5</v>
          </cell>
          <cell r="V133" t="str">
            <v>1000</v>
          </cell>
          <cell r="W133" t="str">
            <v>S-4</v>
          </cell>
          <cell r="X133" t="str">
            <v>Manufacturing</v>
          </cell>
          <cell r="Y133" t="str">
            <v>N/A</v>
          </cell>
          <cell r="Z133" t="str">
            <v>N/A</v>
          </cell>
          <cell r="AA133" t="str">
            <v>Manufacturing</v>
          </cell>
          <cell r="AB133" t="str">
            <v>Non-Sterile</v>
          </cell>
          <cell r="AC133" t="str">
            <v>N/A</v>
          </cell>
          <cell r="AG133" t="str">
            <v>N/A</v>
          </cell>
          <cell r="AH133" t="str">
            <v>N/A</v>
          </cell>
          <cell r="AI133" t="str">
            <v>LATEX FREE</v>
          </cell>
          <cell r="AJ133" t="str">
            <v>Current</v>
          </cell>
          <cell r="AK133" t="str">
            <v>N/A</v>
          </cell>
          <cell r="AL133" t="str">
            <v>N/A</v>
          </cell>
          <cell r="AM133" t="str">
            <v>N/A</v>
          </cell>
          <cell r="AN133" t="str">
            <v>N/A</v>
          </cell>
          <cell r="AO133" t="str">
            <v>LF1002SL</v>
          </cell>
          <cell r="AP133" t="str">
            <v>N/A</v>
          </cell>
          <cell r="AS133" t="str">
            <v>N/A</v>
          </cell>
          <cell r="AT133" t="str">
            <v>N/A</v>
          </cell>
          <cell r="AU133" t="str">
            <v>N/A</v>
          </cell>
          <cell r="AV133" t="str">
            <v>8540D,2963A</v>
          </cell>
        </row>
        <row r="134">
          <cell r="A134" t="str">
            <v>1330KR</v>
          </cell>
          <cell r="B134" t="str">
            <v>Comp #</v>
          </cell>
          <cell r="C134" t="str">
            <v>7mm Straight Curette, K-Resin/1500</v>
          </cell>
          <cell r="D134" t="str">
            <v>1330KR  ETAL</v>
          </cell>
          <cell r="E134">
            <v>36668</v>
          </cell>
          <cell r="F134" t="str">
            <v>N/A</v>
          </cell>
          <cell r="K134" t="str">
            <v>S-4</v>
          </cell>
          <cell r="L134" t="str">
            <v>N/A</v>
          </cell>
          <cell r="P134" t="str">
            <v>32</v>
          </cell>
          <cell r="Q134" t="str">
            <v>N/A</v>
          </cell>
          <cell r="R134" t="str">
            <v>8</v>
          </cell>
          <cell r="S134" t="str">
            <v>0</v>
          </cell>
          <cell r="T134" t="str">
            <v>1.5</v>
          </cell>
          <cell r="U134" t="str">
            <v>2.5</v>
          </cell>
          <cell r="V134">
            <v>1500</v>
          </cell>
          <cell r="X134" t="str">
            <v>Manufacturing</v>
          </cell>
          <cell r="Y134" t="str">
            <v>N/A</v>
          </cell>
          <cell r="Z134" t="str">
            <v>N/A</v>
          </cell>
          <cell r="AA134" t="str">
            <v>Process Room</v>
          </cell>
          <cell r="AB134" t="str">
            <v>Non-Sterile</v>
          </cell>
          <cell r="AC134" t="str">
            <v>N/A</v>
          </cell>
          <cell r="AG134" t="str">
            <v>N/A</v>
          </cell>
          <cell r="AH134" t="str">
            <v>N/A</v>
          </cell>
          <cell r="AI134" t="str">
            <v>LATEX FREE</v>
          </cell>
          <cell r="AJ134" t="str">
            <v>Current</v>
          </cell>
          <cell r="AK134" t="str">
            <v>N/A</v>
          </cell>
          <cell r="AL134" t="str">
            <v>N/A</v>
          </cell>
          <cell r="AM134" t="str">
            <v>N/A</v>
          </cell>
          <cell r="AN134" t="str">
            <v>N/A</v>
          </cell>
          <cell r="AO134" t="str">
            <v>N/A</v>
          </cell>
          <cell r="AP134" t="str">
            <v>N/A</v>
          </cell>
          <cell r="AS134" t="str">
            <v>Reuse 2044 10x</v>
          </cell>
          <cell r="AT134" t="str">
            <v>N/A</v>
          </cell>
          <cell r="AU134" t="str">
            <v>1331K</v>
          </cell>
          <cell r="AV134" t="str">
            <v>N/A</v>
          </cell>
        </row>
        <row r="135">
          <cell r="A135">
            <v>1338</v>
          </cell>
          <cell r="B135" t="str">
            <v>Cat #</v>
          </cell>
          <cell r="C135" t="str">
            <v>Bulk 7mm Straight Curette/500</v>
          </cell>
          <cell r="D135" t="str">
            <v>1338 ETAL</v>
          </cell>
          <cell r="E135">
            <v>36668</v>
          </cell>
          <cell r="F135" t="str">
            <v>N/A</v>
          </cell>
          <cell r="K135" t="str">
            <v>S-4</v>
          </cell>
          <cell r="L135" t="str">
            <v>N/A</v>
          </cell>
          <cell r="P135" t="str">
            <v>32</v>
          </cell>
          <cell r="Q135" t="str">
            <v>N/A</v>
          </cell>
          <cell r="R135" t="str">
            <v>8</v>
          </cell>
          <cell r="S135" t="str">
            <v>0.</v>
          </cell>
          <cell r="T135" t="str">
            <v>1.5</v>
          </cell>
          <cell r="U135" t="str">
            <v>2.5</v>
          </cell>
          <cell r="V135">
            <v>500</v>
          </cell>
          <cell r="W135" t="str">
            <v>S-4</v>
          </cell>
          <cell r="X135" t="str">
            <v>Manufacturing</v>
          </cell>
          <cell r="Y135" t="str">
            <v>N/A</v>
          </cell>
          <cell r="Z135" t="str">
            <v>N/A</v>
          </cell>
          <cell r="AA135" t="str">
            <v>Process Room</v>
          </cell>
          <cell r="AB135" t="str">
            <v>Non-Sterile</v>
          </cell>
          <cell r="AC135" t="str">
            <v>N/A</v>
          </cell>
          <cell r="AG135" t="str">
            <v>N/A</v>
          </cell>
          <cell r="AH135" t="str">
            <v>N/A</v>
          </cell>
          <cell r="AI135" t="str">
            <v>LATEX FREE</v>
          </cell>
          <cell r="AJ135" t="str">
            <v>Current</v>
          </cell>
          <cell r="AK135" t="str">
            <v>N/A</v>
          </cell>
          <cell r="AL135" t="str">
            <v>N/A</v>
          </cell>
          <cell r="AM135" t="str">
            <v>N/A</v>
          </cell>
          <cell r="AN135" t="str">
            <v>N/A</v>
          </cell>
          <cell r="AO135" t="str">
            <v>LF1338SL</v>
          </cell>
          <cell r="AP135" t="str">
            <v>N/A</v>
          </cell>
          <cell r="AS135" t="str">
            <v>N/A</v>
          </cell>
          <cell r="AT135" t="str">
            <v>N/A</v>
          </cell>
          <cell r="AU135" t="str">
            <v>1330KR</v>
          </cell>
          <cell r="AV135" t="str">
            <v>N/A</v>
          </cell>
        </row>
        <row r="136">
          <cell r="A136" t="str">
            <v>1340KR</v>
          </cell>
          <cell r="B136" t="str">
            <v>Comp #</v>
          </cell>
          <cell r="C136" t="str">
            <v>8mm Straight Curette, K-Resin/1500</v>
          </cell>
          <cell r="D136" t="str">
            <v>1330KR  ETAL</v>
          </cell>
          <cell r="E136">
            <v>36668</v>
          </cell>
          <cell r="F136" t="str">
            <v>N/A</v>
          </cell>
          <cell r="K136" t="str">
            <v>S-4</v>
          </cell>
          <cell r="L136" t="str">
            <v>N/A</v>
          </cell>
          <cell r="P136" t="str">
            <v>28</v>
          </cell>
          <cell r="Q136" t="str">
            <v>N/A</v>
          </cell>
          <cell r="R136" t="str">
            <v>8</v>
          </cell>
          <cell r="S136" t="str">
            <v>0</v>
          </cell>
          <cell r="T136" t="str">
            <v>1.5</v>
          </cell>
          <cell r="U136" t="str">
            <v>2.5</v>
          </cell>
          <cell r="V136">
            <v>1500</v>
          </cell>
          <cell r="X136" t="str">
            <v>Manufacturing</v>
          </cell>
          <cell r="Y136" t="str">
            <v>N/A</v>
          </cell>
          <cell r="Z136" t="str">
            <v>N/A</v>
          </cell>
          <cell r="AA136" t="str">
            <v>Process Room</v>
          </cell>
          <cell r="AB136" t="str">
            <v>Non-Sterile</v>
          </cell>
          <cell r="AC136" t="str">
            <v>N/A</v>
          </cell>
          <cell r="AG136" t="str">
            <v>N/A</v>
          </cell>
          <cell r="AH136" t="str">
            <v>N/A</v>
          </cell>
          <cell r="AI136" t="str">
            <v>LATEX FREE</v>
          </cell>
          <cell r="AJ136" t="str">
            <v>Current</v>
          </cell>
          <cell r="AK136" t="str">
            <v>N/A</v>
          </cell>
          <cell r="AL136" t="str">
            <v>N/A</v>
          </cell>
          <cell r="AM136" t="str">
            <v>N/A</v>
          </cell>
          <cell r="AN136" t="str">
            <v>N/A</v>
          </cell>
          <cell r="AO136" t="str">
            <v>N/A</v>
          </cell>
          <cell r="AP136" t="str">
            <v>N/A</v>
          </cell>
          <cell r="AS136" t="str">
            <v>Reuse 2044 10x</v>
          </cell>
          <cell r="AT136" t="str">
            <v>N/A</v>
          </cell>
          <cell r="AU136" t="str">
            <v>1341K</v>
          </cell>
          <cell r="AV136" t="str">
            <v>N/A</v>
          </cell>
        </row>
        <row r="137">
          <cell r="A137">
            <v>1348</v>
          </cell>
          <cell r="B137" t="str">
            <v>Cat #</v>
          </cell>
          <cell r="C137" t="str">
            <v>Bulk 8mm Straight Curette/500</v>
          </cell>
          <cell r="D137" t="str">
            <v>1338 ETAL</v>
          </cell>
          <cell r="E137">
            <v>36668</v>
          </cell>
          <cell r="F137" t="str">
            <v>N/A</v>
          </cell>
          <cell r="K137" t="str">
            <v>S-4</v>
          </cell>
          <cell r="L137" t="str">
            <v>N/A</v>
          </cell>
          <cell r="P137" t="str">
            <v>28</v>
          </cell>
          <cell r="Q137" t="str">
            <v>N/A</v>
          </cell>
          <cell r="R137" t="str">
            <v>8</v>
          </cell>
          <cell r="S137" t="str">
            <v>0</v>
          </cell>
          <cell r="T137" t="str">
            <v>1.5</v>
          </cell>
          <cell r="U137" t="str">
            <v>2.5</v>
          </cell>
          <cell r="V137">
            <v>500</v>
          </cell>
          <cell r="W137" t="str">
            <v>S-4</v>
          </cell>
          <cell r="X137" t="str">
            <v>Manufacturing</v>
          </cell>
          <cell r="Y137" t="str">
            <v>N/A</v>
          </cell>
          <cell r="Z137" t="str">
            <v>N/A</v>
          </cell>
          <cell r="AA137" t="str">
            <v>Process Room</v>
          </cell>
          <cell r="AB137" t="str">
            <v>Non-Sterile</v>
          </cell>
          <cell r="AC137" t="str">
            <v>N/A</v>
          </cell>
          <cell r="AG137" t="str">
            <v>N/A</v>
          </cell>
          <cell r="AH137" t="str">
            <v>N/A</v>
          </cell>
          <cell r="AI137" t="str">
            <v>LATEX FREE</v>
          </cell>
          <cell r="AJ137" t="str">
            <v>Current</v>
          </cell>
          <cell r="AK137" t="str">
            <v>N/A</v>
          </cell>
          <cell r="AL137" t="str">
            <v>N/A</v>
          </cell>
          <cell r="AM137" t="str">
            <v>N/A</v>
          </cell>
          <cell r="AN137" t="str">
            <v>N/A</v>
          </cell>
          <cell r="AO137" t="str">
            <v>LF1348SL</v>
          </cell>
          <cell r="AP137" t="str">
            <v>N/A</v>
          </cell>
          <cell r="AS137" t="str">
            <v>N/A</v>
          </cell>
          <cell r="AT137" t="str">
            <v>N/A</v>
          </cell>
          <cell r="AU137" t="str">
            <v>1340KR</v>
          </cell>
          <cell r="AV137" t="str">
            <v>N/A</v>
          </cell>
        </row>
        <row r="138">
          <cell r="A138" t="str">
            <v>1350KR</v>
          </cell>
          <cell r="B138" t="str">
            <v>Comp #</v>
          </cell>
          <cell r="C138" t="str">
            <v>9mm Straight Curette, K-Resin/1500</v>
          </cell>
          <cell r="D138" t="str">
            <v>1330KR  ETAL</v>
          </cell>
          <cell r="E138">
            <v>36668</v>
          </cell>
          <cell r="F138" t="str">
            <v>N/A</v>
          </cell>
          <cell r="K138" t="str">
            <v>S-4</v>
          </cell>
          <cell r="L138" t="str">
            <v>N/A</v>
          </cell>
          <cell r="P138" t="str">
            <v>28</v>
          </cell>
          <cell r="Q138" t="str">
            <v>N/A</v>
          </cell>
          <cell r="R138" t="str">
            <v>8</v>
          </cell>
          <cell r="S138" t="str">
            <v>0</v>
          </cell>
          <cell r="T138" t="str">
            <v>1.5</v>
          </cell>
          <cell r="U138" t="str">
            <v>2.5</v>
          </cell>
          <cell r="V138">
            <v>1500</v>
          </cell>
          <cell r="X138" t="str">
            <v>Manufacturing</v>
          </cell>
          <cell r="Y138" t="str">
            <v>N/A</v>
          </cell>
          <cell r="Z138" t="str">
            <v>N/A</v>
          </cell>
          <cell r="AA138" t="str">
            <v>Process Room</v>
          </cell>
          <cell r="AB138" t="str">
            <v>Non-Sterile</v>
          </cell>
          <cell r="AC138" t="str">
            <v>N/A</v>
          </cell>
          <cell r="AG138" t="str">
            <v>N/A</v>
          </cell>
          <cell r="AH138" t="str">
            <v>N/A</v>
          </cell>
          <cell r="AI138" t="str">
            <v>LATEX FREE</v>
          </cell>
          <cell r="AJ138" t="str">
            <v>Current</v>
          </cell>
          <cell r="AK138" t="str">
            <v>N/A</v>
          </cell>
          <cell r="AL138" t="str">
            <v>N/A</v>
          </cell>
          <cell r="AM138" t="str">
            <v>N/A</v>
          </cell>
          <cell r="AN138" t="str">
            <v>N/A</v>
          </cell>
          <cell r="AO138" t="str">
            <v>N/A</v>
          </cell>
          <cell r="AP138" t="str">
            <v>N/A</v>
          </cell>
          <cell r="AS138" t="str">
            <v>Reuse 2044 10x</v>
          </cell>
          <cell r="AT138" t="str">
            <v>N/A</v>
          </cell>
          <cell r="AU138" t="str">
            <v>1351K</v>
          </cell>
          <cell r="AV138" t="str">
            <v>N/A</v>
          </cell>
        </row>
        <row r="139">
          <cell r="A139">
            <v>1358</v>
          </cell>
          <cell r="B139" t="str">
            <v>Cat #</v>
          </cell>
          <cell r="C139" t="str">
            <v>Bulk 9mm Straight Curette/500</v>
          </cell>
          <cell r="D139" t="str">
            <v>1338 ETAL</v>
          </cell>
          <cell r="E139">
            <v>36668</v>
          </cell>
          <cell r="F139" t="str">
            <v>N/A</v>
          </cell>
          <cell r="K139" t="str">
            <v>S-4</v>
          </cell>
          <cell r="L139" t="str">
            <v>N/A</v>
          </cell>
          <cell r="P139" t="str">
            <v>28</v>
          </cell>
          <cell r="Q139" t="str">
            <v>N/A</v>
          </cell>
          <cell r="R139" t="str">
            <v>8</v>
          </cell>
          <cell r="S139" t="str">
            <v>0</v>
          </cell>
          <cell r="T139" t="str">
            <v>1.5</v>
          </cell>
          <cell r="U139" t="str">
            <v>2.5</v>
          </cell>
          <cell r="V139">
            <v>500</v>
          </cell>
          <cell r="W139" t="str">
            <v>S-4</v>
          </cell>
          <cell r="X139" t="str">
            <v>Manufacturing</v>
          </cell>
          <cell r="Y139" t="str">
            <v>N/A</v>
          </cell>
          <cell r="Z139" t="str">
            <v>N/A</v>
          </cell>
          <cell r="AA139" t="str">
            <v>Process Room</v>
          </cell>
          <cell r="AB139" t="str">
            <v>Non-Sterile</v>
          </cell>
          <cell r="AC139" t="str">
            <v>N/A</v>
          </cell>
          <cell r="AG139" t="str">
            <v>N/A</v>
          </cell>
          <cell r="AH139" t="str">
            <v>N/A</v>
          </cell>
          <cell r="AI139" t="str">
            <v>LATEX FREE</v>
          </cell>
          <cell r="AJ139" t="str">
            <v>Current</v>
          </cell>
          <cell r="AK139" t="str">
            <v>N/A</v>
          </cell>
          <cell r="AL139" t="str">
            <v>N/A</v>
          </cell>
          <cell r="AM139" t="str">
            <v>N/A</v>
          </cell>
          <cell r="AN139" t="str">
            <v>N/A</v>
          </cell>
          <cell r="AO139" t="str">
            <v>LF1358SL</v>
          </cell>
          <cell r="AP139" t="str">
            <v>N/A</v>
          </cell>
          <cell r="AS139" t="str">
            <v>N/A</v>
          </cell>
          <cell r="AT139" t="str">
            <v>N/A</v>
          </cell>
          <cell r="AU139" t="str">
            <v>1350KR,2963A</v>
          </cell>
          <cell r="AV139" t="str">
            <v>N/A</v>
          </cell>
        </row>
        <row r="140">
          <cell r="A140" t="str">
            <v>1360KR</v>
          </cell>
          <cell r="B140" t="str">
            <v>Comp #</v>
          </cell>
          <cell r="C140" t="str">
            <v>10mm Straight Curette, K-Resin/1500</v>
          </cell>
          <cell r="D140" t="str">
            <v>1330KR  ETAL</v>
          </cell>
          <cell r="E140">
            <v>36668</v>
          </cell>
          <cell r="F140" t="str">
            <v>N/A</v>
          </cell>
          <cell r="K140" t="str">
            <v>S-4</v>
          </cell>
          <cell r="L140" t="str">
            <v>N/A</v>
          </cell>
          <cell r="P140" t="str">
            <v>28</v>
          </cell>
          <cell r="Q140" t="str">
            <v>N/A</v>
          </cell>
          <cell r="R140" t="str">
            <v>8</v>
          </cell>
          <cell r="S140" t="str">
            <v>0</v>
          </cell>
          <cell r="T140" t="str">
            <v>1.5</v>
          </cell>
          <cell r="U140" t="str">
            <v>2.5</v>
          </cell>
          <cell r="V140">
            <v>1500</v>
          </cell>
          <cell r="X140" t="str">
            <v>Manufacturing</v>
          </cell>
          <cell r="Y140" t="str">
            <v>N/A</v>
          </cell>
          <cell r="Z140" t="str">
            <v>N/A</v>
          </cell>
          <cell r="AA140" t="str">
            <v>Process Room</v>
          </cell>
          <cell r="AB140" t="str">
            <v>Non-Sterile</v>
          </cell>
          <cell r="AC140" t="str">
            <v>N/A</v>
          </cell>
          <cell r="AG140" t="str">
            <v>N/A</v>
          </cell>
          <cell r="AH140" t="str">
            <v>N/A</v>
          </cell>
          <cell r="AI140" t="str">
            <v>LATEX FREE</v>
          </cell>
          <cell r="AJ140" t="str">
            <v>Current</v>
          </cell>
          <cell r="AK140" t="str">
            <v>N/A</v>
          </cell>
          <cell r="AL140" t="str">
            <v>N/A</v>
          </cell>
          <cell r="AM140" t="str">
            <v>N/A</v>
          </cell>
          <cell r="AN140" t="str">
            <v>N/A</v>
          </cell>
          <cell r="AO140" t="str">
            <v>N/A</v>
          </cell>
          <cell r="AP140" t="str">
            <v>N/A</v>
          </cell>
          <cell r="AS140" t="str">
            <v>Reuse 2044 10x</v>
          </cell>
          <cell r="AT140" t="str">
            <v>N/A</v>
          </cell>
          <cell r="AU140" t="str">
            <v>1361K,2963A</v>
          </cell>
          <cell r="AV140" t="str">
            <v>N/A</v>
          </cell>
        </row>
        <row r="141">
          <cell r="A141">
            <v>1368</v>
          </cell>
          <cell r="B141" t="str">
            <v>Cat #</v>
          </cell>
          <cell r="C141" t="str">
            <v>Bulk 10mm Straight Curette/500</v>
          </cell>
          <cell r="D141" t="str">
            <v>1338 ETAL</v>
          </cell>
          <cell r="E141">
            <v>36668</v>
          </cell>
          <cell r="F141" t="str">
            <v>N/A</v>
          </cell>
          <cell r="K141" t="str">
            <v>S-4</v>
          </cell>
          <cell r="L141" t="str">
            <v>N/A</v>
          </cell>
          <cell r="P141" t="str">
            <v>28</v>
          </cell>
          <cell r="Q141" t="str">
            <v>N/A</v>
          </cell>
          <cell r="R141" t="str">
            <v>8</v>
          </cell>
          <cell r="S141" t="str">
            <v>0.</v>
          </cell>
          <cell r="T141" t="str">
            <v>1.5</v>
          </cell>
          <cell r="U141" t="str">
            <v>2.5</v>
          </cell>
          <cell r="V141">
            <v>500</v>
          </cell>
          <cell r="W141" t="str">
            <v>S-4</v>
          </cell>
          <cell r="X141" t="str">
            <v>Manufacturing</v>
          </cell>
          <cell r="Y141" t="str">
            <v>N/A</v>
          </cell>
          <cell r="Z141" t="str">
            <v>N/A</v>
          </cell>
          <cell r="AA141" t="str">
            <v>Process Room</v>
          </cell>
          <cell r="AB141" t="str">
            <v>Non-Sterile</v>
          </cell>
          <cell r="AC141" t="str">
            <v>N/A</v>
          </cell>
          <cell r="AG141" t="str">
            <v>N/A</v>
          </cell>
          <cell r="AH141" t="str">
            <v>N/A</v>
          </cell>
          <cell r="AI141" t="str">
            <v>LATEX FREE</v>
          </cell>
          <cell r="AJ141" t="str">
            <v>Current</v>
          </cell>
          <cell r="AK141" t="str">
            <v>N/A</v>
          </cell>
          <cell r="AL141" t="str">
            <v>N/A</v>
          </cell>
          <cell r="AM141" t="str">
            <v>N/A</v>
          </cell>
          <cell r="AN141" t="str">
            <v>N/A</v>
          </cell>
          <cell r="AO141" t="str">
            <v>LF1368SL</v>
          </cell>
          <cell r="AP141" t="str">
            <v>N/A</v>
          </cell>
          <cell r="AS141" t="str">
            <v>N/A</v>
          </cell>
          <cell r="AT141" t="str">
            <v>N/A</v>
          </cell>
          <cell r="AU141" t="str">
            <v>1360KR,2963A</v>
          </cell>
          <cell r="AV141" t="str">
            <v>N/A</v>
          </cell>
        </row>
        <row r="142">
          <cell r="A142" t="str">
            <v>1370KR</v>
          </cell>
          <cell r="B142" t="str">
            <v>Comp #</v>
          </cell>
          <cell r="C142" t="str">
            <v>11 mm Straight Curettte, K-Resin/1200</v>
          </cell>
          <cell r="D142" t="str">
            <v>1330KR  ETAL</v>
          </cell>
          <cell r="E142">
            <v>36668</v>
          </cell>
          <cell r="F142" t="str">
            <v>N/A</v>
          </cell>
          <cell r="K142" t="str">
            <v>S-4</v>
          </cell>
          <cell r="L142" t="str">
            <v>N/A</v>
          </cell>
          <cell r="P142" t="str">
            <v>28</v>
          </cell>
          <cell r="Q142" t="str">
            <v>N/A</v>
          </cell>
          <cell r="R142" t="str">
            <v>8</v>
          </cell>
          <cell r="S142" t="str">
            <v>0</v>
          </cell>
          <cell r="T142" t="str">
            <v>1.5</v>
          </cell>
          <cell r="U142" t="str">
            <v>2.5</v>
          </cell>
          <cell r="V142">
            <v>1200</v>
          </cell>
          <cell r="X142" t="str">
            <v>Manufacturing</v>
          </cell>
          <cell r="Y142" t="str">
            <v>N/A</v>
          </cell>
          <cell r="Z142" t="str">
            <v>N/A</v>
          </cell>
          <cell r="AA142" t="str">
            <v>Process Room</v>
          </cell>
          <cell r="AB142" t="str">
            <v>Non-Sterile</v>
          </cell>
          <cell r="AC142" t="str">
            <v>N/A</v>
          </cell>
          <cell r="AG142" t="str">
            <v>N/A</v>
          </cell>
          <cell r="AH142" t="str">
            <v>N/A</v>
          </cell>
          <cell r="AI142" t="str">
            <v>LATEX FREE</v>
          </cell>
          <cell r="AJ142" t="str">
            <v>Current</v>
          </cell>
          <cell r="AK142" t="str">
            <v>N/A</v>
          </cell>
          <cell r="AL142" t="str">
            <v>N/A</v>
          </cell>
          <cell r="AM142" t="str">
            <v>N/A</v>
          </cell>
          <cell r="AN142" t="str">
            <v>N/A</v>
          </cell>
          <cell r="AO142" t="str">
            <v>N/A</v>
          </cell>
          <cell r="AP142" t="str">
            <v>N/A</v>
          </cell>
          <cell r="AS142" t="str">
            <v>Reuse 2044 10x</v>
          </cell>
          <cell r="AT142" t="str">
            <v>N/A</v>
          </cell>
          <cell r="AU142" t="str">
            <v>1371K,2963A</v>
          </cell>
          <cell r="AV142" t="str">
            <v>N/A</v>
          </cell>
        </row>
        <row r="143">
          <cell r="A143">
            <v>1378</v>
          </cell>
          <cell r="B143" t="str">
            <v>Cat #</v>
          </cell>
          <cell r="C143" t="str">
            <v>Bulk 11mm Straight Curette/250</v>
          </cell>
          <cell r="D143" t="str">
            <v>1338 ETAL</v>
          </cell>
          <cell r="E143">
            <v>36668</v>
          </cell>
          <cell r="F143" t="str">
            <v>N/A</v>
          </cell>
          <cell r="K143" t="str">
            <v>S-4</v>
          </cell>
          <cell r="L143" t="str">
            <v>N/A</v>
          </cell>
          <cell r="P143" t="str">
            <v>28</v>
          </cell>
          <cell r="Q143" t="str">
            <v>N/A</v>
          </cell>
          <cell r="R143" t="str">
            <v>8</v>
          </cell>
          <cell r="S143" t="str">
            <v>0</v>
          </cell>
          <cell r="T143" t="str">
            <v>1.5</v>
          </cell>
          <cell r="U143" t="str">
            <v>2.5</v>
          </cell>
          <cell r="V143">
            <v>250</v>
          </cell>
          <cell r="W143" t="str">
            <v>S-4</v>
          </cell>
          <cell r="X143" t="str">
            <v>Manufacturing</v>
          </cell>
          <cell r="Y143" t="str">
            <v>N/A</v>
          </cell>
          <cell r="Z143" t="str">
            <v>N/A</v>
          </cell>
          <cell r="AA143" t="str">
            <v>Process Room</v>
          </cell>
          <cell r="AB143" t="str">
            <v>Non-Sterile</v>
          </cell>
          <cell r="AC143" t="str">
            <v>N/A</v>
          </cell>
          <cell r="AG143" t="str">
            <v>N/A</v>
          </cell>
          <cell r="AH143" t="str">
            <v>N/A</v>
          </cell>
          <cell r="AI143" t="str">
            <v>LATEX FREE</v>
          </cell>
          <cell r="AJ143" t="str">
            <v>Current</v>
          </cell>
          <cell r="AK143" t="str">
            <v>N/A</v>
          </cell>
          <cell r="AL143" t="str">
            <v>N/A</v>
          </cell>
          <cell r="AM143" t="str">
            <v>N/A</v>
          </cell>
          <cell r="AN143" t="str">
            <v>N/A</v>
          </cell>
          <cell r="AO143" t="str">
            <v>LF1378SL</v>
          </cell>
          <cell r="AP143" t="str">
            <v>N/A</v>
          </cell>
          <cell r="AS143" t="str">
            <v>N/A</v>
          </cell>
          <cell r="AT143" t="str">
            <v>N/A</v>
          </cell>
          <cell r="AU143" t="str">
            <v>1370KR,2963A</v>
          </cell>
          <cell r="AV143" t="str">
            <v>N/A</v>
          </cell>
        </row>
        <row r="144">
          <cell r="A144" t="str">
            <v>1380KR</v>
          </cell>
          <cell r="B144" t="str">
            <v>Comp #</v>
          </cell>
          <cell r="C144" t="str">
            <v>12mm Straight Curette, K-Resin/1200</v>
          </cell>
          <cell r="D144" t="str">
            <v>1330KR  ETAL</v>
          </cell>
          <cell r="E144">
            <v>36668</v>
          </cell>
          <cell r="F144" t="str">
            <v>N/A</v>
          </cell>
          <cell r="K144" t="str">
            <v>S-4</v>
          </cell>
          <cell r="L144" t="str">
            <v>N/A</v>
          </cell>
          <cell r="P144" t="str">
            <v>28</v>
          </cell>
          <cell r="Q144" t="str">
            <v>N/A</v>
          </cell>
          <cell r="R144" t="str">
            <v>8</v>
          </cell>
          <cell r="S144" t="str">
            <v>0</v>
          </cell>
          <cell r="T144" t="str">
            <v>1.5</v>
          </cell>
          <cell r="U144" t="str">
            <v>2.5</v>
          </cell>
          <cell r="V144">
            <v>1200</v>
          </cell>
          <cell r="X144" t="str">
            <v>Manufacturing</v>
          </cell>
          <cell r="Y144" t="str">
            <v>N/A</v>
          </cell>
          <cell r="Z144" t="str">
            <v>N/A</v>
          </cell>
          <cell r="AA144" t="str">
            <v>Process Room</v>
          </cell>
          <cell r="AB144" t="str">
            <v>Non-Sterile</v>
          </cell>
          <cell r="AC144" t="str">
            <v>N/A</v>
          </cell>
          <cell r="AG144" t="str">
            <v>N/A</v>
          </cell>
          <cell r="AH144" t="str">
            <v>N/A</v>
          </cell>
          <cell r="AI144" t="str">
            <v>LATEX FREE</v>
          </cell>
          <cell r="AJ144" t="str">
            <v>Current</v>
          </cell>
          <cell r="AK144" t="str">
            <v>N/A</v>
          </cell>
          <cell r="AL144" t="str">
            <v>N/A</v>
          </cell>
          <cell r="AM144" t="str">
            <v>N/A</v>
          </cell>
          <cell r="AN144" t="str">
            <v>N/A</v>
          </cell>
          <cell r="AO144" t="str">
            <v>N/A</v>
          </cell>
          <cell r="AP144" t="str">
            <v>N/A</v>
          </cell>
          <cell r="AS144" t="str">
            <v>Reuse 2044 10x</v>
          </cell>
          <cell r="AT144" t="str">
            <v>N/A</v>
          </cell>
          <cell r="AU144" t="str">
            <v>1381K,2963A</v>
          </cell>
          <cell r="AV144" t="str">
            <v>N/A</v>
          </cell>
        </row>
        <row r="145">
          <cell r="A145">
            <v>1388</v>
          </cell>
          <cell r="B145" t="str">
            <v>Cat #</v>
          </cell>
          <cell r="C145" t="str">
            <v>Bulk 12mm Straight Curette/250</v>
          </cell>
          <cell r="D145" t="str">
            <v>1338 ETAL</v>
          </cell>
          <cell r="E145">
            <v>36668</v>
          </cell>
          <cell r="F145" t="str">
            <v>N/A</v>
          </cell>
          <cell r="K145" t="str">
            <v>S-4</v>
          </cell>
          <cell r="L145" t="str">
            <v>N/A</v>
          </cell>
          <cell r="P145" t="str">
            <v>28</v>
          </cell>
          <cell r="Q145" t="str">
            <v>N/A</v>
          </cell>
          <cell r="R145" t="str">
            <v>8</v>
          </cell>
          <cell r="S145" t="str">
            <v>0</v>
          </cell>
          <cell r="T145" t="str">
            <v>1.5</v>
          </cell>
          <cell r="U145" t="str">
            <v>2.5</v>
          </cell>
          <cell r="V145">
            <v>250</v>
          </cell>
          <cell r="W145" t="str">
            <v>S-4</v>
          </cell>
          <cell r="X145" t="str">
            <v>Manufacturing</v>
          </cell>
          <cell r="Y145" t="str">
            <v>N/A</v>
          </cell>
          <cell r="Z145" t="str">
            <v>N/A</v>
          </cell>
          <cell r="AA145" t="str">
            <v>Process Room</v>
          </cell>
          <cell r="AB145" t="str">
            <v>Non-Sterile</v>
          </cell>
          <cell r="AC145" t="str">
            <v>N/A</v>
          </cell>
          <cell r="AG145" t="str">
            <v>N/A</v>
          </cell>
          <cell r="AH145" t="str">
            <v>N/A</v>
          </cell>
          <cell r="AI145" t="str">
            <v>LATEX FREE</v>
          </cell>
          <cell r="AJ145" t="str">
            <v>Current</v>
          </cell>
          <cell r="AK145" t="str">
            <v>N/A</v>
          </cell>
          <cell r="AL145" t="str">
            <v>N/A</v>
          </cell>
          <cell r="AM145" t="str">
            <v>N/A</v>
          </cell>
          <cell r="AN145" t="str">
            <v>N/A</v>
          </cell>
          <cell r="AO145" t="str">
            <v>LF1388SL</v>
          </cell>
          <cell r="AP145" t="str">
            <v>N/A</v>
          </cell>
          <cell r="AS145" t="str">
            <v>N/A</v>
          </cell>
          <cell r="AT145" t="str">
            <v>N/A</v>
          </cell>
          <cell r="AU145" t="str">
            <v>1380KR,2963A</v>
          </cell>
          <cell r="AV145" t="str">
            <v>N/A</v>
          </cell>
        </row>
        <row r="146">
          <cell r="A146">
            <v>1392</v>
          </cell>
          <cell r="B146" t="str">
            <v>Comp #</v>
          </cell>
          <cell r="C146" t="str">
            <v>14mm Straight PVC Curette - Cut/ Blown Out</v>
          </cell>
          <cell r="D146" t="str">
            <v>1392 ETAL</v>
          </cell>
          <cell r="E146">
            <v>36668</v>
          </cell>
          <cell r="F146" t="str">
            <v>N/A</v>
          </cell>
          <cell r="K146" t="str">
            <v>S-4</v>
          </cell>
          <cell r="L146" t="str">
            <v>N/A</v>
          </cell>
          <cell r="P146" t="str">
            <v>20</v>
          </cell>
          <cell r="Q146" t="str">
            <v>N/A</v>
          </cell>
          <cell r="R146" t="str">
            <v>8</v>
          </cell>
          <cell r="S146" t="str">
            <v>0</v>
          </cell>
          <cell r="T146" t="str">
            <v>1.5</v>
          </cell>
          <cell r="U146" t="str">
            <v>2.5</v>
          </cell>
          <cell r="V146">
            <v>1</v>
          </cell>
          <cell r="W146" t="str">
            <v>S-4</v>
          </cell>
          <cell r="X146" t="str">
            <v>Manufacturing</v>
          </cell>
          <cell r="Y146" t="str">
            <v>N/A</v>
          </cell>
          <cell r="Z146" t="str">
            <v>N/A</v>
          </cell>
          <cell r="AA146" t="str">
            <v>Process Room</v>
          </cell>
          <cell r="AB146" t="str">
            <v>Non-Sterile</v>
          </cell>
          <cell r="AC146" t="str">
            <v>N/A</v>
          </cell>
          <cell r="AG146" t="str">
            <v>N/A</v>
          </cell>
          <cell r="AH146" t="str">
            <v>N/A</v>
          </cell>
          <cell r="AI146" t="str">
            <v>LATEX FREE</v>
          </cell>
          <cell r="AJ146" t="str">
            <v>Current</v>
          </cell>
          <cell r="AK146" t="str">
            <v>N/A</v>
          </cell>
          <cell r="AL146" t="str">
            <v>N/A</v>
          </cell>
          <cell r="AM146" t="str">
            <v>N/A</v>
          </cell>
          <cell r="AN146" t="str">
            <v>N/A</v>
          </cell>
          <cell r="AO146" t="str">
            <v>N/A</v>
          </cell>
          <cell r="AP146" t="str">
            <v>N/A</v>
          </cell>
          <cell r="AS146" t="str">
            <v>Identification Label</v>
          </cell>
          <cell r="AT146" t="str">
            <v>N/A</v>
          </cell>
          <cell r="AU146" t="str">
            <v>N/A</v>
          </cell>
          <cell r="AV146" t="str">
            <v>1391</v>
          </cell>
        </row>
        <row r="147">
          <cell r="A147">
            <v>1398</v>
          </cell>
          <cell r="B147" t="str">
            <v>Cat #</v>
          </cell>
          <cell r="C147" t="str">
            <v>Bulk 14mm Straight Curette/250</v>
          </cell>
          <cell r="D147" t="str">
            <v>1398</v>
          </cell>
          <cell r="E147">
            <v>36171</v>
          </cell>
          <cell r="F147" t="str">
            <v>N/A</v>
          </cell>
          <cell r="K147" t="str">
            <v>S-4</v>
          </cell>
          <cell r="L147" t="str">
            <v>N/A</v>
          </cell>
          <cell r="P147" t="str">
            <v>20</v>
          </cell>
          <cell r="Q147" t="str">
            <v>N/A</v>
          </cell>
          <cell r="R147" t="str">
            <v>8</v>
          </cell>
          <cell r="S147" t="str">
            <v>0</v>
          </cell>
          <cell r="T147" t="str">
            <v>1.5</v>
          </cell>
          <cell r="U147" t="str">
            <v>2.5</v>
          </cell>
          <cell r="V147">
            <v>250</v>
          </cell>
          <cell r="W147" t="str">
            <v>II</v>
          </cell>
          <cell r="X147" t="str">
            <v>Manufacturing</v>
          </cell>
          <cell r="Y147" t="str">
            <v>N/A</v>
          </cell>
          <cell r="Z147" t="str">
            <v>N/A</v>
          </cell>
          <cell r="AA147" t="str">
            <v>Process Room</v>
          </cell>
          <cell r="AB147" t="str">
            <v>Non-Sterile</v>
          </cell>
          <cell r="AC147" t="str">
            <v>N/A</v>
          </cell>
          <cell r="AG147" t="str">
            <v>N/A</v>
          </cell>
          <cell r="AH147" t="str">
            <v>N/A</v>
          </cell>
          <cell r="AI147" t="str">
            <v>LATEX FREE</v>
          </cell>
          <cell r="AJ147" t="str">
            <v>Current</v>
          </cell>
          <cell r="AK147" t="str">
            <v>N/A</v>
          </cell>
          <cell r="AL147" t="str">
            <v>N/A</v>
          </cell>
          <cell r="AM147" t="str">
            <v>N/A</v>
          </cell>
          <cell r="AN147" t="str">
            <v>N/A</v>
          </cell>
          <cell r="AO147" t="str">
            <v>LF1398SL</v>
          </cell>
          <cell r="AP147" t="str">
            <v>N/A</v>
          </cell>
          <cell r="AS147" t="str">
            <v>N/A</v>
          </cell>
          <cell r="AT147" t="str">
            <v>N/A</v>
          </cell>
          <cell r="AU147" t="str">
            <v>1392,2963A</v>
          </cell>
          <cell r="AV147" t="str">
            <v>N/A</v>
          </cell>
        </row>
        <row r="148">
          <cell r="A148" t="str">
            <v>1410B</v>
          </cell>
          <cell r="B148" t="str">
            <v>Comp #</v>
          </cell>
          <cell r="C148" t="str">
            <v>1oz Bulb Syringe/400</v>
          </cell>
          <cell r="D148" t="str">
            <v>1410B ETAL</v>
          </cell>
          <cell r="E148">
            <v>36759</v>
          </cell>
          <cell r="F148" t="str">
            <v>N/A</v>
          </cell>
          <cell r="K148" t="str">
            <v>S-3</v>
          </cell>
          <cell r="P148" t="str">
            <v>32</v>
          </cell>
          <cell r="Q148" t="str">
            <v>N/A</v>
          </cell>
          <cell r="R148" t="str">
            <v>8</v>
          </cell>
          <cell r="S148" t="str">
            <v>0</v>
          </cell>
          <cell r="T148" t="str">
            <v>1.5</v>
          </cell>
          <cell r="U148" t="str">
            <v>2.5</v>
          </cell>
          <cell r="V148">
            <v>400</v>
          </cell>
          <cell r="X148" t="str">
            <v>Manufacturing</v>
          </cell>
          <cell r="Y148" t="str">
            <v>N/A</v>
          </cell>
          <cell r="Z148" t="str">
            <v>N/A</v>
          </cell>
          <cell r="AA148" t="str">
            <v>R.F. Room</v>
          </cell>
          <cell r="AB148" t="str">
            <v>Non-Sterile</v>
          </cell>
          <cell r="AC148" t="str">
            <v>N/A</v>
          </cell>
          <cell r="AG148" t="str">
            <v>N/A</v>
          </cell>
          <cell r="AH148" t="str">
            <v>N/A</v>
          </cell>
          <cell r="AI148" t="str">
            <v>LATEX FREE</v>
          </cell>
          <cell r="AJ148" t="str">
            <v>Current</v>
          </cell>
          <cell r="AK148" t="str">
            <v>N/A</v>
          </cell>
          <cell r="AL148" t="str">
            <v>N/A</v>
          </cell>
          <cell r="AM148" t="str">
            <v>N/A</v>
          </cell>
          <cell r="AN148" t="str">
            <v>N/A</v>
          </cell>
          <cell r="AO148" t="str">
            <v>N/A</v>
          </cell>
          <cell r="AP148" t="str">
            <v>N/A</v>
          </cell>
          <cell r="AS148" t="str">
            <v>Reuse 3273S 10x</v>
          </cell>
          <cell r="AT148" t="str">
            <v>N/A</v>
          </cell>
          <cell r="AU148" t="str">
            <v>1410T,1410A,2963A</v>
          </cell>
          <cell r="AV148" t="str">
            <v>N/A</v>
          </cell>
        </row>
        <row r="149">
          <cell r="A149" t="str">
            <v>1420BN</v>
          </cell>
          <cell r="B149" t="str">
            <v>Comp #</v>
          </cell>
          <cell r="C149" t="str">
            <v>2oz Bulb Syringe/200</v>
          </cell>
          <cell r="D149" t="str">
            <v>1410B ETAL</v>
          </cell>
          <cell r="E149">
            <v>36759</v>
          </cell>
          <cell r="F149" t="str">
            <v>N/A</v>
          </cell>
          <cell r="K149" t="str">
            <v>S-3</v>
          </cell>
          <cell r="P149" t="str">
            <v>32</v>
          </cell>
          <cell r="Q149" t="str">
            <v>N/A</v>
          </cell>
          <cell r="R149" t="str">
            <v>8</v>
          </cell>
          <cell r="S149" t="str">
            <v>0</v>
          </cell>
          <cell r="T149" t="str">
            <v>1.5</v>
          </cell>
          <cell r="U149" t="str">
            <v>2.5</v>
          </cell>
          <cell r="V149">
            <v>200</v>
          </cell>
          <cell r="X149" t="str">
            <v>Manufacturing</v>
          </cell>
          <cell r="Y149" t="str">
            <v>N/A</v>
          </cell>
          <cell r="Z149" t="str">
            <v>N/A</v>
          </cell>
          <cell r="AA149" t="str">
            <v>R.F. Room</v>
          </cell>
          <cell r="AB149" t="str">
            <v>Non-Sterile</v>
          </cell>
          <cell r="AC149" t="str">
            <v>N/A</v>
          </cell>
          <cell r="AG149" t="str">
            <v>N/A</v>
          </cell>
          <cell r="AH149" t="str">
            <v>N/A</v>
          </cell>
          <cell r="AI149" t="str">
            <v>LATEX FREE</v>
          </cell>
          <cell r="AJ149" t="str">
            <v>Current</v>
          </cell>
          <cell r="AK149" t="str">
            <v>N/A</v>
          </cell>
          <cell r="AL149" t="str">
            <v>N/A</v>
          </cell>
          <cell r="AM149" t="str">
            <v>N/A</v>
          </cell>
          <cell r="AN149" t="str">
            <v>N/A</v>
          </cell>
          <cell r="AO149" t="str">
            <v>N/A</v>
          </cell>
          <cell r="AP149" t="str">
            <v>N/A</v>
          </cell>
          <cell r="AS149" t="str">
            <v>Reuse 3273S 10x</v>
          </cell>
          <cell r="AT149" t="str">
            <v>N/A</v>
          </cell>
          <cell r="AU149" t="str">
            <v>1420T,1420AN,2963A</v>
          </cell>
          <cell r="AV149" t="str">
            <v>N/A</v>
          </cell>
        </row>
        <row r="150">
          <cell r="A150" t="str">
            <v>1421</v>
          </cell>
          <cell r="B150" t="str">
            <v>Comp #</v>
          </cell>
          <cell r="C150" t="str">
            <v>2oz Bulb Syringe/50</v>
          </cell>
          <cell r="F150" t="str">
            <v>N/A</v>
          </cell>
          <cell r="Q150" t="str">
            <v>N/A</v>
          </cell>
          <cell r="V150">
            <v>50</v>
          </cell>
          <cell r="X150" t="str">
            <v>Manufacturing</v>
          </cell>
          <cell r="Y150" t="str">
            <v>N/A</v>
          </cell>
          <cell r="Z150" t="str">
            <v>N/A</v>
          </cell>
          <cell r="AA150" t="str">
            <v>R.F. Room</v>
          </cell>
          <cell r="AB150" t="str">
            <v>Non-Sterile</v>
          </cell>
          <cell r="AC150" t="str">
            <v>N/A</v>
          </cell>
          <cell r="AG150" t="str">
            <v>N/A</v>
          </cell>
          <cell r="AH150" t="str">
            <v>N/A</v>
          </cell>
          <cell r="AI150" t="str">
            <v>LATEX FREE</v>
          </cell>
          <cell r="AJ150" t="str">
            <v>Current</v>
          </cell>
          <cell r="AK150" t="str">
            <v>N/A</v>
          </cell>
          <cell r="AL150" t="str">
            <v>N/A</v>
          </cell>
          <cell r="AM150" t="str">
            <v>N/A</v>
          </cell>
          <cell r="AN150" t="str">
            <v>N/A</v>
          </cell>
          <cell r="AO150" t="str">
            <v>N/A</v>
          </cell>
          <cell r="AP150" t="str">
            <v>N/A</v>
          </cell>
          <cell r="AS150" t="str">
            <v>N/A</v>
          </cell>
          <cell r="AT150" t="str">
            <v>N/A</v>
          </cell>
          <cell r="AU150" t="str">
            <v>142</v>
          </cell>
          <cell r="AV150" t="str">
            <v>N/A</v>
          </cell>
        </row>
        <row r="151">
          <cell r="A151" t="str">
            <v>1430BN</v>
          </cell>
          <cell r="B151" t="str">
            <v>Comp #</v>
          </cell>
          <cell r="C151" t="str">
            <v>3oz Bulb Syringe/100</v>
          </cell>
          <cell r="D151" t="str">
            <v>1410B ETAL</v>
          </cell>
          <cell r="E151">
            <v>36759</v>
          </cell>
          <cell r="F151" t="str">
            <v>N/A</v>
          </cell>
          <cell r="K151" t="str">
            <v>S-3</v>
          </cell>
          <cell r="P151" t="str">
            <v>32</v>
          </cell>
          <cell r="Q151" t="str">
            <v>N/A</v>
          </cell>
          <cell r="R151" t="str">
            <v>8</v>
          </cell>
          <cell r="S151" t="str">
            <v>0</v>
          </cell>
          <cell r="T151" t="str">
            <v>1.5</v>
          </cell>
          <cell r="U151" t="str">
            <v>2.5</v>
          </cell>
          <cell r="V151">
            <v>100</v>
          </cell>
          <cell r="X151" t="str">
            <v>Manufacturing</v>
          </cell>
          <cell r="Y151" t="str">
            <v>N/A</v>
          </cell>
          <cell r="Z151" t="str">
            <v>N/A</v>
          </cell>
          <cell r="AA151" t="str">
            <v>R.F. Room</v>
          </cell>
          <cell r="AB151" t="str">
            <v>Non-Sterile</v>
          </cell>
          <cell r="AC151" t="str">
            <v>N/A</v>
          </cell>
          <cell r="AG151" t="str">
            <v>N/A</v>
          </cell>
          <cell r="AH151" t="str">
            <v>N/A</v>
          </cell>
          <cell r="AI151" t="str">
            <v>LATEX FREE</v>
          </cell>
          <cell r="AJ151" t="str">
            <v>Current</v>
          </cell>
          <cell r="AK151" t="str">
            <v>N/A</v>
          </cell>
          <cell r="AL151" t="str">
            <v>N/A</v>
          </cell>
          <cell r="AM151" t="str">
            <v>N/A</v>
          </cell>
          <cell r="AN151" t="str">
            <v>N/A</v>
          </cell>
          <cell r="AO151" t="str">
            <v>N/A</v>
          </cell>
          <cell r="AP151" t="str">
            <v>N/A</v>
          </cell>
          <cell r="AS151" t="str">
            <v>Reuse 3273S 10x</v>
          </cell>
          <cell r="AT151" t="str">
            <v>N/A</v>
          </cell>
          <cell r="AU151" t="str">
            <v>1430T,1430AN,2963A</v>
          </cell>
          <cell r="AV151" t="str">
            <v>N/A</v>
          </cell>
        </row>
        <row r="152">
          <cell r="A152">
            <v>1444</v>
          </cell>
          <cell r="B152" t="str">
            <v>Cat #</v>
          </cell>
          <cell r="C152" t="str">
            <v>Bulk 2oz Bulb Syringe/ Allgegiance # 8794-1/200</v>
          </cell>
          <cell r="D152" t="str">
            <v>144 ETAL</v>
          </cell>
          <cell r="E152">
            <v>37306</v>
          </cell>
          <cell r="F152" t="str">
            <v>8794-1</v>
          </cell>
          <cell r="K152" t="str">
            <v>S-4</v>
          </cell>
          <cell r="L152" t="str">
            <v>N/A</v>
          </cell>
          <cell r="P152" t="str">
            <v>N/A</v>
          </cell>
          <cell r="Q152" t="str">
            <v>N/A</v>
          </cell>
          <cell r="R152" t="str">
            <v>8</v>
          </cell>
          <cell r="S152" t="str">
            <v>0</v>
          </cell>
          <cell r="T152" t="str">
            <v>1.5</v>
          </cell>
          <cell r="U152" t="str">
            <v>2.5</v>
          </cell>
          <cell r="V152">
            <v>200</v>
          </cell>
          <cell r="X152" t="str">
            <v>Manufacturing</v>
          </cell>
          <cell r="Y152" t="str">
            <v>N/A</v>
          </cell>
          <cell r="Z152" t="str">
            <v>N/A</v>
          </cell>
          <cell r="AA152" t="str">
            <v>R.F. Room</v>
          </cell>
          <cell r="AB152" t="str">
            <v>Non-Sterile</v>
          </cell>
          <cell r="AC152" t="str">
            <v>N/A</v>
          </cell>
          <cell r="AG152" t="str">
            <v>N/A</v>
          </cell>
          <cell r="AH152" t="str">
            <v>N/A</v>
          </cell>
          <cell r="AI152" t="str">
            <v>LATEX FREE</v>
          </cell>
          <cell r="AJ152" t="str">
            <v>Current</v>
          </cell>
          <cell r="AK152" t="str">
            <v>N/A</v>
          </cell>
          <cell r="AL152" t="str">
            <v>N/A</v>
          </cell>
          <cell r="AM152" t="str">
            <v>N/A</v>
          </cell>
          <cell r="AN152" t="str">
            <v>N/A</v>
          </cell>
          <cell r="AO152" t="str">
            <v>LF1444CSL</v>
          </cell>
          <cell r="AP152" t="str">
            <v>N/A</v>
          </cell>
          <cell r="AS152" t="str">
            <v>N/A</v>
          </cell>
          <cell r="AT152" t="str">
            <v>N/A</v>
          </cell>
          <cell r="AU152" t="str">
            <v>1420BN,2963A</v>
          </cell>
          <cell r="AV152" t="str">
            <v>N/A</v>
          </cell>
        </row>
        <row r="153">
          <cell r="A153">
            <v>1448</v>
          </cell>
          <cell r="C153" t="str">
            <v>Medl#03239 2ozBlb Syr/200</v>
          </cell>
          <cell r="D153" t="str">
            <v>144 ETAL</v>
          </cell>
          <cell r="E153">
            <v>37306</v>
          </cell>
          <cell r="K153" t="str">
            <v>S-4</v>
          </cell>
          <cell r="L153" t="str">
            <v>N/A</v>
          </cell>
          <cell r="P153" t="str">
            <v>N/A</v>
          </cell>
          <cell r="R153" t="str">
            <v>8</v>
          </cell>
          <cell r="S153" t="str">
            <v>0</v>
          </cell>
          <cell r="T153" t="str">
            <v>1.5</v>
          </cell>
          <cell r="U153" t="str">
            <v>2.5</v>
          </cell>
          <cell r="AB153" t="str">
            <v>Non-Sterile</v>
          </cell>
          <cell r="AG153" t="str">
            <v>N/A</v>
          </cell>
          <cell r="AJ153" t="str">
            <v>Discontinued</v>
          </cell>
        </row>
        <row r="154">
          <cell r="A154" t="str">
            <v>1454</v>
          </cell>
          <cell r="B154" t="str">
            <v>Cat #</v>
          </cell>
          <cell r="C154" t="str">
            <v>Bulk 3oz Bulb Syringe/ Allegiance # 8799 3oz/100</v>
          </cell>
          <cell r="D154" t="str">
            <v>144 ETAL</v>
          </cell>
          <cell r="E154">
            <v>37306</v>
          </cell>
          <cell r="F154" t="str">
            <v>8799</v>
          </cell>
          <cell r="K154" t="str">
            <v>S-4</v>
          </cell>
          <cell r="L154" t="str">
            <v>N/A</v>
          </cell>
          <cell r="P154" t="str">
            <v>N/A</v>
          </cell>
          <cell r="Q154" t="str">
            <v>N/A</v>
          </cell>
          <cell r="R154" t="str">
            <v>8</v>
          </cell>
          <cell r="S154" t="str">
            <v>0</v>
          </cell>
          <cell r="T154" t="str">
            <v>1.5</v>
          </cell>
          <cell r="U154" t="str">
            <v>2.5</v>
          </cell>
          <cell r="V154">
            <v>100</v>
          </cell>
          <cell r="X154" t="str">
            <v>Manufacturing</v>
          </cell>
          <cell r="Y154" t="str">
            <v>N/A</v>
          </cell>
          <cell r="Z154" t="str">
            <v>N/A</v>
          </cell>
          <cell r="AA154" t="str">
            <v>R.F. Room</v>
          </cell>
          <cell r="AB154" t="str">
            <v>Non-Sterile</v>
          </cell>
          <cell r="AC154" t="str">
            <v>N/A</v>
          </cell>
          <cell r="AG154" t="str">
            <v>N/A</v>
          </cell>
          <cell r="AH154" t="str">
            <v>N/A</v>
          </cell>
          <cell r="AI154" t="str">
            <v>LATEX FREE</v>
          </cell>
          <cell r="AJ154" t="str">
            <v>Current</v>
          </cell>
          <cell r="AK154" t="str">
            <v>N/A</v>
          </cell>
          <cell r="AL154" t="str">
            <v>N/A</v>
          </cell>
          <cell r="AM154" t="str">
            <v>N/A</v>
          </cell>
          <cell r="AN154" t="str">
            <v>N/A</v>
          </cell>
          <cell r="AO154" t="str">
            <v>LF1454CSL</v>
          </cell>
          <cell r="AP154" t="str">
            <v>N/A</v>
          </cell>
          <cell r="AS154" t="str">
            <v>N/A</v>
          </cell>
          <cell r="AT154" t="str">
            <v>N/A</v>
          </cell>
          <cell r="AU154" t="str">
            <v>1430BN,2963A</v>
          </cell>
          <cell r="AV154" t="str">
            <v>N/A</v>
          </cell>
        </row>
        <row r="155">
          <cell r="A155" t="str">
            <v>1464</v>
          </cell>
          <cell r="B155" t="str">
            <v>Cat #</v>
          </cell>
          <cell r="C155" t="str">
            <v>Bulk 1oz Bulb Syringe/ Allgiance # 65-2177/200</v>
          </cell>
          <cell r="D155" t="str">
            <v>144 ETAL</v>
          </cell>
          <cell r="E155">
            <v>37306</v>
          </cell>
          <cell r="F155" t="str">
            <v>65-2177</v>
          </cell>
          <cell r="K155" t="str">
            <v>S-4</v>
          </cell>
          <cell r="L155" t="str">
            <v>N/A</v>
          </cell>
          <cell r="P155" t="str">
            <v>N/A</v>
          </cell>
          <cell r="Q155" t="str">
            <v>N/A</v>
          </cell>
          <cell r="R155" t="str">
            <v>8</v>
          </cell>
          <cell r="S155" t="str">
            <v>0</v>
          </cell>
          <cell r="T155" t="str">
            <v>1.5</v>
          </cell>
          <cell r="U155" t="str">
            <v>2.5</v>
          </cell>
          <cell r="V155">
            <v>200</v>
          </cell>
          <cell r="X155" t="str">
            <v>Manufacturing</v>
          </cell>
          <cell r="Y155" t="str">
            <v>N/A</v>
          </cell>
          <cell r="Z155" t="str">
            <v>N/A</v>
          </cell>
          <cell r="AA155" t="str">
            <v>R.F. Room</v>
          </cell>
          <cell r="AB155" t="str">
            <v>Non-Sterile</v>
          </cell>
          <cell r="AC155" t="str">
            <v>N/A</v>
          </cell>
          <cell r="AG155" t="str">
            <v>N/A</v>
          </cell>
          <cell r="AH155" t="str">
            <v>N/A</v>
          </cell>
          <cell r="AI155" t="str">
            <v>LATEX FREE</v>
          </cell>
          <cell r="AJ155" t="str">
            <v>Current</v>
          </cell>
          <cell r="AK155" t="str">
            <v>N/A</v>
          </cell>
          <cell r="AL155" t="str">
            <v>N/A</v>
          </cell>
          <cell r="AM155" t="str">
            <v>N/A</v>
          </cell>
          <cell r="AN155" t="str">
            <v>N/A</v>
          </cell>
          <cell r="AO155" t="str">
            <v>LF1464SL</v>
          </cell>
          <cell r="AP155" t="str">
            <v>N/A</v>
          </cell>
          <cell r="AS155" t="str">
            <v>N/A</v>
          </cell>
          <cell r="AT155" t="str">
            <v>N/A</v>
          </cell>
          <cell r="AU155" t="str">
            <v>1410B,2963A</v>
          </cell>
          <cell r="AV155" t="str">
            <v>N/A</v>
          </cell>
        </row>
        <row r="156">
          <cell r="A156" t="str">
            <v>1502-1</v>
          </cell>
          <cell r="B156" t="str">
            <v>Comp #</v>
          </cell>
          <cell r="C156" t="str">
            <v>1/2" Handle - New Style/300</v>
          </cell>
          <cell r="D156" t="str">
            <v>1502 ETAL</v>
          </cell>
          <cell r="E156">
            <v>37404</v>
          </cell>
          <cell r="F156" t="str">
            <v>N/A</v>
          </cell>
          <cell r="K156" t="str">
            <v>S-4</v>
          </cell>
          <cell r="L156" t="str">
            <v>32</v>
          </cell>
          <cell r="P156" t="str">
            <v>N/A</v>
          </cell>
          <cell r="Q156" t="str">
            <v>N/A</v>
          </cell>
          <cell r="R156" t="str">
            <v>8</v>
          </cell>
          <cell r="S156" t="str">
            <v>0</v>
          </cell>
          <cell r="T156" t="str">
            <v>1.5</v>
          </cell>
          <cell r="U156" t="str">
            <v>2.5</v>
          </cell>
          <cell r="V156">
            <v>300</v>
          </cell>
          <cell r="W156" t="str">
            <v>S-4</v>
          </cell>
          <cell r="X156" t="str">
            <v>Manufacturing</v>
          </cell>
          <cell r="Y156" t="str">
            <v>N/A</v>
          </cell>
          <cell r="Z156" t="str">
            <v>N/A</v>
          </cell>
          <cell r="AA156" t="str">
            <v>Process Room</v>
          </cell>
          <cell r="AB156" t="str">
            <v>Non-Sterile</v>
          </cell>
          <cell r="AC156" t="str">
            <v>N/A</v>
          </cell>
          <cell r="AG156" t="str">
            <v>N/A</v>
          </cell>
          <cell r="AH156" t="str">
            <v>N/A</v>
          </cell>
          <cell r="AI156" t="str">
            <v>LATEX FREE</v>
          </cell>
          <cell r="AJ156" t="str">
            <v>Current</v>
          </cell>
          <cell r="AK156" t="str">
            <v>N/A</v>
          </cell>
          <cell r="AL156" t="str">
            <v>N/A</v>
          </cell>
          <cell r="AM156" t="str">
            <v>N/A</v>
          </cell>
          <cell r="AN156" t="str">
            <v>N/A</v>
          </cell>
          <cell r="AO156" t="str">
            <v>N/A</v>
          </cell>
          <cell r="AP156" t="str">
            <v>N/A</v>
          </cell>
          <cell r="AS156" t="str">
            <v>Reuse 3763S 10x</v>
          </cell>
          <cell r="AT156" t="str">
            <v>N/A</v>
          </cell>
          <cell r="AU156" t="str">
            <v>1517HS-1,1517SC-1,1517IR-1,1502HF-1,2963A</v>
          </cell>
          <cell r="AV156" t="str">
            <v>N/A</v>
          </cell>
        </row>
        <row r="157">
          <cell r="A157">
            <v>1506</v>
          </cell>
          <cell r="B157" t="str">
            <v>Cat #</v>
          </cell>
          <cell r="C157" t="str">
            <v>Bulk 1/2" Tubing Adapter/1000</v>
          </cell>
          <cell r="D157" t="str">
            <v>1506</v>
          </cell>
          <cell r="E157">
            <v>36171</v>
          </cell>
          <cell r="F157" t="str">
            <v>N/A</v>
          </cell>
          <cell r="K157" t="str">
            <v>S-4</v>
          </cell>
          <cell r="L157" t="str">
            <v>N/A</v>
          </cell>
          <cell r="P157" t="str">
            <v>20</v>
          </cell>
          <cell r="Q157" t="str">
            <v>N/A</v>
          </cell>
          <cell r="R157" t="str">
            <v>8</v>
          </cell>
          <cell r="S157" t="str">
            <v>0</v>
          </cell>
          <cell r="T157" t="str">
            <v>1.5</v>
          </cell>
          <cell r="U157" t="str">
            <v>2.5</v>
          </cell>
          <cell r="V157" t="str">
            <v>1000</v>
          </cell>
          <cell r="W157" t="str">
            <v>II</v>
          </cell>
          <cell r="X157" t="str">
            <v>Manufacturing</v>
          </cell>
          <cell r="Y157" t="str">
            <v>N/A</v>
          </cell>
          <cell r="Z157" t="str">
            <v>N/A</v>
          </cell>
          <cell r="AA157" t="str">
            <v>Process Room</v>
          </cell>
          <cell r="AB157" t="str">
            <v>Non-Sterile</v>
          </cell>
          <cell r="AC157" t="str">
            <v>N/A</v>
          </cell>
          <cell r="AG157" t="str">
            <v>N/A</v>
          </cell>
          <cell r="AH157" t="str">
            <v>N/A</v>
          </cell>
          <cell r="AI157" t="str">
            <v>LATEX FREE</v>
          </cell>
          <cell r="AJ157" t="str">
            <v>Current</v>
          </cell>
          <cell r="AK157" t="str">
            <v>N/A</v>
          </cell>
          <cell r="AL157" t="str">
            <v>N/A</v>
          </cell>
          <cell r="AM157" t="str">
            <v>N/A</v>
          </cell>
          <cell r="AN157" t="str">
            <v>N/A</v>
          </cell>
          <cell r="AO157" t="str">
            <v>LF1506CSL</v>
          </cell>
          <cell r="AP157" t="str">
            <v>N/A</v>
          </cell>
          <cell r="AS157" t="str">
            <v>N/A</v>
          </cell>
          <cell r="AT157" t="str">
            <v>N/A</v>
          </cell>
          <cell r="AU157" t="str">
            <v>1502TA-1,2963A</v>
          </cell>
          <cell r="AV157" t="str">
            <v>N/A</v>
          </cell>
        </row>
        <row r="158">
          <cell r="A158">
            <v>1508</v>
          </cell>
          <cell r="B158" t="str">
            <v>Cat #</v>
          </cell>
          <cell r="C158" t="str">
            <v>Bulk 1/2" Swivel Handle/250</v>
          </cell>
          <cell r="D158" t="str">
            <v>1508</v>
          </cell>
          <cell r="E158">
            <v>36171</v>
          </cell>
          <cell r="F158" t="str">
            <v>N/A</v>
          </cell>
          <cell r="K158" t="str">
            <v>S-4</v>
          </cell>
          <cell r="L158" t="str">
            <v>N/A</v>
          </cell>
          <cell r="P158" t="str">
            <v>20</v>
          </cell>
          <cell r="Q158" t="str">
            <v>N/A</v>
          </cell>
          <cell r="R158" t="str">
            <v>8</v>
          </cell>
          <cell r="S158" t="str">
            <v>0</v>
          </cell>
          <cell r="T158" t="str">
            <v>1.5</v>
          </cell>
          <cell r="U158" t="str">
            <v>2.5</v>
          </cell>
          <cell r="V158" t="str">
            <v>250</v>
          </cell>
          <cell r="W158" t="str">
            <v>II</v>
          </cell>
          <cell r="X158" t="str">
            <v>Manufacturing</v>
          </cell>
          <cell r="Y158" t="str">
            <v>N/A</v>
          </cell>
          <cell r="Z158" t="str">
            <v>N/A</v>
          </cell>
          <cell r="AA158" t="str">
            <v>Process Room</v>
          </cell>
          <cell r="AB158" t="str">
            <v>Non-Sterile</v>
          </cell>
          <cell r="AC158" t="str">
            <v>N/A</v>
          </cell>
          <cell r="AG158" t="str">
            <v>N/A</v>
          </cell>
          <cell r="AH158" t="str">
            <v>N/A</v>
          </cell>
          <cell r="AI158" t="str">
            <v>LATEX FREE</v>
          </cell>
          <cell r="AJ158" t="str">
            <v>Current</v>
          </cell>
          <cell r="AK158" t="str">
            <v>N/A</v>
          </cell>
          <cell r="AL158" t="str">
            <v>N/A</v>
          </cell>
          <cell r="AM158" t="str">
            <v>N/A</v>
          </cell>
          <cell r="AN158" t="str">
            <v>N/A</v>
          </cell>
          <cell r="AO158" t="str">
            <v>LF1508CSL</v>
          </cell>
          <cell r="AP158" t="str">
            <v>N/A</v>
          </cell>
          <cell r="AS158" t="str">
            <v>N/A</v>
          </cell>
          <cell r="AT158" t="str">
            <v>N/A</v>
          </cell>
          <cell r="AU158" t="str">
            <v>1502-1,2963A</v>
          </cell>
          <cell r="AV158" t="str">
            <v>N/A</v>
          </cell>
        </row>
        <row r="159">
          <cell r="A159">
            <v>1515</v>
          </cell>
          <cell r="C159" t="str">
            <v>O Ring White</v>
          </cell>
          <cell r="D159" t="str">
            <v>1420A ETAL</v>
          </cell>
          <cell r="E159">
            <v>37602</v>
          </cell>
          <cell r="F159" t="str">
            <v>N/A</v>
          </cell>
          <cell r="K159" t="str">
            <v>S-4</v>
          </cell>
          <cell r="L159" t="str">
            <v>N/A</v>
          </cell>
          <cell r="P159" t="str">
            <v>N/A</v>
          </cell>
          <cell r="Q159" t="str">
            <v>N/A</v>
          </cell>
          <cell r="R159" t="str">
            <v>8</v>
          </cell>
          <cell r="S159" t="str">
            <v>0</v>
          </cell>
          <cell r="T159" t="str">
            <v>1.5</v>
          </cell>
          <cell r="U159" t="str">
            <v>2.5</v>
          </cell>
          <cell r="W159" t="str">
            <v>S-4</v>
          </cell>
          <cell r="AB159" t="str">
            <v>Non-Sterile</v>
          </cell>
          <cell r="AJ159" t="str">
            <v>Discontinued</v>
          </cell>
        </row>
        <row r="160">
          <cell r="A160">
            <v>1517</v>
          </cell>
          <cell r="C160" t="str">
            <v>Assm Mold Hndl w/3/8 fitm</v>
          </cell>
          <cell r="D160" t="str">
            <v>1502 ETAL</v>
          </cell>
          <cell r="E160">
            <v>36691</v>
          </cell>
          <cell r="F160" t="str">
            <v>N/A</v>
          </cell>
          <cell r="W160" t="str">
            <v>S-4</v>
          </cell>
          <cell r="AB160" t="str">
            <v>Non-Sterile</v>
          </cell>
          <cell r="AJ160" t="str">
            <v>Discontinued</v>
          </cell>
        </row>
        <row r="161">
          <cell r="A161" t="str">
            <v>1517-1</v>
          </cell>
          <cell r="B161" t="str">
            <v>Comp #</v>
          </cell>
          <cell r="C161" t="str">
            <v>3/8" Handle - New Style/300</v>
          </cell>
          <cell r="D161" t="str">
            <v>1502 ETAL</v>
          </cell>
          <cell r="E161">
            <v>37404</v>
          </cell>
          <cell r="F161" t="str">
            <v>N/A</v>
          </cell>
          <cell r="K161" t="str">
            <v>S-4</v>
          </cell>
          <cell r="L161" t="str">
            <v>32</v>
          </cell>
          <cell r="P161" t="str">
            <v>N/A</v>
          </cell>
          <cell r="Q161" t="str">
            <v>N/A</v>
          </cell>
          <cell r="R161" t="str">
            <v>8</v>
          </cell>
          <cell r="S161" t="str">
            <v>0</v>
          </cell>
          <cell r="T161" t="str">
            <v>1.5</v>
          </cell>
          <cell r="U161" t="str">
            <v>2.5</v>
          </cell>
          <cell r="V161">
            <v>300</v>
          </cell>
          <cell r="X161" t="str">
            <v>Manufacturing</v>
          </cell>
          <cell r="Y161" t="str">
            <v>N/A</v>
          </cell>
          <cell r="Z161" t="str">
            <v>N/A</v>
          </cell>
          <cell r="AA161" t="str">
            <v>Process Room</v>
          </cell>
          <cell r="AB161" t="str">
            <v>Non-Sterile</v>
          </cell>
          <cell r="AC161" t="str">
            <v>N/A</v>
          </cell>
          <cell r="AG161" t="str">
            <v>N/A</v>
          </cell>
          <cell r="AH161" t="str">
            <v>N/A</v>
          </cell>
          <cell r="AI161" t="str">
            <v>LATEX FREE</v>
          </cell>
          <cell r="AJ161" t="str">
            <v>Current</v>
          </cell>
          <cell r="AK161" t="str">
            <v>N/A</v>
          </cell>
          <cell r="AL161" t="str">
            <v>N/A</v>
          </cell>
          <cell r="AM161" t="str">
            <v>N/A</v>
          </cell>
          <cell r="AN161" t="str">
            <v>N/A</v>
          </cell>
          <cell r="AO161" t="str">
            <v>N/A</v>
          </cell>
          <cell r="AP161" t="str">
            <v>N/A</v>
          </cell>
          <cell r="AS161" t="str">
            <v>Reuse 3763S 10x</v>
          </cell>
          <cell r="AT161" t="str">
            <v>N/A</v>
          </cell>
          <cell r="AU161" t="str">
            <v>1517HS-1,1517SC-1,1517IR-1,1517HF-1,2963A</v>
          </cell>
          <cell r="AV161" t="str">
            <v>N/A</v>
          </cell>
        </row>
        <row r="162">
          <cell r="A162">
            <v>1612</v>
          </cell>
          <cell r="B162" t="str">
            <v>Cat #</v>
          </cell>
          <cell r="C162" t="str">
            <v>Bulk 8 FR. Frazier/700</v>
          </cell>
          <cell r="D162" t="str">
            <v>1612 ETAL</v>
          </cell>
          <cell r="E162">
            <v>37068</v>
          </cell>
          <cell r="F162" t="str">
            <v>N/A</v>
          </cell>
          <cell r="K162" t="str">
            <v>S-4</v>
          </cell>
          <cell r="L162" t="str">
            <v>N/A</v>
          </cell>
          <cell r="P162" t="str">
            <v>48</v>
          </cell>
          <cell r="Q162" t="str">
            <v>N/A</v>
          </cell>
          <cell r="R162" t="str">
            <v>8</v>
          </cell>
          <cell r="S162" t="str">
            <v>0</v>
          </cell>
          <cell r="T162" t="str">
            <v>1.5</v>
          </cell>
          <cell r="U162" t="str">
            <v>2.5</v>
          </cell>
          <cell r="V162">
            <v>700</v>
          </cell>
          <cell r="W162" t="str">
            <v>S-4</v>
          </cell>
          <cell r="X162" t="str">
            <v>Manufacturing</v>
          </cell>
          <cell r="Y162" t="str">
            <v>N/A</v>
          </cell>
          <cell r="Z162" t="str">
            <v>N/A</v>
          </cell>
          <cell r="AA162" t="str">
            <v>Process Room</v>
          </cell>
          <cell r="AB162" t="str">
            <v>Non-Sterile</v>
          </cell>
          <cell r="AC162" t="str">
            <v>N/A</v>
          </cell>
          <cell r="AG162" t="str">
            <v>N/A</v>
          </cell>
          <cell r="AH162" t="str">
            <v>N/A</v>
          </cell>
          <cell r="AI162" t="str">
            <v>LATEX FREE</v>
          </cell>
          <cell r="AJ162" t="str">
            <v>Current</v>
          </cell>
          <cell r="AK162" t="str">
            <v>N/A</v>
          </cell>
          <cell r="AL162" t="str">
            <v>N/A</v>
          </cell>
          <cell r="AM162" t="str">
            <v>N/A</v>
          </cell>
          <cell r="AN162" t="str">
            <v>N/A</v>
          </cell>
          <cell r="AO162" t="str">
            <v>LF1612SL</v>
          </cell>
          <cell r="AP162" t="str">
            <v>N/A</v>
          </cell>
          <cell r="AS162" t="str">
            <v>N/A</v>
          </cell>
          <cell r="AT162" t="str">
            <v>N/A</v>
          </cell>
          <cell r="AU162" t="str">
            <v>1627B,2963A</v>
          </cell>
          <cell r="AV162" t="str">
            <v>N/A</v>
          </cell>
        </row>
        <row r="163">
          <cell r="A163">
            <v>1613</v>
          </cell>
          <cell r="B163" t="str">
            <v>Cat #</v>
          </cell>
          <cell r="C163" t="str">
            <v>Bulk 10 FR. Frazier /700</v>
          </cell>
          <cell r="D163" t="str">
            <v>1612 ETAL</v>
          </cell>
          <cell r="E163">
            <v>37068</v>
          </cell>
          <cell r="F163" t="str">
            <v>N/A</v>
          </cell>
          <cell r="K163" t="str">
            <v>S-4</v>
          </cell>
          <cell r="L163" t="str">
            <v>N/A</v>
          </cell>
          <cell r="P163" t="str">
            <v>48</v>
          </cell>
          <cell r="Q163" t="str">
            <v>N/A</v>
          </cell>
          <cell r="R163" t="str">
            <v>8</v>
          </cell>
          <cell r="S163" t="str">
            <v>0</v>
          </cell>
          <cell r="T163" t="str">
            <v>1.5</v>
          </cell>
          <cell r="U163" t="str">
            <v>2.5</v>
          </cell>
          <cell r="V163">
            <v>700</v>
          </cell>
          <cell r="W163" t="str">
            <v>S-4</v>
          </cell>
          <cell r="X163" t="str">
            <v>Manufacturing</v>
          </cell>
          <cell r="Y163" t="str">
            <v>N/A</v>
          </cell>
          <cell r="Z163" t="str">
            <v>N/A</v>
          </cell>
          <cell r="AA163" t="str">
            <v>Process Room</v>
          </cell>
          <cell r="AB163" t="str">
            <v>Non-Sterile</v>
          </cell>
          <cell r="AC163" t="str">
            <v>N/A</v>
          </cell>
          <cell r="AG163" t="str">
            <v>N/A</v>
          </cell>
          <cell r="AH163" t="str">
            <v>N/A</v>
          </cell>
          <cell r="AI163" t="str">
            <v>LATEX FREE</v>
          </cell>
          <cell r="AJ163" t="str">
            <v>Current</v>
          </cell>
          <cell r="AK163" t="str">
            <v>N/A</v>
          </cell>
          <cell r="AL163" t="str">
            <v>N/A</v>
          </cell>
          <cell r="AM163" t="str">
            <v>N/A</v>
          </cell>
          <cell r="AN163" t="str">
            <v>N/A</v>
          </cell>
          <cell r="AO163" t="str">
            <v>LF1613SL</v>
          </cell>
          <cell r="AP163" t="str">
            <v>N/A</v>
          </cell>
          <cell r="AS163" t="str">
            <v>N/A</v>
          </cell>
          <cell r="AT163" t="str">
            <v>N/A</v>
          </cell>
          <cell r="AU163" t="str">
            <v>1637B,2963A</v>
          </cell>
          <cell r="AV163" t="str">
            <v>N/A</v>
          </cell>
        </row>
        <row r="164">
          <cell r="A164" t="str">
            <v>1627A-1</v>
          </cell>
          <cell r="B164" t="str">
            <v>Comp #</v>
          </cell>
          <cell r="C164" t="str">
            <v>8 FR Frazier Tube, Chamfered And Swaged/24000</v>
          </cell>
          <cell r="F164" t="str">
            <v>N/A</v>
          </cell>
          <cell r="Q164" t="str">
            <v>N/A</v>
          </cell>
          <cell r="V164">
            <v>24000</v>
          </cell>
          <cell r="X164" t="str">
            <v>Manufacturing</v>
          </cell>
          <cell r="Y164" t="str">
            <v>N/A</v>
          </cell>
          <cell r="Z164" t="str">
            <v>N/A</v>
          </cell>
          <cell r="AA164" t="str">
            <v>Process Room</v>
          </cell>
          <cell r="AB164" t="str">
            <v>Non-Sterile</v>
          </cell>
          <cell r="AC164" t="str">
            <v>N/A</v>
          </cell>
          <cell r="AG164" t="str">
            <v>N/A</v>
          </cell>
          <cell r="AH164" t="str">
            <v>Y</v>
          </cell>
          <cell r="AI164" t="str">
            <v>LATEX FREE</v>
          </cell>
          <cell r="AJ164" t="str">
            <v>Current</v>
          </cell>
          <cell r="AK164" t="str">
            <v>N/A</v>
          </cell>
          <cell r="AL164" t="str">
            <v>N/A</v>
          </cell>
          <cell r="AM164" t="str">
            <v>N/A</v>
          </cell>
          <cell r="AN164" t="str">
            <v>N/A</v>
          </cell>
          <cell r="AO164" t="str">
            <v>N/A</v>
          </cell>
          <cell r="AP164" t="str">
            <v>N/A</v>
          </cell>
          <cell r="AS164" t="str">
            <v>Identification Label</v>
          </cell>
          <cell r="AT164" t="str">
            <v>N/A</v>
          </cell>
          <cell r="AU164" t="str">
            <v>N/A</v>
          </cell>
          <cell r="AV164" t="str">
            <v>1627A,7257</v>
          </cell>
        </row>
        <row r="165">
          <cell r="A165" t="str">
            <v>1627A-2</v>
          </cell>
          <cell r="B165" t="str">
            <v>Comp #</v>
          </cell>
          <cell r="C165" t="str">
            <v>8 FR Frazier Tube, Anodized (Out side Vendor)</v>
          </cell>
          <cell r="F165" t="str">
            <v>N/A</v>
          </cell>
          <cell r="Q165" t="str">
            <v>N/A</v>
          </cell>
          <cell r="V165">
            <v>1</v>
          </cell>
          <cell r="X165" t="str">
            <v>Manufacturing</v>
          </cell>
          <cell r="Y165" t="str">
            <v>N/A</v>
          </cell>
          <cell r="Z165" t="str">
            <v>N/A</v>
          </cell>
          <cell r="AA165" t="str">
            <v>Process Room</v>
          </cell>
          <cell r="AB165" t="str">
            <v>Non-Sterile</v>
          </cell>
          <cell r="AC165" t="str">
            <v>N/A</v>
          </cell>
          <cell r="AG165" t="str">
            <v>N/A</v>
          </cell>
          <cell r="AH165" t="str">
            <v>Y</v>
          </cell>
          <cell r="AI165" t="str">
            <v>LATEX FREE</v>
          </cell>
          <cell r="AJ165" t="str">
            <v>Current</v>
          </cell>
          <cell r="AK165" t="str">
            <v>N/A</v>
          </cell>
          <cell r="AL165" t="str">
            <v>N/A</v>
          </cell>
          <cell r="AM165" t="str">
            <v>N/A</v>
          </cell>
          <cell r="AN165" t="str">
            <v>N/A</v>
          </cell>
          <cell r="AO165" t="str">
            <v>N/A</v>
          </cell>
          <cell r="AP165" t="str">
            <v>N/A</v>
          </cell>
          <cell r="AS165" t="str">
            <v>N/A</v>
          </cell>
          <cell r="AT165" t="str">
            <v>N/A</v>
          </cell>
          <cell r="AU165" t="str">
            <v>N/A</v>
          </cell>
          <cell r="AV165" t="str">
            <v>1627A-1</v>
          </cell>
        </row>
        <row r="166">
          <cell r="A166" t="str">
            <v>1627B</v>
          </cell>
          <cell r="B166" t="str">
            <v>Comp #</v>
          </cell>
          <cell r="C166" t="str">
            <v>8 FR Frazier Suction Instrument/700</v>
          </cell>
          <cell r="D166" t="str">
            <v>1622B ETAL</v>
          </cell>
          <cell r="E166">
            <v>37099</v>
          </cell>
          <cell r="F166" t="str">
            <v>N/A</v>
          </cell>
          <cell r="K166" t="str">
            <v>S-4</v>
          </cell>
          <cell r="L166" t="str">
            <v>16</v>
          </cell>
          <cell r="P166" t="str">
            <v>32</v>
          </cell>
          <cell r="Q166" t="str">
            <v>N/A</v>
          </cell>
          <cell r="R166" t="str">
            <v>4</v>
          </cell>
          <cell r="S166" t="str">
            <v>0</v>
          </cell>
          <cell r="T166" t="str">
            <v>1.5</v>
          </cell>
          <cell r="U166" t="str">
            <v>2.5</v>
          </cell>
          <cell r="V166">
            <v>700</v>
          </cell>
          <cell r="X166" t="str">
            <v>Injection Moding</v>
          </cell>
          <cell r="Y166" t="str">
            <v>N/A</v>
          </cell>
          <cell r="Z166" t="str">
            <v>N/A</v>
          </cell>
          <cell r="AA166" t="str">
            <v>Arburg</v>
          </cell>
          <cell r="AB166" t="str">
            <v>Non-Sterile</v>
          </cell>
          <cell r="AC166" t="str">
            <v>N/A</v>
          </cell>
          <cell r="AG166" t="str">
            <v>N/A</v>
          </cell>
          <cell r="AH166" t="str">
            <v>Y</v>
          </cell>
          <cell r="AI166" t="str">
            <v>LATEX FREE</v>
          </cell>
          <cell r="AJ166" t="str">
            <v>Current</v>
          </cell>
          <cell r="AK166" t="str">
            <v>N/A</v>
          </cell>
          <cell r="AL166" t="str">
            <v>N/A</v>
          </cell>
          <cell r="AM166" t="str">
            <v>N/A</v>
          </cell>
          <cell r="AN166" t="str">
            <v>N/A</v>
          </cell>
          <cell r="AO166" t="str">
            <v>N/A</v>
          </cell>
          <cell r="AP166" t="str">
            <v>N/A</v>
          </cell>
          <cell r="AS166" t="str">
            <v>Identification Label</v>
          </cell>
          <cell r="AT166" t="str">
            <v>N/A</v>
          </cell>
          <cell r="AU166" t="str">
            <v>N/A</v>
          </cell>
          <cell r="AV166" t="str">
            <v>1633A,1633C,1627A-2,1625-1,2963A</v>
          </cell>
        </row>
        <row r="167">
          <cell r="A167" t="str">
            <v>1632A</v>
          </cell>
          <cell r="B167" t="str">
            <v>Comp #</v>
          </cell>
          <cell r="C167" t="str">
            <v>10 FR Frazier Tube, Anodized, Swaged</v>
          </cell>
          <cell r="F167" t="str">
            <v>N/A</v>
          </cell>
          <cell r="Q167" t="str">
            <v>N/A</v>
          </cell>
          <cell r="V167" t="str">
            <v>N/A</v>
          </cell>
          <cell r="X167" t="str">
            <v>Manufacturing</v>
          </cell>
          <cell r="Y167" t="str">
            <v>N/A</v>
          </cell>
          <cell r="Z167" t="str">
            <v>N/A</v>
          </cell>
          <cell r="AA167" t="str">
            <v>Process Room</v>
          </cell>
          <cell r="AB167" t="str">
            <v>Non-Sterile</v>
          </cell>
          <cell r="AC167" t="str">
            <v>N/A</v>
          </cell>
          <cell r="AG167" t="str">
            <v>N/A</v>
          </cell>
          <cell r="AH167" t="str">
            <v>N/A</v>
          </cell>
          <cell r="AI167" t="str">
            <v>LATEX FREE</v>
          </cell>
          <cell r="AJ167" t="str">
            <v>Discontinued</v>
          </cell>
          <cell r="AK167" t="str">
            <v>N/A</v>
          </cell>
          <cell r="AL167" t="str">
            <v>N/A</v>
          </cell>
          <cell r="AM167" t="str">
            <v>N/A</v>
          </cell>
          <cell r="AN167" t="str">
            <v>N/A</v>
          </cell>
          <cell r="AO167" t="str">
            <v>N/A</v>
          </cell>
          <cell r="AP167" t="str">
            <v>N/A</v>
          </cell>
          <cell r="AS167" t="str">
            <v>N/A</v>
          </cell>
          <cell r="AT167" t="str">
            <v>N/A</v>
          </cell>
          <cell r="AU167" t="str">
            <v>N/A</v>
          </cell>
          <cell r="AV167" t="str">
            <v>1631A-1</v>
          </cell>
        </row>
        <row r="168">
          <cell r="A168" t="str">
            <v>1637A-1</v>
          </cell>
          <cell r="B168" t="str">
            <v>Comp #</v>
          </cell>
          <cell r="C168" t="str">
            <v>10 FR Frazier Tube, Chamfered and Swaged/23000</v>
          </cell>
          <cell r="D168" t="str">
            <v>1637A-1</v>
          </cell>
          <cell r="E168">
            <v>37081</v>
          </cell>
          <cell r="F168" t="str">
            <v>N/A</v>
          </cell>
          <cell r="K168" t="str">
            <v>S-4</v>
          </cell>
          <cell r="L168" t="str">
            <v>N/A</v>
          </cell>
          <cell r="P168" t="str">
            <v>32</v>
          </cell>
          <cell r="Q168" t="str">
            <v>N/A</v>
          </cell>
          <cell r="R168" t="str">
            <v>8</v>
          </cell>
          <cell r="S168" t="str">
            <v>0</v>
          </cell>
          <cell r="T168" t="str">
            <v>1.5</v>
          </cell>
          <cell r="U168" t="str">
            <v>2.5</v>
          </cell>
          <cell r="V168">
            <v>23000</v>
          </cell>
          <cell r="X168" t="str">
            <v>Manufacturing</v>
          </cell>
          <cell r="Y168" t="str">
            <v>N/A</v>
          </cell>
          <cell r="Z168" t="str">
            <v>N/A</v>
          </cell>
          <cell r="AA168" t="str">
            <v>Process Room</v>
          </cell>
          <cell r="AB168" t="str">
            <v>Non-Sterile</v>
          </cell>
          <cell r="AC168" t="str">
            <v>N/A</v>
          </cell>
          <cell r="AG168" t="str">
            <v>N/A</v>
          </cell>
          <cell r="AH168" t="str">
            <v>Y</v>
          </cell>
          <cell r="AI168" t="str">
            <v>LATEX FREE</v>
          </cell>
          <cell r="AJ168" t="str">
            <v>Current</v>
          </cell>
          <cell r="AK168" t="str">
            <v>N/A</v>
          </cell>
          <cell r="AL168" t="str">
            <v>N/A</v>
          </cell>
          <cell r="AM168" t="str">
            <v>N/A</v>
          </cell>
          <cell r="AN168" t="str">
            <v>N/A</v>
          </cell>
          <cell r="AO168" t="str">
            <v>N/A</v>
          </cell>
          <cell r="AP168" t="str">
            <v>N/A</v>
          </cell>
          <cell r="AS168" t="str">
            <v>Identification Label</v>
          </cell>
          <cell r="AT168" t="str">
            <v>N/A</v>
          </cell>
          <cell r="AU168" t="str">
            <v>N/A</v>
          </cell>
          <cell r="AV168" t="str">
            <v>1637A,7257</v>
          </cell>
        </row>
        <row r="169">
          <cell r="A169" t="str">
            <v>1637A-2</v>
          </cell>
          <cell r="B169" t="str">
            <v>Comp #</v>
          </cell>
          <cell r="C169" t="str">
            <v>10 FR Frazier Tube, Anodized (Outside Vendor)</v>
          </cell>
          <cell r="F169" t="str">
            <v>N/A</v>
          </cell>
          <cell r="Q169" t="str">
            <v>N/A</v>
          </cell>
          <cell r="V169">
            <v>1</v>
          </cell>
          <cell r="X169" t="str">
            <v>Manufacturing</v>
          </cell>
          <cell r="Y169" t="str">
            <v>N/A</v>
          </cell>
          <cell r="Z169" t="str">
            <v>N/A</v>
          </cell>
          <cell r="AA169" t="str">
            <v>Process Room</v>
          </cell>
          <cell r="AB169" t="str">
            <v>Non-Sterile</v>
          </cell>
          <cell r="AC169" t="str">
            <v>N/A</v>
          </cell>
          <cell r="AG169" t="str">
            <v>N/A</v>
          </cell>
          <cell r="AH169" t="str">
            <v>Y</v>
          </cell>
          <cell r="AI169" t="str">
            <v>LATEX FREE</v>
          </cell>
          <cell r="AJ169" t="str">
            <v>Current</v>
          </cell>
          <cell r="AK169" t="str">
            <v>N/A</v>
          </cell>
          <cell r="AL169" t="str">
            <v>N/A</v>
          </cell>
          <cell r="AM169" t="str">
            <v>N/A</v>
          </cell>
          <cell r="AN169" t="str">
            <v>N/A</v>
          </cell>
          <cell r="AO169" t="str">
            <v>N/A</v>
          </cell>
          <cell r="AP169" t="str">
            <v>N/A</v>
          </cell>
          <cell r="AS169" t="str">
            <v>N/A</v>
          </cell>
          <cell r="AT169" t="str">
            <v>N/A</v>
          </cell>
          <cell r="AU169" t="str">
            <v>N/A</v>
          </cell>
          <cell r="AV169" t="str">
            <v>1637A-1</v>
          </cell>
        </row>
        <row r="170">
          <cell r="A170" t="str">
            <v>1637B</v>
          </cell>
          <cell r="B170" t="str">
            <v>Comp #</v>
          </cell>
          <cell r="C170" t="str">
            <v>10 FR Frazier Suction Instrument/700</v>
          </cell>
          <cell r="D170" t="str">
            <v>1622B ETAL</v>
          </cell>
          <cell r="E170">
            <v>37099</v>
          </cell>
          <cell r="F170" t="str">
            <v>N/A</v>
          </cell>
          <cell r="K170" t="str">
            <v>S-4</v>
          </cell>
          <cell r="L170" t="str">
            <v>16</v>
          </cell>
          <cell r="P170" t="str">
            <v>32</v>
          </cell>
          <cell r="Q170" t="str">
            <v>N/A</v>
          </cell>
          <cell r="R170" t="str">
            <v>4</v>
          </cell>
          <cell r="S170" t="str">
            <v>0</v>
          </cell>
          <cell r="T170" t="str">
            <v>1.5</v>
          </cell>
          <cell r="U170" t="str">
            <v>2.5</v>
          </cell>
          <cell r="V170">
            <v>700</v>
          </cell>
          <cell r="X170" t="str">
            <v>Manufacturing</v>
          </cell>
          <cell r="Y170" t="str">
            <v>N/A</v>
          </cell>
          <cell r="Z170" t="str">
            <v>N/A</v>
          </cell>
          <cell r="AA170" t="str">
            <v>Injection Molding</v>
          </cell>
          <cell r="AB170" t="str">
            <v>Non-Sterile</v>
          </cell>
          <cell r="AC170" t="str">
            <v>N/A</v>
          </cell>
          <cell r="AG170" t="str">
            <v>N/A</v>
          </cell>
          <cell r="AH170" t="str">
            <v>Y</v>
          </cell>
          <cell r="AI170" t="str">
            <v>LATEX FREE</v>
          </cell>
          <cell r="AJ170" t="str">
            <v>Current</v>
          </cell>
          <cell r="AK170" t="str">
            <v>N/A</v>
          </cell>
          <cell r="AL170" t="str">
            <v>N/A</v>
          </cell>
          <cell r="AM170" t="str">
            <v>N/A</v>
          </cell>
          <cell r="AN170" t="str">
            <v>N/A</v>
          </cell>
          <cell r="AO170" t="str">
            <v>N/A</v>
          </cell>
          <cell r="AP170" t="str">
            <v>N/A</v>
          </cell>
          <cell r="AS170" t="str">
            <v>N/A</v>
          </cell>
          <cell r="AT170" t="str">
            <v>N/A</v>
          </cell>
          <cell r="AU170" t="str">
            <v>N/A</v>
          </cell>
          <cell r="AV170" t="str">
            <v>1633A,1633C,1637A-2,1635-1,2963A</v>
          </cell>
        </row>
        <row r="171">
          <cell r="A171" t="str">
            <v>1647B</v>
          </cell>
          <cell r="B171" t="str">
            <v>Comp#</v>
          </cell>
          <cell r="C171" t="str">
            <v>12 FR Frazier Suction instrument/700</v>
          </cell>
          <cell r="D171" t="str">
            <v>1622B ETAL</v>
          </cell>
          <cell r="E171">
            <v>37099</v>
          </cell>
          <cell r="F171" t="str">
            <v>N/A</v>
          </cell>
          <cell r="K171" t="str">
            <v>S-4</v>
          </cell>
          <cell r="L171" t="str">
            <v>16</v>
          </cell>
          <cell r="P171" t="str">
            <v>32</v>
          </cell>
          <cell r="Q171" t="str">
            <v>N/A</v>
          </cell>
          <cell r="R171" t="str">
            <v>4</v>
          </cell>
          <cell r="S171" t="str">
            <v>0</v>
          </cell>
          <cell r="T171" t="str">
            <v>1.5</v>
          </cell>
          <cell r="U171" t="str">
            <v>2.5</v>
          </cell>
          <cell r="V171">
            <v>700</v>
          </cell>
          <cell r="X171" t="str">
            <v>Injection Moding</v>
          </cell>
          <cell r="Y171" t="str">
            <v>N/A</v>
          </cell>
          <cell r="Z171" t="str">
            <v>N/A</v>
          </cell>
          <cell r="AA171" t="str">
            <v>Injection Molding</v>
          </cell>
          <cell r="AB171" t="str">
            <v>Non-Sterile</v>
          </cell>
          <cell r="AC171" t="str">
            <v>N/A</v>
          </cell>
          <cell r="AG171" t="str">
            <v>N/A</v>
          </cell>
          <cell r="AH171" t="str">
            <v>Y</v>
          </cell>
          <cell r="AI171" t="str">
            <v>LATEX FREE</v>
          </cell>
          <cell r="AJ171" t="str">
            <v>Current</v>
          </cell>
          <cell r="AK171" t="str">
            <v>N/A</v>
          </cell>
          <cell r="AL171" t="str">
            <v>N/A</v>
          </cell>
          <cell r="AM171" t="str">
            <v>N/A</v>
          </cell>
          <cell r="AN171" t="str">
            <v>N/A</v>
          </cell>
          <cell r="AO171" t="str">
            <v>N/A</v>
          </cell>
          <cell r="AP171" t="str">
            <v>N/A</v>
          </cell>
          <cell r="AS171" t="str">
            <v>Reuse 6988S 10x</v>
          </cell>
          <cell r="AT171" t="str">
            <v>N/A</v>
          </cell>
          <cell r="AU171" t="str">
            <v>N/A</v>
          </cell>
          <cell r="AV171" t="str">
            <v>1633A,1633C,1647A-1,1645-1,2963A</v>
          </cell>
        </row>
        <row r="172">
          <cell r="A172" t="str">
            <v>1647A-1</v>
          </cell>
          <cell r="B172" t="str">
            <v>Comp #</v>
          </cell>
          <cell r="C172" t="str">
            <v>12 FR Frazier Tube, Chamfered and Swaged/200</v>
          </cell>
          <cell r="F172" t="str">
            <v>N/A</v>
          </cell>
          <cell r="Q172" t="str">
            <v>N/A</v>
          </cell>
          <cell r="V172">
            <v>200</v>
          </cell>
          <cell r="X172" t="str">
            <v>Manufacturing</v>
          </cell>
          <cell r="Y172" t="str">
            <v>N/A</v>
          </cell>
          <cell r="Z172" t="str">
            <v>N/A</v>
          </cell>
          <cell r="AA172" t="str">
            <v>Process Room</v>
          </cell>
          <cell r="AB172" t="str">
            <v>Non-Sterile</v>
          </cell>
          <cell r="AC172" t="str">
            <v>N/A</v>
          </cell>
          <cell r="AG172" t="str">
            <v>N/A</v>
          </cell>
          <cell r="AH172" t="str">
            <v>Y</v>
          </cell>
          <cell r="AI172" t="str">
            <v>LATEX FREE</v>
          </cell>
          <cell r="AJ172" t="str">
            <v>Current</v>
          </cell>
          <cell r="AK172" t="str">
            <v>N/A</v>
          </cell>
          <cell r="AL172" t="str">
            <v>N/A</v>
          </cell>
          <cell r="AM172" t="str">
            <v>N/A</v>
          </cell>
          <cell r="AN172" t="str">
            <v>N/A</v>
          </cell>
          <cell r="AO172" t="str">
            <v>N/A</v>
          </cell>
          <cell r="AP172" t="str">
            <v>N/A</v>
          </cell>
          <cell r="AS172" t="str">
            <v>Identification Label</v>
          </cell>
          <cell r="AT172" t="str">
            <v>N/A</v>
          </cell>
          <cell r="AU172" t="str">
            <v>N/A</v>
          </cell>
          <cell r="AV172" t="str">
            <v>1647A,7257</v>
          </cell>
        </row>
        <row r="173">
          <cell r="A173" t="str">
            <v>1647A-2</v>
          </cell>
          <cell r="B173" t="str">
            <v>Comp #</v>
          </cell>
          <cell r="C173" t="str">
            <v>12 FR Frazier Tube, Anodized (Outside Vendor)</v>
          </cell>
          <cell r="F173" t="str">
            <v>N/A</v>
          </cell>
          <cell r="Q173" t="str">
            <v>N/A</v>
          </cell>
          <cell r="V173">
            <v>1</v>
          </cell>
          <cell r="X173" t="str">
            <v>Manufacturing</v>
          </cell>
          <cell r="Y173" t="str">
            <v>N/A</v>
          </cell>
          <cell r="Z173" t="str">
            <v>N/A</v>
          </cell>
          <cell r="AA173" t="str">
            <v>Process Room</v>
          </cell>
          <cell r="AB173" t="str">
            <v>Non-Sterile</v>
          </cell>
          <cell r="AC173" t="str">
            <v>N/A</v>
          </cell>
          <cell r="AG173" t="str">
            <v>N/A</v>
          </cell>
          <cell r="AH173" t="str">
            <v>Y</v>
          </cell>
          <cell r="AI173" t="str">
            <v>LATEX FREE</v>
          </cell>
          <cell r="AJ173" t="str">
            <v>Current</v>
          </cell>
          <cell r="AK173" t="str">
            <v>N/A</v>
          </cell>
          <cell r="AL173" t="str">
            <v>N/A</v>
          </cell>
          <cell r="AM173" t="str">
            <v>N/A</v>
          </cell>
          <cell r="AN173" t="str">
            <v>N/A</v>
          </cell>
          <cell r="AO173" t="str">
            <v>N/A</v>
          </cell>
          <cell r="AP173" t="str">
            <v>N/A</v>
          </cell>
          <cell r="AS173" t="str">
            <v>N/A</v>
          </cell>
          <cell r="AT173" t="str">
            <v>N/A</v>
          </cell>
          <cell r="AU173" t="str">
            <v>N/A</v>
          </cell>
          <cell r="AV173" t="str">
            <v>1647A-1</v>
          </cell>
        </row>
        <row r="174">
          <cell r="A174">
            <v>1649</v>
          </cell>
          <cell r="B174" t="str">
            <v>Cat #</v>
          </cell>
          <cell r="C174" t="str">
            <v>Bulk 12FR Frazier Suction Instrument/700</v>
          </cell>
          <cell r="D174" t="str">
            <v>1612 ETAL</v>
          </cell>
          <cell r="E174">
            <v>37068</v>
          </cell>
          <cell r="F174" t="str">
            <v>N/A</v>
          </cell>
          <cell r="K174" t="str">
            <v>S-4</v>
          </cell>
          <cell r="L174" t="str">
            <v>N/A</v>
          </cell>
          <cell r="P174" t="str">
            <v>48</v>
          </cell>
          <cell r="Q174" t="str">
            <v>N/A</v>
          </cell>
          <cell r="R174" t="str">
            <v>8</v>
          </cell>
          <cell r="S174" t="str">
            <v>0</v>
          </cell>
          <cell r="T174" t="str">
            <v>1.5</v>
          </cell>
          <cell r="U174" t="str">
            <v>2.5</v>
          </cell>
          <cell r="V174">
            <v>700</v>
          </cell>
          <cell r="W174" t="str">
            <v>S-4</v>
          </cell>
          <cell r="X174" t="str">
            <v>Manufacturing</v>
          </cell>
          <cell r="Y174" t="str">
            <v>N/A</v>
          </cell>
          <cell r="Z174" t="str">
            <v>N/A</v>
          </cell>
          <cell r="AA174" t="str">
            <v>Process Room</v>
          </cell>
          <cell r="AB174" t="str">
            <v>Non-Sterile</v>
          </cell>
          <cell r="AC174" t="str">
            <v>N/A</v>
          </cell>
          <cell r="AG174" t="str">
            <v>N/A</v>
          </cell>
          <cell r="AH174" t="str">
            <v>Y</v>
          </cell>
          <cell r="AI174" t="str">
            <v>LATEX FREE</v>
          </cell>
          <cell r="AJ174" t="str">
            <v>Current</v>
          </cell>
          <cell r="AK174" t="str">
            <v>N/A</v>
          </cell>
          <cell r="AL174" t="str">
            <v>N/A</v>
          </cell>
          <cell r="AM174" t="str">
            <v>N/A</v>
          </cell>
          <cell r="AN174" t="str">
            <v>N/A</v>
          </cell>
          <cell r="AO174" t="str">
            <v>LF1649SL</v>
          </cell>
          <cell r="AP174" t="str">
            <v>N/A</v>
          </cell>
          <cell r="AS174" t="str">
            <v>N/A</v>
          </cell>
          <cell r="AT174" t="str">
            <v>N/A</v>
          </cell>
          <cell r="AU174" t="str">
            <v>1647B,2963A</v>
          </cell>
          <cell r="AV174" t="str">
            <v>N/A</v>
          </cell>
        </row>
        <row r="175">
          <cell r="A175" t="str">
            <v>1650B</v>
          </cell>
          <cell r="B175" t="str">
            <v>Comp #</v>
          </cell>
          <cell r="C175" t="str">
            <v>Sigmoidoscopic Suction Instrument</v>
          </cell>
          <cell r="D175" t="str">
            <v>1650B</v>
          </cell>
          <cell r="E175">
            <v>36538</v>
          </cell>
          <cell r="F175" t="str">
            <v>N/A</v>
          </cell>
          <cell r="K175" t="str">
            <v>S-4</v>
          </cell>
          <cell r="L175" t="str">
            <v>N/A</v>
          </cell>
          <cell r="P175" t="str">
            <v>32</v>
          </cell>
          <cell r="Q175" t="str">
            <v>N/A</v>
          </cell>
          <cell r="R175" t="str">
            <v>8</v>
          </cell>
          <cell r="S175" t="str">
            <v>0</v>
          </cell>
          <cell r="T175" t="str">
            <v>1.5</v>
          </cell>
          <cell r="U175" t="str">
            <v>2.5</v>
          </cell>
          <cell r="V175">
            <v>1</v>
          </cell>
          <cell r="X175" t="str">
            <v>Manufacturing</v>
          </cell>
          <cell r="Y175" t="str">
            <v>N/A</v>
          </cell>
          <cell r="Z175" t="str">
            <v>N/A</v>
          </cell>
          <cell r="AA175" t="str">
            <v>Process Room</v>
          </cell>
          <cell r="AB175" t="str">
            <v>Non-Sterile</v>
          </cell>
          <cell r="AC175" t="str">
            <v>N/A</v>
          </cell>
          <cell r="AG175" t="str">
            <v>N/A</v>
          </cell>
          <cell r="AH175" t="str">
            <v>Y</v>
          </cell>
          <cell r="AI175" t="str">
            <v>LATEX FREE</v>
          </cell>
          <cell r="AJ175" t="str">
            <v>Current</v>
          </cell>
          <cell r="AK175" t="str">
            <v>N/A</v>
          </cell>
          <cell r="AL175" t="str">
            <v>N/A</v>
          </cell>
          <cell r="AM175" t="str">
            <v>N/A</v>
          </cell>
          <cell r="AN175" t="str">
            <v>N/A</v>
          </cell>
          <cell r="AO175" t="str">
            <v>N/A</v>
          </cell>
          <cell r="AP175" t="str">
            <v>N/A</v>
          </cell>
          <cell r="AS175" t="str">
            <v>Identification Label</v>
          </cell>
          <cell r="AT175" t="str">
            <v>N/A</v>
          </cell>
          <cell r="AU175" t="str">
            <v>1650T,1650H,1650S</v>
          </cell>
          <cell r="AV175" t="str">
            <v>N/A</v>
          </cell>
        </row>
        <row r="176">
          <cell r="A176">
            <v>1658</v>
          </cell>
          <cell r="B176" t="str">
            <v>Cat #</v>
          </cell>
          <cell r="C176" t="str">
            <v>Bulk Sigmoids/250</v>
          </cell>
          <cell r="D176" t="str">
            <v>1658</v>
          </cell>
          <cell r="E176">
            <v>37083</v>
          </cell>
          <cell r="F176" t="str">
            <v>N/A</v>
          </cell>
          <cell r="K176" t="str">
            <v>S-4</v>
          </cell>
          <cell r="L176" t="str">
            <v>N/A</v>
          </cell>
          <cell r="P176" t="str">
            <v>N/A</v>
          </cell>
          <cell r="Q176" t="str">
            <v>N/A</v>
          </cell>
          <cell r="R176" t="str">
            <v>8</v>
          </cell>
          <cell r="S176" t="str">
            <v>0</v>
          </cell>
          <cell r="T176" t="str">
            <v>1.5</v>
          </cell>
          <cell r="U176" t="str">
            <v>2.5</v>
          </cell>
          <cell r="V176">
            <v>250</v>
          </cell>
          <cell r="W176" t="str">
            <v>S-4</v>
          </cell>
          <cell r="X176" t="str">
            <v>Manufacturing</v>
          </cell>
          <cell r="Y176" t="str">
            <v>N/A</v>
          </cell>
          <cell r="Z176" t="str">
            <v>N/A</v>
          </cell>
          <cell r="AA176" t="str">
            <v>Process Room</v>
          </cell>
          <cell r="AB176" t="str">
            <v>Non-Sterile</v>
          </cell>
          <cell r="AC176" t="str">
            <v>N/A</v>
          </cell>
          <cell r="AG176" t="str">
            <v>N/A</v>
          </cell>
          <cell r="AH176" t="str">
            <v>Y</v>
          </cell>
          <cell r="AI176" t="str">
            <v>LATEX FREE</v>
          </cell>
          <cell r="AJ176" t="str">
            <v>Current</v>
          </cell>
          <cell r="AK176" t="str">
            <v>N/A</v>
          </cell>
          <cell r="AL176" t="str">
            <v>N/A</v>
          </cell>
          <cell r="AM176" t="str">
            <v>N/A</v>
          </cell>
          <cell r="AN176" t="str">
            <v>N/A</v>
          </cell>
          <cell r="AO176" t="str">
            <v>LF1658SL</v>
          </cell>
          <cell r="AP176" t="str">
            <v>N/A</v>
          </cell>
          <cell r="AS176" t="str">
            <v>N/A</v>
          </cell>
          <cell r="AT176" t="str">
            <v>N/A</v>
          </cell>
          <cell r="AU176" t="str">
            <v>1650B,2963A</v>
          </cell>
          <cell r="AV176" t="str">
            <v>N/A</v>
          </cell>
        </row>
        <row r="177">
          <cell r="A177" t="str">
            <v>1744</v>
          </cell>
          <cell r="B177" t="str">
            <v>Cat #</v>
          </cell>
          <cell r="C177" t="str">
            <v>Adult Shroud Kit 54" x 108"/ Banta # 950361/10</v>
          </cell>
          <cell r="D177" t="str">
            <v>700 ETAL</v>
          </cell>
          <cell r="E177">
            <v>36563</v>
          </cell>
          <cell r="F177" t="str">
            <v>950361</v>
          </cell>
          <cell r="K177" t="str">
            <v>S-4</v>
          </cell>
          <cell r="L177" t="str">
            <v>N/A</v>
          </cell>
          <cell r="P177" t="str">
            <v>N/A</v>
          </cell>
          <cell r="Q177" t="str">
            <v>N/A</v>
          </cell>
          <cell r="R177" t="str">
            <v>8</v>
          </cell>
          <cell r="S177" t="str">
            <v>0</v>
          </cell>
          <cell r="T177" t="str">
            <v>1.5</v>
          </cell>
          <cell r="U177" t="str">
            <v>2.5</v>
          </cell>
          <cell r="V177">
            <v>10</v>
          </cell>
          <cell r="X177" t="str">
            <v>Manufacturing</v>
          </cell>
          <cell r="Y177" t="str">
            <v>N/A</v>
          </cell>
          <cell r="Z177" t="str">
            <v>N/A</v>
          </cell>
          <cell r="AA177" t="str">
            <v>Shroud Area</v>
          </cell>
          <cell r="AB177" t="str">
            <v>Non-Sterile</v>
          </cell>
          <cell r="AC177" t="str">
            <v>N/A</v>
          </cell>
          <cell r="AG177" t="str">
            <v>N/A</v>
          </cell>
          <cell r="AH177" t="str">
            <v>N/A</v>
          </cell>
          <cell r="AI177" t="str">
            <v>LATEX FREE</v>
          </cell>
          <cell r="AJ177" t="str">
            <v>Current</v>
          </cell>
          <cell r="AK177" t="str">
            <v>N/A</v>
          </cell>
          <cell r="AL177" t="str">
            <v>N/A</v>
          </cell>
          <cell r="AM177" t="str">
            <v>N/A</v>
          </cell>
          <cell r="AN177" t="str">
            <v>N/A</v>
          </cell>
          <cell r="AO177" t="str">
            <v>1744SL-4</v>
          </cell>
          <cell r="AP177" t="str">
            <v>N/A</v>
          </cell>
          <cell r="AS177" t="str">
            <v>1744IS-1</v>
          </cell>
          <cell r="AT177" t="str">
            <v>N/A</v>
          </cell>
          <cell r="AU177" t="str">
            <v>7250A,1744BH,7257</v>
          </cell>
          <cell r="AV177" t="str">
            <v>N/A</v>
          </cell>
        </row>
        <row r="178">
          <cell r="A178" t="str">
            <v>1744BH</v>
          </cell>
          <cell r="B178" t="str">
            <v>Comp #</v>
          </cell>
          <cell r="C178" t="str">
            <v>Sub-Assembly of Components 1744, 1745, 1746, 7009, 7289/150</v>
          </cell>
          <cell r="D178" t="str">
            <v>174TP ETAL</v>
          </cell>
          <cell r="E178">
            <v>36564</v>
          </cell>
          <cell r="F178" t="str">
            <v>N/A</v>
          </cell>
          <cell r="K178" t="str">
            <v>S-4</v>
          </cell>
          <cell r="L178" t="str">
            <v>N/A</v>
          </cell>
          <cell r="P178" t="str">
            <v>8</v>
          </cell>
          <cell r="Q178" t="str">
            <v>N/A</v>
          </cell>
          <cell r="R178" t="str">
            <v>8</v>
          </cell>
          <cell r="S178" t="str">
            <v>0</v>
          </cell>
          <cell r="T178" t="str">
            <v>1.5</v>
          </cell>
          <cell r="U178" t="str">
            <v>2.5</v>
          </cell>
          <cell r="V178">
            <v>150</v>
          </cell>
          <cell r="W178" t="str">
            <v>S-4</v>
          </cell>
          <cell r="X178" t="str">
            <v>Manufacturing</v>
          </cell>
          <cell r="Y178" t="str">
            <v>N/A</v>
          </cell>
          <cell r="Z178" t="str">
            <v>N/A</v>
          </cell>
          <cell r="AA178" t="str">
            <v>Shroud Area</v>
          </cell>
          <cell r="AB178" t="str">
            <v>Non-Sterile</v>
          </cell>
          <cell r="AC178" t="str">
            <v>N/A</v>
          </cell>
          <cell r="AG178" t="str">
            <v>N/A</v>
          </cell>
          <cell r="AH178" t="str">
            <v>N/A</v>
          </cell>
          <cell r="AI178" t="str">
            <v>LATEX FREE</v>
          </cell>
          <cell r="AJ178" t="str">
            <v>Current</v>
          </cell>
          <cell r="AK178" t="str">
            <v>N/A</v>
          </cell>
          <cell r="AL178" t="str">
            <v>N/A</v>
          </cell>
          <cell r="AM178" t="str">
            <v>N/A</v>
          </cell>
          <cell r="AN178" t="str">
            <v>N/A</v>
          </cell>
          <cell r="AO178" t="str">
            <v>N/A</v>
          </cell>
          <cell r="AP178" t="str">
            <v>N/A</v>
          </cell>
          <cell r="AS178" t="str">
            <v>Reuse 8252A 10x</v>
          </cell>
          <cell r="AT178" t="str">
            <v>N/A</v>
          </cell>
          <cell r="AU178" t="str">
            <v>7003A,3377A,7254,9013A-1,7007,1744T</v>
          </cell>
          <cell r="AV178" t="str">
            <v>N/A</v>
          </cell>
        </row>
        <row r="179">
          <cell r="A179">
            <v>1745</v>
          </cell>
          <cell r="B179" t="str">
            <v>Cat #</v>
          </cell>
          <cell r="C179" t="str">
            <v>Child Shroud Kit 54" x 72"/ Banta # 950362/10</v>
          </cell>
          <cell r="D179" t="str">
            <v>700 ETAL</v>
          </cell>
          <cell r="E179">
            <v>36563</v>
          </cell>
          <cell r="F179" t="str">
            <v>950362</v>
          </cell>
          <cell r="K179" t="str">
            <v>S-4</v>
          </cell>
          <cell r="L179" t="str">
            <v>N/A</v>
          </cell>
          <cell r="P179" t="str">
            <v>N/A</v>
          </cell>
          <cell r="Q179" t="str">
            <v>N/A</v>
          </cell>
          <cell r="R179" t="str">
            <v>8</v>
          </cell>
          <cell r="S179" t="str">
            <v>0</v>
          </cell>
          <cell r="T179" t="str">
            <v>1.5</v>
          </cell>
          <cell r="U179" t="str">
            <v>2.5</v>
          </cell>
          <cell r="V179">
            <v>10</v>
          </cell>
          <cell r="X179" t="str">
            <v>Manufacturing</v>
          </cell>
          <cell r="Y179" t="str">
            <v>N/A</v>
          </cell>
          <cell r="Z179" t="str">
            <v>N/A</v>
          </cell>
          <cell r="AA179" t="str">
            <v>Shroud Area</v>
          </cell>
          <cell r="AB179" t="str">
            <v>Non-Sterile</v>
          </cell>
          <cell r="AC179" t="str">
            <v>N/A</v>
          </cell>
          <cell r="AG179" t="str">
            <v>N/A</v>
          </cell>
          <cell r="AH179" t="str">
            <v>N/A</v>
          </cell>
          <cell r="AI179" t="str">
            <v>LATEX FREE</v>
          </cell>
          <cell r="AJ179" t="str">
            <v>Current</v>
          </cell>
          <cell r="AK179" t="str">
            <v>N/A</v>
          </cell>
          <cell r="AL179" t="str">
            <v>N/A</v>
          </cell>
          <cell r="AM179" t="str">
            <v>N/A</v>
          </cell>
          <cell r="AN179" t="str">
            <v>N/A</v>
          </cell>
          <cell r="AO179" t="str">
            <v>1745SL-2</v>
          </cell>
          <cell r="AP179" t="str">
            <v>N/A</v>
          </cell>
          <cell r="AS179" t="str">
            <v>1745IS-1</v>
          </cell>
          <cell r="AT179" t="str">
            <v>N/A</v>
          </cell>
          <cell r="AU179" t="str">
            <v>7250A,1744BH,7257</v>
          </cell>
          <cell r="AV179" t="str">
            <v>N/A</v>
          </cell>
        </row>
        <row r="180">
          <cell r="A180">
            <v>1746</v>
          </cell>
          <cell r="B180" t="str">
            <v>Cat #</v>
          </cell>
          <cell r="C180" t="str">
            <v>XL Shroud Kit 72" x 108"/ Banta # 950365/10</v>
          </cell>
          <cell r="D180" t="str">
            <v>700 ETAL</v>
          </cell>
          <cell r="E180">
            <v>36563</v>
          </cell>
          <cell r="F180" t="str">
            <v>950365</v>
          </cell>
          <cell r="K180" t="str">
            <v>S-4</v>
          </cell>
          <cell r="L180" t="str">
            <v>N/A</v>
          </cell>
          <cell r="P180" t="str">
            <v>N/A</v>
          </cell>
          <cell r="Q180" t="str">
            <v>N/A</v>
          </cell>
          <cell r="R180" t="str">
            <v>8</v>
          </cell>
          <cell r="S180" t="str">
            <v>0</v>
          </cell>
          <cell r="T180" t="str">
            <v>1.5</v>
          </cell>
          <cell r="U180" t="str">
            <v>2.5</v>
          </cell>
          <cell r="V180">
            <v>10</v>
          </cell>
          <cell r="X180" t="str">
            <v>Manufacturing</v>
          </cell>
          <cell r="Y180" t="str">
            <v>N/A</v>
          </cell>
          <cell r="Z180" t="str">
            <v>N/A</v>
          </cell>
          <cell r="AA180" t="str">
            <v>Shroud Area</v>
          </cell>
          <cell r="AB180" t="str">
            <v>Non-Sterile</v>
          </cell>
          <cell r="AC180" t="str">
            <v>N/A</v>
          </cell>
          <cell r="AG180" t="str">
            <v>N/A</v>
          </cell>
          <cell r="AH180" t="str">
            <v>N/A</v>
          </cell>
          <cell r="AI180" t="str">
            <v>LATEX FREE</v>
          </cell>
          <cell r="AJ180" t="str">
            <v>Current</v>
          </cell>
          <cell r="AK180" t="str">
            <v>N/A</v>
          </cell>
          <cell r="AL180" t="str">
            <v>N/A</v>
          </cell>
          <cell r="AM180" t="str">
            <v>N/A</v>
          </cell>
          <cell r="AN180" t="str">
            <v>N/A</v>
          </cell>
          <cell r="AO180" t="str">
            <v>1746SL-3</v>
          </cell>
          <cell r="AP180" t="str">
            <v>N/A</v>
          </cell>
          <cell r="AS180" t="str">
            <v>1746IS-1</v>
          </cell>
          <cell r="AT180" t="str">
            <v>N/A</v>
          </cell>
          <cell r="AU180" t="str">
            <v>7270B,1744BH,7257,</v>
          </cell>
          <cell r="AV180" t="str">
            <v>N/A</v>
          </cell>
        </row>
        <row r="181">
          <cell r="A181">
            <v>1747</v>
          </cell>
          <cell r="B181" t="str">
            <v>Cat #</v>
          </cell>
          <cell r="C181" t="str">
            <v>Contamination Kit/ Banta # 950358/5</v>
          </cell>
          <cell r="D181" t="str">
            <v>901 ETAL</v>
          </cell>
          <cell r="E181">
            <v>37574</v>
          </cell>
          <cell r="F181" t="str">
            <v>950358</v>
          </cell>
          <cell r="K181" t="str">
            <v>S-4</v>
          </cell>
          <cell r="L181" t="str">
            <v>N/A</v>
          </cell>
          <cell r="P181" t="str">
            <v>N/A</v>
          </cell>
          <cell r="Q181" t="str">
            <v>N/A</v>
          </cell>
          <cell r="R181" t="str">
            <v>8</v>
          </cell>
          <cell r="S181" t="str">
            <v>0</v>
          </cell>
          <cell r="T181" t="str">
            <v>1.5</v>
          </cell>
          <cell r="U181" t="str">
            <v>2.5</v>
          </cell>
          <cell r="V181">
            <v>5</v>
          </cell>
          <cell r="W181" t="str">
            <v>S-4</v>
          </cell>
          <cell r="X181" t="str">
            <v>Manufacturing</v>
          </cell>
          <cell r="Y181" t="str">
            <v>N/A</v>
          </cell>
          <cell r="Z181" t="str">
            <v>N/A</v>
          </cell>
          <cell r="AA181" t="str">
            <v>Shroud Area</v>
          </cell>
          <cell r="AB181" t="str">
            <v>Non-Sterile</v>
          </cell>
          <cell r="AC181" t="str">
            <v>N/A</v>
          </cell>
          <cell r="AG181" t="str">
            <v>N/A</v>
          </cell>
          <cell r="AH181" t="str">
            <v>N/A</v>
          </cell>
          <cell r="AI181" t="str">
            <v>LATEX FREE</v>
          </cell>
          <cell r="AJ181" t="str">
            <v>Current</v>
          </cell>
          <cell r="AK181" t="str">
            <v>N/A</v>
          </cell>
          <cell r="AL181" t="str">
            <v>N/A</v>
          </cell>
          <cell r="AM181" t="str">
            <v>N/A</v>
          </cell>
          <cell r="AN181" t="str">
            <v>N/A</v>
          </cell>
          <cell r="AO181" t="str">
            <v>1747SL-4</v>
          </cell>
          <cell r="AP181" t="str">
            <v>N/A</v>
          </cell>
          <cell r="AS181" t="str">
            <v>1747CC-2</v>
          </cell>
          <cell r="AT181" t="str">
            <v>N/A</v>
          </cell>
          <cell r="AU181" t="str">
            <v>1749T,174TP</v>
          </cell>
          <cell r="AV181" t="str">
            <v>N/A</v>
          </cell>
        </row>
        <row r="182">
          <cell r="A182">
            <v>1748</v>
          </cell>
          <cell r="B182" t="str">
            <v>Cat #</v>
          </cell>
          <cell r="C182" t="str">
            <v>White Body Bag W/ ID Tags/ Curved Zipper/ Banta # 950259/10</v>
          </cell>
          <cell r="D182" t="str">
            <v>901 ETAL</v>
          </cell>
          <cell r="E182">
            <v>37574</v>
          </cell>
          <cell r="F182" t="str">
            <v>950259</v>
          </cell>
          <cell r="K182" t="str">
            <v>S-4</v>
          </cell>
          <cell r="L182" t="str">
            <v>N/A</v>
          </cell>
          <cell r="P182" t="str">
            <v>N/A</v>
          </cell>
          <cell r="Q182" t="str">
            <v>N/A</v>
          </cell>
          <cell r="R182" t="str">
            <v>8</v>
          </cell>
          <cell r="S182" t="str">
            <v>0</v>
          </cell>
          <cell r="T182" t="str">
            <v>1.5</v>
          </cell>
          <cell r="U182" t="str">
            <v>2.5</v>
          </cell>
          <cell r="V182">
            <v>10</v>
          </cell>
          <cell r="W182" t="str">
            <v>S-4</v>
          </cell>
          <cell r="X182" t="str">
            <v>Manufacturing</v>
          </cell>
          <cell r="Y182" t="str">
            <v>N/A</v>
          </cell>
          <cell r="Z182" t="str">
            <v>N/A</v>
          </cell>
          <cell r="AA182" t="str">
            <v>Shroud Area</v>
          </cell>
          <cell r="AB182" t="str">
            <v>Non-Sterile</v>
          </cell>
          <cell r="AC182" t="str">
            <v>N/A</v>
          </cell>
          <cell r="AG182" t="str">
            <v>N/A</v>
          </cell>
          <cell r="AH182" t="str">
            <v>N/A</v>
          </cell>
          <cell r="AI182" t="str">
            <v>LATEX FREE</v>
          </cell>
          <cell r="AJ182" t="str">
            <v>Current</v>
          </cell>
          <cell r="AK182" t="str">
            <v>N/A</v>
          </cell>
          <cell r="AL182" t="str">
            <v>N/A</v>
          </cell>
          <cell r="AM182" t="str">
            <v>N/A</v>
          </cell>
          <cell r="AN182" t="str">
            <v>N/A</v>
          </cell>
          <cell r="AO182" t="str">
            <v>1748SL-4</v>
          </cell>
          <cell r="AP182" t="str">
            <v>N/A</v>
          </cell>
          <cell r="AS182" t="str">
            <v>1748CC-2</v>
          </cell>
          <cell r="AT182" t="str">
            <v>N/A</v>
          </cell>
          <cell r="AU182" t="str">
            <v>N/A</v>
          </cell>
          <cell r="AV182" t="str">
            <v>1748T,9013A-1</v>
          </cell>
        </row>
        <row r="183">
          <cell r="A183" t="str">
            <v>1748T</v>
          </cell>
          <cell r="B183" t="str">
            <v>Comp #</v>
          </cell>
          <cell r="C183" t="str">
            <v>White Post Mortem Bag/ Curved Zipper (Taiwanese Bag Only)</v>
          </cell>
          <cell r="F183" t="str">
            <v>N/A</v>
          </cell>
          <cell r="Q183" t="str">
            <v>N/A</v>
          </cell>
          <cell r="V183">
            <v>1</v>
          </cell>
          <cell r="X183" t="str">
            <v>Manufacturing</v>
          </cell>
          <cell r="Y183" t="str">
            <v>N/A</v>
          </cell>
          <cell r="Z183" t="str">
            <v>N/A</v>
          </cell>
          <cell r="AA183" t="str">
            <v>Shroud Area</v>
          </cell>
          <cell r="AB183" t="str">
            <v>Non-Sterile</v>
          </cell>
          <cell r="AC183" t="str">
            <v>N/A</v>
          </cell>
          <cell r="AG183" t="str">
            <v>N/A</v>
          </cell>
          <cell r="AH183" t="str">
            <v>N/A</v>
          </cell>
          <cell r="AI183" t="str">
            <v>LATEX FREE</v>
          </cell>
          <cell r="AJ183" t="str">
            <v>Current</v>
          </cell>
          <cell r="AK183" t="str">
            <v>N/A</v>
          </cell>
          <cell r="AL183" t="str">
            <v>N/A</v>
          </cell>
          <cell r="AM183" t="str">
            <v>N/A</v>
          </cell>
          <cell r="AN183" t="str">
            <v>N/A</v>
          </cell>
          <cell r="AO183" t="str">
            <v>N/A</v>
          </cell>
          <cell r="AP183" t="str">
            <v>N/A</v>
          </cell>
          <cell r="AS183" t="str">
            <v>N/A</v>
          </cell>
          <cell r="AT183" t="str">
            <v>N/A</v>
          </cell>
          <cell r="AU183" t="str">
            <v>N/A</v>
          </cell>
          <cell r="AV183" t="str">
            <v>907D</v>
          </cell>
        </row>
        <row r="184">
          <cell r="A184">
            <v>1749</v>
          </cell>
          <cell r="B184" t="str">
            <v>Cat #</v>
          </cell>
          <cell r="C184" t="str">
            <v>White Body Bag W/ ID Tags/ Straight Zipper/Banta # 950359/10</v>
          </cell>
          <cell r="D184" t="str">
            <v>901 ETAL</v>
          </cell>
          <cell r="E184">
            <v>37574</v>
          </cell>
          <cell r="F184" t="str">
            <v>950359</v>
          </cell>
          <cell r="K184" t="str">
            <v>S-4</v>
          </cell>
          <cell r="L184" t="str">
            <v>N/A</v>
          </cell>
          <cell r="P184" t="str">
            <v>N/A</v>
          </cell>
          <cell r="Q184" t="str">
            <v>N/A</v>
          </cell>
          <cell r="R184" t="str">
            <v>8</v>
          </cell>
          <cell r="S184" t="str">
            <v>0</v>
          </cell>
          <cell r="T184" t="str">
            <v>1.5</v>
          </cell>
          <cell r="U184" t="str">
            <v>2.5</v>
          </cell>
          <cell r="V184">
            <v>10</v>
          </cell>
          <cell r="W184" t="str">
            <v>S-4</v>
          </cell>
          <cell r="X184" t="str">
            <v>Manufacturing</v>
          </cell>
          <cell r="Y184" t="str">
            <v>N/A</v>
          </cell>
          <cell r="Z184" t="str">
            <v>N/A</v>
          </cell>
          <cell r="AA184" t="str">
            <v>Shroud Area</v>
          </cell>
          <cell r="AB184" t="str">
            <v>Non-Sterile</v>
          </cell>
          <cell r="AC184" t="str">
            <v>N/A</v>
          </cell>
          <cell r="AG184" t="str">
            <v>N/A</v>
          </cell>
          <cell r="AH184" t="str">
            <v>N/A</v>
          </cell>
          <cell r="AI184" t="str">
            <v>LATEX FREE</v>
          </cell>
          <cell r="AJ184" t="str">
            <v>Current</v>
          </cell>
          <cell r="AK184" t="str">
            <v>N/A</v>
          </cell>
          <cell r="AL184" t="str">
            <v>N/A</v>
          </cell>
          <cell r="AM184" t="str">
            <v>N/A</v>
          </cell>
          <cell r="AN184" t="str">
            <v>N/A</v>
          </cell>
          <cell r="AO184" t="str">
            <v>1749SL-4</v>
          </cell>
          <cell r="AP184" t="str">
            <v>N/A</v>
          </cell>
          <cell r="AS184" t="str">
            <v>1749CC-2</v>
          </cell>
          <cell r="AT184" t="str">
            <v>N/A</v>
          </cell>
          <cell r="AU184" t="str">
            <v>N/A</v>
          </cell>
          <cell r="AV184" t="str">
            <v>1749T</v>
          </cell>
        </row>
        <row r="185">
          <cell r="A185" t="str">
            <v>1749T</v>
          </cell>
          <cell r="B185" t="str">
            <v>Comp #</v>
          </cell>
          <cell r="C185" t="str">
            <v>White Post Mortem Bag/ Straight Zipper (Taiwanese Bag Only)</v>
          </cell>
          <cell r="F185" t="str">
            <v>N/A</v>
          </cell>
          <cell r="Q185" t="str">
            <v>N/A</v>
          </cell>
          <cell r="V185">
            <v>1</v>
          </cell>
          <cell r="X185" t="str">
            <v>Manufacturing</v>
          </cell>
          <cell r="Y185" t="str">
            <v>N/A</v>
          </cell>
          <cell r="Z185" t="str">
            <v>N/A</v>
          </cell>
          <cell r="AA185" t="str">
            <v>Shroud Area</v>
          </cell>
          <cell r="AB185" t="str">
            <v>Non-Sterile</v>
          </cell>
          <cell r="AC185" t="str">
            <v>N/A</v>
          </cell>
          <cell r="AG185" t="str">
            <v>N/A</v>
          </cell>
          <cell r="AH185" t="str">
            <v>N/A</v>
          </cell>
          <cell r="AI185" t="str">
            <v>LATEX FREE</v>
          </cell>
          <cell r="AJ185" t="str">
            <v>Current</v>
          </cell>
          <cell r="AK185" t="str">
            <v>N/A</v>
          </cell>
          <cell r="AL185" t="str">
            <v>N/A</v>
          </cell>
          <cell r="AM185" t="str">
            <v>N/A</v>
          </cell>
          <cell r="AN185" t="str">
            <v>N/A</v>
          </cell>
          <cell r="AO185" t="str">
            <v>N/A</v>
          </cell>
          <cell r="AP185" t="str">
            <v>N/A</v>
          </cell>
          <cell r="AS185" t="str">
            <v>N/A</v>
          </cell>
          <cell r="AT185" t="str">
            <v>N/A</v>
          </cell>
          <cell r="AU185" t="str">
            <v>N/A</v>
          </cell>
          <cell r="AV185" t="str">
            <v>901D</v>
          </cell>
        </row>
        <row r="186">
          <cell r="A186" t="str">
            <v>1996</v>
          </cell>
          <cell r="B186" t="str">
            <v>Cat #</v>
          </cell>
          <cell r="C186" t="str">
            <v>Mckesson General Medical # 25-199 Fluid Resistant Gown, Open Back/50</v>
          </cell>
          <cell r="D186" t="str">
            <v>1996 ETAL</v>
          </cell>
          <cell r="E186">
            <v>37096</v>
          </cell>
          <cell r="F186" t="str">
            <v>25-199</v>
          </cell>
          <cell r="K186" t="str">
            <v>N/A</v>
          </cell>
          <cell r="L186" t="str">
            <v>N/A</v>
          </cell>
          <cell r="P186" t="str">
            <v>N/A</v>
          </cell>
          <cell r="Q186" t="str">
            <v>N/A</v>
          </cell>
          <cell r="R186" t="str">
            <v>8</v>
          </cell>
          <cell r="S186" t="str">
            <v>0</v>
          </cell>
          <cell r="T186" t="str">
            <v>1.5</v>
          </cell>
          <cell r="U186" t="str">
            <v>2.5</v>
          </cell>
          <cell r="V186">
            <v>50</v>
          </cell>
          <cell r="X186" t="str">
            <v>Manufacturing</v>
          </cell>
          <cell r="Y186" t="str">
            <v>N/A</v>
          </cell>
          <cell r="Z186" t="str">
            <v>N/A</v>
          </cell>
          <cell r="AA186" t="str">
            <v>Relabel Area</v>
          </cell>
          <cell r="AB186" t="str">
            <v>Non-Sterile</v>
          </cell>
          <cell r="AC186" t="str">
            <v>N/A</v>
          </cell>
          <cell r="AG186" t="str">
            <v>N/A</v>
          </cell>
          <cell r="AH186" t="str">
            <v>N/A</v>
          </cell>
          <cell r="AI186" t="str">
            <v>LATEX FREE</v>
          </cell>
          <cell r="AJ186" t="str">
            <v>Discontinued</v>
          </cell>
          <cell r="AK186" t="str">
            <v>N/A</v>
          </cell>
          <cell r="AL186" t="str">
            <v>N/A</v>
          </cell>
          <cell r="AM186" t="str">
            <v>N/A</v>
          </cell>
          <cell r="AN186" t="str">
            <v>N/A</v>
          </cell>
          <cell r="AO186" t="str">
            <v>1996SLF</v>
          </cell>
          <cell r="AP186" t="str">
            <v>N/A</v>
          </cell>
          <cell r="AS186" t="str">
            <v>N/A</v>
          </cell>
          <cell r="AT186" t="str">
            <v>N/A</v>
          </cell>
          <cell r="AU186" t="str">
            <v>N/A</v>
          </cell>
          <cell r="AV186" t="str">
            <v>199</v>
          </cell>
        </row>
        <row r="187">
          <cell r="A187" t="str">
            <v>2006</v>
          </cell>
          <cell r="B187" t="str">
            <v>Cat #</v>
          </cell>
          <cell r="C187" t="str">
            <v>General Medical # 25-200 Fluid Resistant Gown, Full Back/50</v>
          </cell>
          <cell r="D187" t="str">
            <v>1996 ETAL</v>
          </cell>
          <cell r="E187">
            <v>37096</v>
          </cell>
          <cell r="F187" t="str">
            <v>25-200</v>
          </cell>
          <cell r="K187" t="str">
            <v>N/A</v>
          </cell>
          <cell r="L187" t="str">
            <v>N/A</v>
          </cell>
          <cell r="P187" t="str">
            <v>N/A</v>
          </cell>
          <cell r="Q187" t="str">
            <v>N/A</v>
          </cell>
          <cell r="R187" t="str">
            <v>8</v>
          </cell>
          <cell r="S187" t="str">
            <v>0</v>
          </cell>
          <cell r="T187" t="str">
            <v>1.5</v>
          </cell>
          <cell r="U187" t="str">
            <v>2.5</v>
          </cell>
          <cell r="V187">
            <v>50</v>
          </cell>
          <cell r="X187" t="str">
            <v>Manufacturing</v>
          </cell>
          <cell r="Y187" t="str">
            <v>N/A</v>
          </cell>
          <cell r="Z187" t="str">
            <v>N/A</v>
          </cell>
          <cell r="AA187" t="str">
            <v>Relabel Area</v>
          </cell>
          <cell r="AB187" t="str">
            <v>Non-Sterile</v>
          </cell>
          <cell r="AC187" t="str">
            <v>N/A</v>
          </cell>
          <cell r="AG187" t="str">
            <v>N/A</v>
          </cell>
          <cell r="AH187" t="str">
            <v>N/A</v>
          </cell>
          <cell r="AI187" t="str">
            <v>LATEX FREE</v>
          </cell>
          <cell r="AJ187" t="str">
            <v>Discontinued</v>
          </cell>
          <cell r="AK187" t="str">
            <v>N/A</v>
          </cell>
          <cell r="AL187" t="str">
            <v>N/A</v>
          </cell>
          <cell r="AM187" t="str">
            <v>N/A</v>
          </cell>
          <cell r="AN187" t="str">
            <v>N/A</v>
          </cell>
          <cell r="AO187" t="str">
            <v>2006SLF</v>
          </cell>
          <cell r="AP187" t="str">
            <v>N/A</v>
          </cell>
          <cell r="AS187" t="str">
            <v>N/A</v>
          </cell>
          <cell r="AT187" t="str">
            <v>N/A</v>
          </cell>
          <cell r="AU187" t="str">
            <v>N/A</v>
          </cell>
          <cell r="AV187" t="str">
            <v>200</v>
          </cell>
        </row>
        <row r="188">
          <cell r="A188" t="str">
            <v>2016</v>
          </cell>
          <cell r="B188" t="str">
            <v>Cat #</v>
          </cell>
          <cell r="C188" t="str">
            <v>General Medical # 25-201 Fluid Resistant Gown, Open Back/50</v>
          </cell>
          <cell r="D188" t="str">
            <v>1996 ETAL</v>
          </cell>
          <cell r="E188">
            <v>37096</v>
          </cell>
          <cell r="F188" t="str">
            <v>25-201</v>
          </cell>
          <cell r="K188" t="str">
            <v>N/A</v>
          </cell>
          <cell r="L188" t="str">
            <v>N/A</v>
          </cell>
          <cell r="P188" t="str">
            <v>N/A</v>
          </cell>
          <cell r="Q188" t="str">
            <v>N/A</v>
          </cell>
          <cell r="R188" t="str">
            <v>8</v>
          </cell>
          <cell r="S188" t="str">
            <v>0</v>
          </cell>
          <cell r="T188" t="str">
            <v>1.5</v>
          </cell>
          <cell r="U188" t="str">
            <v>2.5</v>
          </cell>
          <cell r="V188">
            <v>50</v>
          </cell>
          <cell r="X188" t="str">
            <v>Manufacturing</v>
          </cell>
          <cell r="Y188" t="str">
            <v>N/A</v>
          </cell>
          <cell r="Z188" t="str">
            <v>N/A</v>
          </cell>
          <cell r="AA188" t="str">
            <v>Shroud Area</v>
          </cell>
          <cell r="AB188" t="str">
            <v>Non-Sterile</v>
          </cell>
          <cell r="AC188" t="str">
            <v>N/A</v>
          </cell>
          <cell r="AG188" t="str">
            <v>N/A</v>
          </cell>
          <cell r="AH188" t="str">
            <v>N/A</v>
          </cell>
          <cell r="AI188" t="str">
            <v>LATEX FREE</v>
          </cell>
          <cell r="AJ188" t="str">
            <v>Discontinued</v>
          </cell>
          <cell r="AK188" t="str">
            <v>N/A</v>
          </cell>
          <cell r="AL188" t="str">
            <v>N/A</v>
          </cell>
          <cell r="AM188" t="str">
            <v>N/A</v>
          </cell>
          <cell r="AN188" t="str">
            <v>N/A</v>
          </cell>
          <cell r="AO188" t="str">
            <v>2016SLF</v>
          </cell>
          <cell r="AP188" t="str">
            <v>N/A</v>
          </cell>
          <cell r="AS188" t="str">
            <v>N/A</v>
          </cell>
          <cell r="AT188" t="str">
            <v>N/A</v>
          </cell>
          <cell r="AU188" t="str">
            <v>N/A</v>
          </cell>
          <cell r="AV188" t="str">
            <v>201</v>
          </cell>
        </row>
        <row r="189">
          <cell r="A189" t="str">
            <v>2027</v>
          </cell>
          <cell r="B189" t="str">
            <v>Cat #</v>
          </cell>
          <cell r="C189" t="str">
            <v>Mckesson General Medical # 25-202 Fluid Resistant Gown/50</v>
          </cell>
          <cell r="D189" t="str">
            <v>1996 ETAL</v>
          </cell>
          <cell r="E189">
            <v>37096</v>
          </cell>
          <cell r="F189" t="str">
            <v>25-202</v>
          </cell>
          <cell r="K189" t="str">
            <v>N/A</v>
          </cell>
          <cell r="L189" t="str">
            <v>N/A</v>
          </cell>
          <cell r="P189" t="str">
            <v>N/A</v>
          </cell>
          <cell r="Q189" t="str">
            <v>N/A</v>
          </cell>
          <cell r="R189" t="str">
            <v>8</v>
          </cell>
          <cell r="S189" t="str">
            <v>0</v>
          </cell>
          <cell r="T189" t="str">
            <v>1.5</v>
          </cell>
          <cell r="U189" t="str">
            <v>2.5</v>
          </cell>
          <cell r="V189">
            <v>50</v>
          </cell>
          <cell r="X189" t="str">
            <v>Manufacturing</v>
          </cell>
          <cell r="Y189" t="str">
            <v>N/A</v>
          </cell>
          <cell r="Z189" t="str">
            <v>N/A</v>
          </cell>
          <cell r="AA189" t="str">
            <v>Shroud Area</v>
          </cell>
          <cell r="AB189" t="str">
            <v>Non-Sterile</v>
          </cell>
          <cell r="AC189" t="str">
            <v>N/A</v>
          </cell>
          <cell r="AG189" t="str">
            <v>N/A</v>
          </cell>
          <cell r="AH189" t="str">
            <v>N/A</v>
          </cell>
          <cell r="AI189" t="str">
            <v>LATEX FREE</v>
          </cell>
          <cell r="AJ189" t="str">
            <v>Discontinued</v>
          </cell>
          <cell r="AK189" t="str">
            <v>N/A</v>
          </cell>
          <cell r="AL189" t="str">
            <v>N/A</v>
          </cell>
          <cell r="AM189" t="str">
            <v>N/A</v>
          </cell>
          <cell r="AN189" t="str">
            <v>N/A</v>
          </cell>
          <cell r="AO189" t="str">
            <v>2027SLF</v>
          </cell>
          <cell r="AP189" t="str">
            <v>N/A</v>
          </cell>
          <cell r="AS189" t="str">
            <v>N/A</v>
          </cell>
          <cell r="AT189" t="str">
            <v>N/A</v>
          </cell>
          <cell r="AU189" t="str">
            <v>N/A</v>
          </cell>
          <cell r="AV189" t="str">
            <v>202</v>
          </cell>
        </row>
        <row r="190">
          <cell r="A190" t="str">
            <v>2036</v>
          </cell>
          <cell r="B190" t="str">
            <v>Cat #</v>
          </cell>
          <cell r="C190" t="str">
            <v>Mckesson General Medical # 25-203 IsolationGown, Full Back/50</v>
          </cell>
          <cell r="D190" t="str">
            <v>1996 ETAL</v>
          </cell>
          <cell r="E190">
            <v>37096</v>
          </cell>
          <cell r="F190" t="str">
            <v>25-203</v>
          </cell>
          <cell r="K190" t="str">
            <v>N/A</v>
          </cell>
          <cell r="L190" t="str">
            <v>N/A</v>
          </cell>
          <cell r="P190" t="str">
            <v>N/A</v>
          </cell>
          <cell r="Q190" t="str">
            <v>N/A</v>
          </cell>
          <cell r="R190" t="str">
            <v>8</v>
          </cell>
          <cell r="S190" t="str">
            <v>0</v>
          </cell>
          <cell r="T190" t="str">
            <v>1.5</v>
          </cell>
          <cell r="U190" t="str">
            <v>2.5</v>
          </cell>
          <cell r="V190">
            <v>50</v>
          </cell>
          <cell r="X190" t="str">
            <v>Manufacturing</v>
          </cell>
          <cell r="Y190" t="str">
            <v>N/A</v>
          </cell>
          <cell r="Z190" t="str">
            <v>N/A</v>
          </cell>
          <cell r="AA190" t="str">
            <v>Shroud Area</v>
          </cell>
          <cell r="AB190" t="str">
            <v>Non-Sterile</v>
          </cell>
          <cell r="AC190" t="str">
            <v>N/A</v>
          </cell>
          <cell r="AG190" t="str">
            <v>N/A</v>
          </cell>
          <cell r="AH190" t="str">
            <v>N/A</v>
          </cell>
          <cell r="AI190" t="str">
            <v>LATEX FREE</v>
          </cell>
          <cell r="AJ190" t="str">
            <v>Discontinued</v>
          </cell>
          <cell r="AK190" t="str">
            <v>N/A</v>
          </cell>
          <cell r="AL190" t="str">
            <v>N/A</v>
          </cell>
          <cell r="AM190" t="str">
            <v>N/A</v>
          </cell>
          <cell r="AN190" t="str">
            <v>N/A</v>
          </cell>
          <cell r="AO190" t="str">
            <v>2036A</v>
          </cell>
          <cell r="AP190" t="str">
            <v>N/A</v>
          </cell>
          <cell r="AS190" t="str">
            <v>N/A</v>
          </cell>
          <cell r="AT190" t="str">
            <v>N/A</v>
          </cell>
          <cell r="AU190" t="str">
            <v>N/A</v>
          </cell>
          <cell r="AV190" t="str">
            <v>203</v>
          </cell>
        </row>
        <row r="191">
          <cell r="A191" t="str">
            <v>2056</v>
          </cell>
          <cell r="B191" t="str">
            <v>Cat #</v>
          </cell>
          <cell r="C191" t="str">
            <v>Mckesson General Medical # 25-205 Fluid Resistant Gown, Full Back/50</v>
          </cell>
          <cell r="D191" t="str">
            <v>1996 ETAL</v>
          </cell>
          <cell r="E191">
            <v>37096</v>
          </cell>
          <cell r="F191" t="str">
            <v>25-205</v>
          </cell>
          <cell r="K191" t="str">
            <v>N/A</v>
          </cell>
          <cell r="L191" t="str">
            <v>N/A</v>
          </cell>
          <cell r="P191" t="str">
            <v>N/A</v>
          </cell>
          <cell r="Q191" t="str">
            <v>N/A</v>
          </cell>
          <cell r="R191" t="str">
            <v>8</v>
          </cell>
          <cell r="S191" t="str">
            <v>0</v>
          </cell>
          <cell r="T191" t="str">
            <v>1.5</v>
          </cell>
          <cell r="U191" t="str">
            <v>2.5</v>
          </cell>
          <cell r="V191">
            <v>50</v>
          </cell>
          <cell r="X191" t="str">
            <v>Manufacturing</v>
          </cell>
          <cell r="Y191" t="str">
            <v>N/A</v>
          </cell>
          <cell r="Z191" t="str">
            <v>N/A</v>
          </cell>
          <cell r="AA191" t="str">
            <v>Shroud Area</v>
          </cell>
          <cell r="AB191" t="str">
            <v>Non-Sterile</v>
          </cell>
          <cell r="AC191" t="str">
            <v>N/A</v>
          </cell>
          <cell r="AG191" t="str">
            <v>N/A</v>
          </cell>
          <cell r="AH191" t="str">
            <v>N/A</v>
          </cell>
          <cell r="AI191" t="str">
            <v>LATEX FREE</v>
          </cell>
          <cell r="AJ191" t="str">
            <v>Discontinued</v>
          </cell>
          <cell r="AK191" t="str">
            <v>N/A</v>
          </cell>
          <cell r="AL191" t="str">
            <v>N/A</v>
          </cell>
          <cell r="AM191" t="str">
            <v>N/A</v>
          </cell>
          <cell r="AN191" t="str">
            <v>N/A</v>
          </cell>
          <cell r="AO191" t="str">
            <v>2056A</v>
          </cell>
          <cell r="AP191" t="str">
            <v>N/A</v>
          </cell>
          <cell r="AS191" t="str">
            <v>N/A</v>
          </cell>
          <cell r="AT191" t="str">
            <v>N/A</v>
          </cell>
          <cell r="AU191" t="str">
            <v>N/A</v>
          </cell>
          <cell r="AV191" t="str">
            <v>205</v>
          </cell>
        </row>
        <row r="192">
          <cell r="A192" t="str">
            <v>2106</v>
          </cell>
          <cell r="B192" t="str">
            <v>Cat #</v>
          </cell>
          <cell r="C192" t="str">
            <v>Fluid Resistant Gown, Open Back/50</v>
          </cell>
          <cell r="D192" t="str">
            <v>1996 ETAL</v>
          </cell>
          <cell r="E192">
            <v>37096</v>
          </cell>
          <cell r="F192" t="str">
            <v>25-210</v>
          </cell>
          <cell r="K192" t="str">
            <v>N/A</v>
          </cell>
          <cell r="L192" t="str">
            <v>N/A</v>
          </cell>
          <cell r="P192" t="str">
            <v>N/A</v>
          </cell>
          <cell r="Q192" t="str">
            <v>N/A</v>
          </cell>
          <cell r="R192" t="str">
            <v>8</v>
          </cell>
          <cell r="S192" t="str">
            <v>0</v>
          </cell>
          <cell r="T192" t="str">
            <v>1.5</v>
          </cell>
          <cell r="U192" t="str">
            <v>2.5</v>
          </cell>
          <cell r="V192">
            <v>50</v>
          </cell>
          <cell r="X192" t="str">
            <v>Manufacturing</v>
          </cell>
          <cell r="Y192" t="str">
            <v>N/A</v>
          </cell>
          <cell r="Z192" t="str">
            <v>N/A</v>
          </cell>
          <cell r="AA192" t="str">
            <v>Shroud Area</v>
          </cell>
          <cell r="AB192" t="str">
            <v>Non-Sterile</v>
          </cell>
          <cell r="AC192" t="str">
            <v>N/A</v>
          </cell>
          <cell r="AG192" t="str">
            <v>N/A</v>
          </cell>
          <cell r="AH192" t="str">
            <v>N/A</v>
          </cell>
          <cell r="AI192" t="str">
            <v>LATEX FREE</v>
          </cell>
          <cell r="AJ192" t="str">
            <v>Discontinued</v>
          </cell>
          <cell r="AK192" t="str">
            <v>N/A</v>
          </cell>
          <cell r="AL192" t="str">
            <v>N/A</v>
          </cell>
          <cell r="AM192" t="str">
            <v>N/A</v>
          </cell>
          <cell r="AN192" t="str">
            <v>N/A</v>
          </cell>
          <cell r="AO192" t="str">
            <v>2106SLF</v>
          </cell>
          <cell r="AP192" t="str">
            <v>N/A</v>
          </cell>
          <cell r="AS192" t="str">
            <v>N/A</v>
          </cell>
          <cell r="AT192" t="str">
            <v>N/A</v>
          </cell>
          <cell r="AU192" t="str">
            <v>N/A</v>
          </cell>
          <cell r="AV192" t="str">
            <v>210</v>
          </cell>
        </row>
        <row r="193">
          <cell r="A193" t="str">
            <v>2126</v>
          </cell>
          <cell r="B193" t="str">
            <v>Cat #</v>
          </cell>
          <cell r="C193" t="str">
            <v>Mckesson General Medical # 25-212 Large Coverall/25</v>
          </cell>
          <cell r="D193" t="str">
            <v>1996 ETAL</v>
          </cell>
          <cell r="E193">
            <v>37096</v>
          </cell>
          <cell r="F193" t="str">
            <v>25-212</v>
          </cell>
          <cell r="K193" t="str">
            <v>N/A</v>
          </cell>
          <cell r="L193" t="str">
            <v>N/A</v>
          </cell>
          <cell r="P193" t="str">
            <v>N/A</v>
          </cell>
          <cell r="Q193" t="str">
            <v>N/A</v>
          </cell>
          <cell r="R193" t="str">
            <v>8</v>
          </cell>
          <cell r="S193" t="str">
            <v>0</v>
          </cell>
          <cell r="T193" t="str">
            <v>1.5</v>
          </cell>
          <cell r="U193" t="str">
            <v>2.5</v>
          </cell>
          <cell r="V193">
            <v>25</v>
          </cell>
          <cell r="X193" t="str">
            <v>Manufacturing</v>
          </cell>
          <cell r="Y193" t="str">
            <v>N/A</v>
          </cell>
          <cell r="Z193" t="str">
            <v>N/A</v>
          </cell>
          <cell r="AA193" t="str">
            <v>Shroud Area</v>
          </cell>
          <cell r="AB193" t="str">
            <v>Non-Sterile</v>
          </cell>
          <cell r="AC193" t="str">
            <v>N/A</v>
          </cell>
          <cell r="AG193" t="str">
            <v>N/A</v>
          </cell>
          <cell r="AH193" t="str">
            <v>N/A</v>
          </cell>
          <cell r="AI193" t="str">
            <v>LATEX FREE</v>
          </cell>
          <cell r="AJ193" t="str">
            <v>Discontinued</v>
          </cell>
          <cell r="AK193" t="str">
            <v>N/A</v>
          </cell>
          <cell r="AL193" t="str">
            <v>N/A</v>
          </cell>
          <cell r="AM193" t="str">
            <v>N/A</v>
          </cell>
          <cell r="AN193" t="str">
            <v>N/A</v>
          </cell>
          <cell r="AO193" t="str">
            <v>3/212</v>
          </cell>
          <cell r="AP193" t="str">
            <v>N/A</v>
          </cell>
          <cell r="AS193" t="str">
            <v>N/A</v>
          </cell>
          <cell r="AT193" t="str">
            <v>N/A</v>
          </cell>
          <cell r="AU193" t="str">
            <v>N/A</v>
          </cell>
          <cell r="AV193" t="str">
            <v>212</v>
          </cell>
        </row>
        <row r="194">
          <cell r="A194" t="str">
            <v>2136</v>
          </cell>
          <cell r="B194" t="str">
            <v>Cat #</v>
          </cell>
          <cell r="C194" t="str">
            <v>Mckesson general Medical # 25-213 XL Coverall/25</v>
          </cell>
          <cell r="D194" t="str">
            <v>1996 ETAL</v>
          </cell>
          <cell r="E194">
            <v>37096</v>
          </cell>
          <cell r="F194" t="str">
            <v>25-213</v>
          </cell>
          <cell r="K194" t="str">
            <v>N/A</v>
          </cell>
          <cell r="L194" t="str">
            <v>N/A</v>
          </cell>
          <cell r="P194" t="str">
            <v>N/A</v>
          </cell>
          <cell r="Q194" t="str">
            <v>N/A</v>
          </cell>
          <cell r="R194" t="str">
            <v>8</v>
          </cell>
          <cell r="S194" t="str">
            <v>0</v>
          </cell>
          <cell r="T194" t="str">
            <v>1.5</v>
          </cell>
          <cell r="U194" t="str">
            <v>2.5</v>
          </cell>
          <cell r="V194">
            <v>25</v>
          </cell>
          <cell r="X194" t="str">
            <v>Manufacturing</v>
          </cell>
          <cell r="Y194" t="str">
            <v>N/A</v>
          </cell>
          <cell r="Z194" t="str">
            <v>N/A</v>
          </cell>
          <cell r="AA194" t="str">
            <v>Shroud Area</v>
          </cell>
          <cell r="AB194" t="str">
            <v>Non-Sterile</v>
          </cell>
          <cell r="AC194" t="str">
            <v>N/A</v>
          </cell>
          <cell r="AG194" t="str">
            <v>N/A</v>
          </cell>
          <cell r="AH194" t="str">
            <v>N/A</v>
          </cell>
          <cell r="AI194" t="str">
            <v>LATEX FREE</v>
          </cell>
          <cell r="AJ194" t="str">
            <v>Discontinued</v>
          </cell>
          <cell r="AK194" t="str">
            <v>N/A</v>
          </cell>
          <cell r="AL194" t="str">
            <v>N/A</v>
          </cell>
          <cell r="AM194" t="str">
            <v>N/A</v>
          </cell>
          <cell r="AN194" t="str">
            <v>N/A</v>
          </cell>
          <cell r="AO194" t="str">
            <v>3/212</v>
          </cell>
          <cell r="AP194" t="str">
            <v>N/A</v>
          </cell>
          <cell r="AS194" t="str">
            <v>N/A</v>
          </cell>
          <cell r="AT194" t="str">
            <v>N/A</v>
          </cell>
          <cell r="AU194" t="str">
            <v>N/A</v>
          </cell>
          <cell r="AV194" t="str">
            <v>213</v>
          </cell>
        </row>
        <row r="195">
          <cell r="A195" t="str">
            <v>2146</v>
          </cell>
          <cell r="B195" t="str">
            <v>Cat #</v>
          </cell>
          <cell r="C195" t="str">
            <v>Mckesson General Medical # 25-214 Large Coverall/25</v>
          </cell>
          <cell r="D195" t="str">
            <v>1996 ETAL</v>
          </cell>
          <cell r="E195">
            <v>37096</v>
          </cell>
          <cell r="F195" t="str">
            <v>25-214</v>
          </cell>
          <cell r="K195" t="str">
            <v>N/A</v>
          </cell>
          <cell r="L195" t="str">
            <v>N/A</v>
          </cell>
          <cell r="P195" t="str">
            <v>N/A</v>
          </cell>
          <cell r="Q195" t="str">
            <v>N/A</v>
          </cell>
          <cell r="R195" t="str">
            <v>8</v>
          </cell>
          <cell r="S195" t="str">
            <v>0</v>
          </cell>
          <cell r="T195" t="str">
            <v>1.5</v>
          </cell>
          <cell r="U195" t="str">
            <v>2.5</v>
          </cell>
          <cell r="V195">
            <v>25</v>
          </cell>
          <cell r="X195" t="str">
            <v>Manufacturing</v>
          </cell>
          <cell r="Y195" t="str">
            <v>N/A</v>
          </cell>
          <cell r="Z195" t="str">
            <v>N/A</v>
          </cell>
          <cell r="AA195" t="str">
            <v>Shroud Area</v>
          </cell>
          <cell r="AB195" t="str">
            <v>Non-Sterile</v>
          </cell>
          <cell r="AC195" t="str">
            <v>N/A</v>
          </cell>
          <cell r="AG195" t="str">
            <v>N/A</v>
          </cell>
          <cell r="AH195" t="str">
            <v>N/A</v>
          </cell>
          <cell r="AI195" t="str">
            <v>LATEX FREE</v>
          </cell>
          <cell r="AJ195" t="str">
            <v>Discontinued</v>
          </cell>
          <cell r="AK195" t="str">
            <v>N/A</v>
          </cell>
          <cell r="AL195" t="str">
            <v>N/A</v>
          </cell>
          <cell r="AM195" t="str">
            <v>N/A</v>
          </cell>
          <cell r="AN195" t="str">
            <v>N/A</v>
          </cell>
          <cell r="AO195" t="str">
            <v>2146SLF</v>
          </cell>
          <cell r="AP195" t="str">
            <v>N/A</v>
          </cell>
          <cell r="AS195" t="str">
            <v>N/A</v>
          </cell>
          <cell r="AT195" t="str">
            <v>N/A</v>
          </cell>
          <cell r="AU195" t="str">
            <v>N/A</v>
          </cell>
          <cell r="AV195" t="str">
            <v>214</v>
          </cell>
        </row>
        <row r="196">
          <cell r="A196" t="str">
            <v>2156</v>
          </cell>
          <cell r="B196" t="str">
            <v>Cat #</v>
          </cell>
          <cell r="C196" t="str">
            <v>Mckesson General Medical # 25-215 XL Coverall/25</v>
          </cell>
          <cell r="D196" t="str">
            <v>1996 ETAL</v>
          </cell>
          <cell r="E196">
            <v>37096</v>
          </cell>
          <cell r="F196" t="str">
            <v>25-215</v>
          </cell>
          <cell r="K196" t="str">
            <v>N/A</v>
          </cell>
          <cell r="L196" t="str">
            <v>N/A</v>
          </cell>
          <cell r="P196" t="str">
            <v>N/A</v>
          </cell>
          <cell r="Q196" t="str">
            <v>N/A</v>
          </cell>
          <cell r="R196" t="str">
            <v>8</v>
          </cell>
          <cell r="S196" t="str">
            <v>0</v>
          </cell>
          <cell r="T196" t="str">
            <v>1.5</v>
          </cell>
          <cell r="U196" t="str">
            <v>2.5</v>
          </cell>
          <cell r="V196">
            <v>25</v>
          </cell>
          <cell r="X196" t="str">
            <v>Manufacturing</v>
          </cell>
          <cell r="Y196" t="str">
            <v>N/A</v>
          </cell>
          <cell r="Z196" t="str">
            <v>N/A</v>
          </cell>
          <cell r="AA196" t="str">
            <v>Shroud Area</v>
          </cell>
          <cell r="AB196" t="str">
            <v>Non-Sterile</v>
          </cell>
          <cell r="AC196" t="str">
            <v>N/A</v>
          </cell>
          <cell r="AG196" t="str">
            <v>N/A</v>
          </cell>
          <cell r="AH196" t="str">
            <v>N/A</v>
          </cell>
          <cell r="AI196" t="str">
            <v>LATEX FREE</v>
          </cell>
          <cell r="AJ196" t="str">
            <v>Discontinued</v>
          </cell>
          <cell r="AK196" t="str">
            <v>N/A</v>
          </cell>
          <cell r="AL196" t="str">
            <v>N/A</v>
          </cell>
          <cell r="AM196" t="str">
            <v>N/A</v>
          </cell>
          <cell r="AN196" t="str">
            <v>N/A</v>
          </cell>
          <cell r="AO196" t="str">
            <v>2156SLF</v>
          </cell>
          <cell r="AP196" t="str">
            <v>N/A</v>
          </cell>
          <cell r="AS196" t="str">
            <v>N/A</v>
          </cell>
          <cell r="AT196" t="str">
            <v>N/A</v>
          </cell>
          <cell r="AU196" t="str">
            <v>N/A</v>
          </cell>
          <cell r="AV196" t="str">
            <v>215</v>
          </cell>
        </row>
        <row r="197">
          <cell r="A197" t="str">
            <v>2196</v>
          </cell>
          <cell r="B197" t="str">
            <v>Cat #</v>
          </cell>
          <cell r="C197" t="str">
            <v>Mckesson General Medical # 25-219 XL Coverall/25</v>
          </cell>
          <cell r="D197" t="str">
            <v>1996 ETAL</v>
          </cell>
          <cell r="E197">
            <v>37096</v>
          </cell>
          <cell r="F197" t="str">
            <v>25-219</v>
          </cell>
          <cell r="K197" t="str">
            <v>N/A</v>
          </cell>
          <cell r="L197" t="str">
            <v>N/A</v>
          </cell>
          <cell r="P197" t="str">
            <v>N/A</v>
          </cell>
          <cell r="Q197" t="str">
            <v>N/A</v>
          </cell>
          <cell r="R197" t="str">
            <v>8</v>
          </cell>
          <cell r="S197" t="str">
            <v>0</v>
          </cell>
          <cell r="T197" t="str">
            <v>1.5</v>
          </cell>
          <cell r="U197" t="str">
            <v>2.5</v>
          </cell>
          <cell r="V197">
            <v>25</v>
          </cell>
          <cell r="X197" t="str">
            <v>Manufacturing</v>
          </cell>
          <cell r="Y197" t="str">
            <v>N/A</v>
          </cell>
          <cell r="Z197" t="str">
            <v>N/A</v>
          </cell>
          <cell r="AA197" t="str">
            <v>Shroud Area</v>
          </cell>
          <cell r="AB197" t="str">
            <v>Non-Sterile</v>
          </cell>
          <cell r="AC197" t="str">
            <v>N/A</v>
          </cell>
          <cell r="AG197" t="str">
            <v>N/A</v>
          </cell>
          <cell r="AH197" t="str">
            <v>N/A</v>
          </cell>
          <cell r="AI197" t="str">
            <v>LATEX FREE</v>
          </cell>
          <cell r="AJ197" t="str">
            <v>Discontinued</v>
          </cell>
          <cell r="AK197" t="str">
            <v>N/A</v>
          </cell>
          <cell r="AL197" t="str">
            <v>N/A</v>
          </cell>
          <cell r="AM197" t="str">
            <v>N/A</v>
          </cell>
          <cell r="AN197" t="str">
            <v>N/A</v>
          </cell>
          <cell r="AO197" t="str">
            <v>2196SLF</v>
          </cell>
          <cell r="AP197" t="str">
            <v>N/A</v>
          </cell>
          <cell r="AS197" t="str">
            <v>N/A</v>
          </cell>
          <cell r="AT197" t="str">
            <v>N/A</v>
          </cell>
          <cell r="AU197" t="str">
            <v>N/A</v>
          </cell>
          <cell r="AV197" t="str">
            <v>219</v>
          </cell>
        </row>
        <row r="198">
          <cell r="A198" t="str">
            <v>2246</v>
          </cell>
          <cell r="B198" t="str">
            <v>Cat #</v>
          </cell>
          <cell r="C198" t="str">
            <v>Mckesson General Medical # 25-224 Med Labcoat/30</v>
          </cell>
          <cell r="D198" t="str">
            <v>1996 ETAL</v>
          </cell>
          <cell r="E198">
            <v>37096</v>
          </cell>
          <cell r="F198" t="str">
            <v>25-224</v>
          </cell>
          <cell r="K198" t="str">
            <v>N/A</v>
          </cell>
          <cell r="L198" t="str">
            <v>N/A</v>
          </cell>
          <cell r="P198" t="str">
            <v>N/A</v>
          </cell>
          <cell r="Q198" t="str">
            <v>N/A</v>
          </cell>
          <cell r="R198" t="str">
            <v>8</v>
          </cell>
          <cell r="S198" t="str">
            <v>0</v>
          </cell>
          <cell r="T198" t="str">
            <v>1.5</v>
          </cell>
          <cell r="U198" t="str">
            <v>2.5</v>
          </cell>
          <cell r="V198">
            <v>30</v>
          </cell>
          <cell r="X198" t="str">
            <v>Manufacturing</v>
          </cell>
          <cell r="Y198" t="str">
            <v>N/A</v>
          </cell>
          <cell r="Z198" t="str">
            <v>N/A</v>
          </cell>
          <cell r="AA198" t="str">
            <v>Shroud Area</v>
          </cell>
          <cell r="AB198" t="str">
            <v>Non-Sterile</v>
          </cell>
          <cell r="AC198" t="str">
            <v>N/A</v>
          </cell>
          <cell r="AG198" t="str">
            <v>N/A</v>
          </cell>
          <cell r="AH198" t="str">
            <v>N/A</v>
          </cell>
          <cell r="AI198" t="str">
            <v>LATEX FREE</v>
          </cell>
          <cell r="AJ198" t="str">
            <v>Discontinued</v>
          </cell>
          <cell r="AK198" t="str">
            <v>N/A</v>
          </cell>
          <cell r="AL198" t="str">
            <v>N/A</v>
          </cell>
          <cell r="AM198" t="str">
            <v>N/A</v>
          </cell>
          <cell r="AN198" t="str">
            <v>N/A</v>
          </cell>
          <cell r="AO198" t="str">
            <v>3/224</v>
          </cell>
          <cell r="AP198" t="str">
            <v>N/A</v>
          </cell>
          <cell r="AS198" t="str">
            <v>N/A</v>
          </cell>
          <cell r="AT198" t="str">
            <v>N/A</v>
          </cell>
          <cell r="AU198" t="str">
            <v>N/A</v>
          </cell>
          <cell r="AV198" t="str">
            <v>224</v>
          </cell>
        </row>
        <row r="199">
          <cell r="A199" t="str">
            <v>2266</v>
          </cell>
          <cell r="B199" t="str">
            <v>Cat #</v>
          </cell>
          <cell r="C199" t="str">
            <v>Med. White Labcoat W/ Knit Collar &amp; Cuffs/ MG # 25-226/30</v>
          </cell>
          <cell r="D199" t="str">
            <v>1996 ETAL</v>
          </cell>
          <cell r="E199">
            <v>37096</v>
          </cell>
          <cell r="F199" t="str">
            <v>25-226</v>
          </cell>
          <cell r="K199" t="str">
            <v>N/A</v>
          </cell>
          <cell r="L199" t="str">
            <v>N/A</v>
          </cell>
          <cell r="P199" t="str">
            <v>N/A</v>
          </cell>
          <cell r="Q199" t="str">
            <v>N/A</v>
          </cell>
          <cell r="R199" t="str">
            <v>8</v>
          </cell>
          <cell r="S199" t="str">
            <v>0</v>
          </cell>
          <cell r="T199" t="str">
            <v>1.5</v>
          </cell>
          <cell r="U199" t="str">
            <v>2.5</v>
          </cell>
          <cell r="V199">
            <v>30</v>
          </cell>
          <cell r="X199" t="str">
            <v>Manufacturing</v>
          </cell>
          <cell r="Y199" t="str">
            <v>N/A</v>
          </cell>
          <cell r="Z199" t="str">
            <v>N/A</v>
          </cell>
          <cell r="AA199" t="str">
            <v>Shroud Area</v>
          </cell>
          <cell r="AB199" t="str">
            <v>Non-Sterile</v>
          </cell>
          <cell r="AC199" t="str">
            <v>N/A</v>
          </cell>
          <cell r="AG199" t="str">
            <v>N/A</v>
          </cell>
          <cell r="AH199" t="str">
            <v>N/A</v>
          </cell>
          <cell r="AI199" t="str">
            <v>LATEX FREE</v>
          </cell>
          <cell r="AJ199" t="str">
            <v>Discontinued</v>
          </cell>
          <cell r="AK199" t="str">
            <v>N/A</v>
          </cell>
          <cell r="AL199" t="str">
            <v>N/A</v>
          </cell>
          <cell r="AM199" t="str">
            <v>N/A</v>
          </cell>
          <cell r="AN199" t="str">
            <v>N/A</v>
          </cell>
          <cell r="AO199" t="str">
            <v>3/226</v>
          </cell>
          <cell r="AP199" t="str">
            <v>N/A</v>
          </cell>
          <cell r="AS199" t="str">
            <v>N/A</v>
          </cell>
          <cell r="AT199" t="str">
            <v>N/A</v>
          </cell>
          <cell r="AU199" t="str">
            <v>N/A</v>
          </cell>
          <cell r="AV199" t="str">
            <v>226</v>
          </cell>
        </row>
        <row r="200">
          <cell r="A200" t="str">
            <v>2276</v>
          </cell>
          <cell r="B200" t="str">
            <v>Cat #</v>
          </cell>
          <cell r="C200" t="str">
            <v>XL Blue Labcoat W/ Knit Collar &amp; Cuffs/MG # 25-227/30</v>
          </cell>
          <cell r="D200" t="str">
            <v>1996 ETAL</v>
          </cell>
          <cell r="E200">
            <v>37096</v>
          </cell>
          <cell r="F200" t="str">
            <v>25-227</v>
          </cell>
          <cell r="K200" t="str">
            <v>N/A</v>
          </cell>
          <cell r="L200" t="str">
            <v>N/A</v>
          </cell>
          <cell r="P200" t="str">
            <v>N/A</v>
          </cell>
          <cell r="Q200" t="str">
            <v>N/A</v>
          </cell>
          <cell r="R200" t="str">
            <v>8</v>
          </cell>
          <cell r="S200" t="str">
            <v>0</v>
          </cell>
          <cell r="T200" t="str">
            <v>1.5</v>
          </cell>
          <cell r="U200" t="str">
            <v>2.5</v>
          </cell>
          <cell r="V200">
            <v>30</v>
          </cell>
          <cell r="X200" t="str">
            <v>Manufacturing</v>
          </cell>
          <cell r="Y200" t="str">
            <v>N/A</v>
          </cell>
          <cell r="Z200" t="str">
            <v>N/A</v>
          </cell>
          <cell r="AA200" t="str">
            <v>Shroud Area</v>
          </cell>
          <cell r="AB200" t="str">
            <v>Non-Sterile</v>
          </cell>
          <cell r="AC200" t="str">
            <v>N/A</v>
          </cell>
          <cell r="AG200" t="str">
            <v>N/A</v>
          </cell>
          <cell r="AH200" t="str">
            <v>N/A</v>
          </cell>
          <cell r="AI200" t="str">
            <v>LATEX FREE</v>
          </cell>
          <cell r="AJ200" t="str">
            <v>Discontinued</v>
          </cell>
          <cell r="AK200" t="str">
            <v>N/A</v>
          </cell>
          <cell r="AL200" t="str">
            <v>N/A</v>
          </cell>
          <cell r="AM200" t="str">
            <v>N/A</v>
          </cell>
          <cell r="AN200" t="str">
            <v>N/A</v>
          </cell>
          <cell r="AO200" t="str">
            <v>3/224</v>
          </cell>
          <cell r="AP200" t="str">
            <v>N/A</v>
          </cell>
          <cell r="AS200" t="str">
            <v>N/A</v>
          </cell>
          <cell r="AT200" t="str">
            <v>N/A</v>
          </cell>
          <cell r="AU200" t="str">
            <v>N/A</v>
          </cell>
          <cell r="AV200" t="str">
            <v>224</v>
          </cell>
        </row>
        <row r="201">
          <cell r="A201" t="str">
            <v>2286</v>
          </cell>
          <cell r="B201" t="str">
            <v>Cat #</v>
          </cell>
          <cell r="C201" t="str">
            <v>XL Blue Labcoat W/ Knit Collar &amp; Cuffs/MG # 25-228/30</v>
          </cell>
          <cell r="D201" t="str">
            <v>1996 ETAL</v>
          </cell>
          <cell r="E201">
            <v>37096</v>
          </cell>
          <cell r="F201" t="str">
            <v>25-228</v>
          </cell>
          <cell r="K201" t="str">
            <v>N/A</v>
          </cell>
          <cell r="L201" t="str">
            <v>N/A</v>
          </cell>
          <cell r="P201" t="str">
            <v>N/A</v>
          </cell>
          <cell r="Q201" t="str">
            <v>N/A</v>
          </cell>
          <cell r="R201" t="str">
            <v>8</v>
          </cell>
          <cell r="S201" t="str">
            <v>0</v>
          </cell>
          <cell r="T201" t="str">
            <v>1.5</v>
          </cell>
          <cell r="U201" t="str">
            <v>2.5</v>
          </cell>
          <cell r="V201">
            <v>30</v>
          </cell>
          <cell r="X201" t="str">
            <v>Manufacturing</v>
          </cell>
          <cell r="Y201" t="str">
            <v>N/A</v>
          </cell>
          <cell r="Z201" t="str">
            <v>N/A</v>
          </cell>
          <cell r="AA201" t="str">
            <v>Shroud Area</v>
          </cell>
          <cell r="AB201" t="str">
            <v>Non-Sterile</v>
          </cell>
          <cell r="AC201" t="str">
            <v>N/A</v>
          </cell>
          <cell r="AG201" t="str">
            <v>N/A</v>
          </cell>
          <cell r="AH201" t="str">
            <v>N/A</v>
          </cell>
          <cell r="AI201" t="str">
            <v>LATEX FREE</v>
          </cell>
          <cell r="AJ201" t="str">
            <v>Discontinued</v>
          </cell>
          <cell r="AK201" t="str">
            <v>N/A</v>
          </cell>
          <cell r="AL201" t="str">
            <v>N/A</v>
          </cell>
          <cell r="AM201" t="str">
            <v>N/A</v>
          </cell>
          <cell r="AN201" t="str">
            <v>N/A</v>
          </cell>
          <cell r="AO201" t="str">
            <v>3/226</v>
          </cell>
          <cell r="AP201" t="str">
            <v>N/A</v>
          </cell>
          <cell r="AS201" t="str">
            <v>N/A</v>
          </cell>
          <cell r="AT201" t="str">
            <v>N/A</v>
          </cell>
          <cell r="AU201" t="str">
            <v>N/A</v>
          </cell>
          <cell r="AV201" t="str">
            <v>228</v>
          </cell>
        </row>
        <row r="202">
          <cell r="A202" t="str">
            <v>2306</v>
          </cell>
          <cell r="B202" t="str">
            <v>Cat #</v>
          </cell>
          <cell r="C202" t="str">
            <v>Blue Staff Protection Gown/ Fluid Resistant, Open Back W/ Stockinet Cuffs/GM# 25-230/50</v>
          </cell>
          <cell r="D202" t="str">
            <v>1996 ETAL</v>
          </cell>
          <cell r="E202">
            <v>37096</v>
          </cell>
          <cell r="F202" t="str">
            <v>25-230</v>
          </cell>
          <cell r="K202" t="str">
            <v>N/A</v>
          </cell>
          <cell r="L202" t="str">
            <v>N/A</v>
          </cell>
          <cell r="P202" t="str">
            <v>N/A</v>
          </cell>
          <cell r="Q202" t="str">
            <v>N/A</v>
          </cell>
          <cell r="R202" t="str">
            <v>8</v>
          </cell>
          <cell r="S202" t="str">
            <v>0</v>
          </cell>
          <cell r="T202" t="str">
            <v>1.5</v>
          </cell>
          <cell r="U202" t="str">
            <v>2.5</v>
          </cell>
          <cell r="V202">
            <v>50</v>
          </cell>
          <cell r="X202" t="str">
            <v>Manufacturing</v>
          </cell>
          <cell r="Y202" t="str">
            <v>N/A</v>
          </cell>
          <cell r="Z202" t="str">
            <v>N/A</v>
          </cell>
          <cell r="AA202" t="str">
            <v>Shroud Area</v>
          </cell>
          <cell r="AB202" t="str">
            <v>Non-Sterile</v>
          </cell>
          <cell r="AC202" t="str">
            <v>N/A</v>
          </cell>
          <cell r="AG202" t="str">
            <v>N/A</v>
          </cell>
          <cell r="AH202" t="str">
            <v>N/A</v>
          </cell>
          <cell r="AI202" t="str">
            <v>LATEX FREE</v>
          </cell>
          <cell r="AJ202" t="str">
            <v>Discontinued</v>
          </cell>
          <cell r="AK202" t="str">
            <v>N/A</v>
          </cell>
          <cell r="AL202" t="str">
            <v>N/A</v>
          </cell>
          <cell r="AM202" t="str">
            <v>N/A</v>
          </cell>
          <cell r="AN202" t="str">
            <v>N/A</v>
          </cell>
          <cell r="AO202" t="str">
            <v>2306A</v>
          </cell>
          <cell r="AP202" t="str">
            <v>N/A</v>
          </cell>
          <cell r="AS202" t="str">
            <v>N/A</v>
          </cell>
          <cell r="AT202" t="str">
            <v>N/A</v>
          </cell>
          <cell r="AU202" t="str">
            <v>N/A</v>
          </cell>
          <cell r="AV202" t="str">
            <v>230</v>
          </cell>
        </row>
        <row r="203">
          <cell r="A203" t="str">
            <v>2326</v>
          </cell>
          <cell r="B203" t="str">
            <v>Cat #</v>
          </cell>
          <cell r="C203" t="str">
            <v>Mckesson General Medical # 25-232 Gown/50</v>
          </cell>
          <cell r="D203" t="str">
            <v>1996 ETAL</v>
          </cell>
          <cell r="E203">
            <v>37096</v>
          </cell>
          <cell r="F203" t="str">
            <v>25-232</v>
          </cell>
          <cell r="K203" t="str">
            <v>N/A</v>
          </cell>
          <cell r="L203" t="str">
            <v>N/A</v>
          </cell>
          <cell r="P203" t="str">
            <v>N/A</v>
          </cell>
          <cell r="Q203" t="str">
            <v>N/A</v>
          </cell>
          <cell r="R203" t="str">
            <v>8</v>
          </cell>
          <cell r="S203" t="str">
            <v>0</v>
          </cell>
          <cell r="T203" t="str">
            <v>1.5</v>
          </cell>
          <cell r="U203" t="str">
            <v>2.5</v>
          </cell>
          <cell r="V203">
            <v>50</v>
          </cell>
          <cell r="X203" t="str">
            <v>Manufacturing</v>
          </cell>
          <cell r="Y203" t="str">
            <v>N/A</v>
          </cell>
          <cell r="Z203" t="str">
            <v>N/A</v>
          </cell>
          <cell r="AA203" t="str">
            <v>Shroud Area</v>
          </cell>
          <cell r="AB203" t="str">
            <v>Non-Sterile</v>
          </cell>
          <cell r="AC203" t="str">
            <v>N/A</v>
          </cell>
          <cell r="AG203" t="str">
            <v>N/A</v>
          </cell>
          <cell r="AH203" t="str">
            <v>N/A</v>
          </cell>
          <cell r="AI203" t="str">
            <v>LATEX FREE</v>
          </cell>
          <cell r="AJ203" t="str">
            <v>Discontinued</v>
          </cell>
          <cell r="AK203" t="str">
            <v>N/A</v>
          </cell>
          <cell r="AL203" t="str">
            <v>N/A</v>
          </cell>
          <cell r="AM203" t="str">
            <v>N/A</v>
          </cell>
          <cell r="AN203" t="str">
            <v>N/A</v>
          </cell>
          <cell r="AO203" t="str">
            <v>2326SLF</v>
          </cell>
          <cell r="AP203" t="str">
            <v>N/A</v>
          </cell>
          <cell r="AS203" t="str">
            <v>N/A</v>
          </cell>
          <cell r="AT203" t="str">
            <v>N/A</v>
          </cell>
          <cell r="AU203" t="str">
            <v>N/A</v>
          </cell>
          <cell r="AV203" t="str">
            <v>232</v>
          </cell>
        </row>
        <row r="204">
          <cell r="A204" t="str">
            <v>2336</v>
          </cell>
          <cell r="B204" t="str">
            <v>Cat #</v>
          </cell>
          <cell r="C204" t="str">
            <v>Yellow Staff Protection Gown/ Fluid Resistant, Full Back W/ Elastic Cuffs/ MG #25-233/50</v>
          </cell>
          <cell r="D204" t="str">
            <v>1996 ETAL</v>
          </cell>
          <cell r="E204">
            <v>37096</v>
          </cell>
          <cell r="F204" t="str">
            <v>25-233</v>
          </cell>
          <cell r="K204" t="str">
            <v>N/A</v>
          </cell>
          <cell r="L204" t="str">
            <v>N/A</v>
          </cell>
          <cell r="P204" t="str">
            <v>N/A</v>
          </cell>
          <cell r="Q204" t="str">
            <v>N/A</v>
          </cell>
          <cell r="R204" t="str">
            <v>8</v>
          </cell>
          <cell r="S204" t="str">
            <v>0</v>
          </cell>
          <cell r="T204" t="str">
            <v>1.5</v>
          </cell>
          <cell r="U204" t="str">
            <v>2.5</v>
          </cell>
          <cell r="V204">
            <v>50</v>
          </cell>
          <cell r="X204" t="str">
            <v>Manufacturing</v>
          </cell>
          <cell r="Y204" t="str">
            <v>N/A</v>
          </cell>
          <cell r="Z204" t="str">
            <v>N/A</v>
          </cell>
          <cell r="AA204" t="str">
            <v>Shroud Area</v>
          </cell>
          <cell r="AB204" t="str">
            <v>Non-Sterile</v>
          </cell>
          <cell r="AC204" t="str">
            <v>N/A</v>
          </cell>
          <cell r="AG204" t="str">
            <v>N/A</v>
          </cell>
          <cell r="AH204" t="str">
            <v>N/A</v>
          </cell>
          <cell r="AI204" t="str">
            <v>LATEX FREE</v>
          </cell>
          <cell r="AJ204" t="str">
            <v>Discontinued</v>
          </cell>
          <cell r="AK204" t="str">
            <v>N/A</v>
          </cell>
          <cell r="AL204" t="str">
            <v>N/A</v>
          </cell>
          <cell r="AM204" t="str">
            <v>N/A</v>
          </cell>
          <cell r="AN204" t="str">
            <v>N/A</v>
          </cell>
          <cell r="AO204" t="str">
            <v>2336SLF</v>
          </cell>
          <cell r="AP204" t="str">
            <v>N/A</v>
          </cell>
          <cell r="AS204" t="str">
            <v>N/A</v>
          </cell>
          <cell r="AT204" t="str">
            <v>N/A</v>
          </cell>
          <cell r="AU204" t="str">
            <v>N/A</v>
          </cell>
          <cell r="AV204" t="str">
            <v>233</v>
          </cell>
        </row>
        <row r="205">
          <cell r="A205" t="str">
            <v>2346</v>
          </cell>
          <cell r="B205" t="str">
            <v>Cat #</v>
          </cell>
          <cell r="C205" t="str">
            <v>Mckesson General Medical # 25-234 Gown/50</v>
          </cell>
          <cell r="D205" t="str">
            <v>1996 ETAL</v>
          </cell>
          <cell r="E205">
            <v>37096</v>
          </cell>
          <cell r="F205" t="str">
            <v>25-234</v>
          </cell>
          <cell r="K205" t="str">
            <v>N/A</v>
          </cell>
          <cell r="L205" t="str">
            <v>N/A</v>
          </cell>
          <cell r="P205" t="str">
            <v>N/A</v>
          </cell>
          <cell r="Q205" t="str">
            <v>N/A</v>
          </cell>
          <cell r="R205" t="str">
            <v>8</v>
          </cell>
          <cell r="S205" t="str">
            <v>0</v>
          </cell>
          <cell r="T205" t="str">
            <v>1.5</v>
          </cell>
          <cell r="U205" t="str">
            <v>2.5</v>
          </cell>
          <cell r="V205">
            <v>50</v>
          </cell>
          <cell r="X205" t="str">
            <v>Manufacturing</v>
          </cell>
          <cell r="Y205" t="str">
            <v>N/A</v>
          </cell>
          <cell r="Z205" t="str">
            <v>N/A</v>
          </cell>
          <cell r="AA205" t="str">
            <v>Shroud Area</v>
          </cell>
          <cell r="AB205" t="str">
            <v>Non-Sterile</v>
          </cell>
          <cell r="AC205" t="str">
            <v>N/A</v>
          </cell>
          <cell r="AG205" t="str">
            <v>N/A</v>
          </cell>
          <cell r="AH205" t="str">
            <v>N/A</v>
          </cell>
          <cell r="AI205" t="str">
            <v>LATEX FREE</v>
          </cell>
          <cell r="AJ205" t="str">
            <v>Discontinued</v>
          </cell>
          <cell r="AK205" t="str">
            <v>N/A</v>
          </cell>
          <cell r="AL205" t="str">
            <v>N/A</v>
          </cell>
          <cell r="AM205" t="str">
            <v>N/A</v>
          </cell>
          <cell r="AN205" t="str">
            <v>N/A</v>
          </cell>
          <cell r="AO205" t="str">
            <v>2346A</v>
          </cell>
          <cell r="AP205" t="str">
            <v>N/A</v>
          </cell>
          <cell r="AS205" t="str">
            <v>N/A</v>
          </cell>
          <cell r="AT205" t="str">
            <v>N/A</v>
          </cell>
          <cell r="AU205" t="str">
            <v>N/A</v>
          </cell>
          <cell r="AV205" t="str">
            <v>234</v>
          </cell>
        </row>
        <row r="206">
          <cell r="A206" t="str">
            <v>2357</v>
          </cell>
          <cell r="B206" t="str">
            <v>Cat #</v>
          </cell>
          <cell r="C206" t="str">
            <v>Blue Protection Gown/ MG # 25-235/75</v>
          </cell>
          <cell r="F206" t="str">
            <v>25-235</v>
          </cell>
          <cell r="Q206" t="str">
            <v>N/A</v>
          </cell>
          <cell r="V206">
            <v>75</v>
          </cell>
          <cell r="X206" t="str">
            <v>Manufacturing</v>
          </cell>
          <cell r="Y206" t="str">
            <v>5</v>
          </cell>
          <cell r="Z206" t="str">
            <v>N/A</v>
          </cell>
          <cell r="AA206" t="str">
            <v>Shroud Area</v>
          </cell>
          <cell r="AB206" t="str">
            <v>Non-Sterile</v>
          </cell>
          <cell r="AC206" t="str">
            <v>N/A</v>
          </cell>
          <cell r="AG206" t="str">
            <v>N/A</v>
          </cell>
          <cell r="AH206" t="str">
            <v>N/A</v>
          </cell>
          <cell r="AI206" t="str">
            <v>LATEX FREE</v>
          </cell>
          <cell r="AJ206" t="str">
            <v>Current</v>
          </cell>
          <cell r="AK206" t="str">
            <v>N/A</v>
          </cell>
          <cell r="AL206" t="str">
            <v>N/A</v>
          </cell>
          <cell r="AM206" t="str">
            <v>N/A</v>
          </cell>
          <cell r="AN206" t="str">
            <v>N/A</v>
          </cell>
          <cell r="AO206" t="str">
            <v>N/A</v>
          </cell>
          <cell r="AP206" t="str">
            <v>N/A</v>
          </cell>
          <cell r="AS206" t="str">
            <v>Printed Cartons</v>
          </cell>
          <cell r="AT206" t="str">
            <v>N/A</v>
          </cell>
          <cell r="AU206" t="str">
            <v>N/A</v>
          </cell>
          <cell r="AV206" t="str">
            <v>25-235</v>
          </cell>
        </row>
        <row r="207">
          <cell r="A207" t="str">
            <v>2790KR</v>
          </cell>
          <cell r="B207" t="str">
            <v>Comp #</v>
          </cell>
          <cell r="C207" t="str">
            <v>7mm Curved Curette, K-Resin</v>
          </cell>
          <cell r="D207" t="str">
            <v>1330KR  ETAL</v>
          </cell>
          <cell r="E207">
            <v>36668</v>
          </cell>
          <cell r="F207" t="str">
            <v>N/A</v>
          </cell>
          <cell r="K207" t="str">
            <v>S-4</v>
          </cell>
          <cell r="L207" t="str">
            <v>N/A</v>
          </cell>
          <cell r="P207" t="str">
            <v>32</v>
          </cell>
          <cell r="Q207" t="str">
            <v>N/A</v>
          </cell>
          <cell r="R207" t="str">
            <v>8</v>
          </cell>
          <cell r="S207" t="str">
            <v>0</v>
          </cell>
          <cell r="T207" t="str">
            <v>1.5</v>
          </cell>
          <cell r="U207" t="str">
            <v>2.5</v>
          </cell>
          <cell r="V207">
            <v>1</v>
          </cell>
          <cell r="X207" t="str">
            <v>Process Room</v>
          </cell>
          <cell r="Y207" t="str">
            <v>N/A</v>
          </cell>
          <cell r="Z207" t="str">
            <v>N/A</v>
          </cell>
          <cell r="AA207" t="str">
            <v>Process Room</v>
          </cell>
          <cell r="AB207" t="str">
            <v>Non-Sterile</v>
          </cell>
          <cell r="AC207" t="str">
            <v>N/A</v>
          </cell>
          <cell r="AG207" t="str">
            <v>N/A</v>
          </cell>
          <cell r="AH207" t="str">
            <v>N/A</v>
          </cell>
          <cell r="AI207" t="str">
            <v>LATEX FREE</v>
          </cell>
          <cell r="AJ207" t="str">
            <v>Current</v>
          </cell>
          <cell r="AK207" t="str">
            <v>N/A</v>
          </cell>
          <cell r="AL207" t="str">
            <v>N/A</v>
          </cell>
          <cell r="AM207" t="str">
            <v>N/A</v>
          </cell>
          <cell r="AN207" t="str">
            <v>N/A</v>
          </cell>
          <cell r="AO207" t="str">
            <v>N/A</v>
          </cell>
          <cell r="AP207" t="str">
            <v>N/A</v>
          </cell>
          <cell r="AS207" t="str">
            <v>Identification Label</v>
          </cell>
          <cell r="AT207" t="str">
            <v>N/A</v>
          </cell>
          <cell r="AU207" t="str">
            <v>N/A</v>
          </cell>
          <cell r="AV207" t="str">
            <v>1331K</v>
          </cell>
        </row>
        <row r="208">
          <cell r="A208">
            <v>2798</v>
          </cell>
          <cell r="B208" t="str">
            <v>Cat #</v>
          </cell>
          <cell r="C208" t="str">
            <v>Bulk 7mm Curved Curette/500</v>
          </cell>
          <cell r="D208" t="str">
            <v>1338 ETAL</v>
          </cell>
          <cell r="E208">
            <v>36668</v>
          </cell>
          <cell r="F208" t="str">
            <v>N/A</v>
          </cell>
          <cell r="K208" t="str">
            <v>S-4</v>
          </cell>
          <cell r="L208" t="str">
            <v>N/A</v>
          </cell>
          <cell r="P208" t="str">
            <v>32</v>
          </cell>
          <cell r="Q208" t="str">
            <v>N/A</v>
          </cell>
          <cell r="R208" t="str">
            <v>8</v>
          </cell>
          <cell r="S208" t="str">
            <v>0</v>
          </cell>
          <cell r="T208" t="str">
            <v>1.5</v>
          </cell>
          <cell r="U208" t="str">
            <v>2.5</v>
          </cell>
          <cell r="V208">
            <v>500</v>
          </cell>
          <cell r="W208" t="str">
            <v>S-4</v>
          </cell>
          <cell r="X208" t="str">
            <v>Process Room</v>
          </cell>
          <cell r="Y208" t="str">
            <v>N/A</v>
          </cell>
          <cell r="Z208" t="str">
            <v>N/A</v>
          </cell>
          <cell r="AA208" t="str">
            <v>Process Room</v>
          </cell>
          <cell r="AB208" t="str">
            <v>Non-Sterile</v>
          </cell>
          <cell r="AC208" t="str">
            <v>N/A</v>
          </cell>
          <cell r="AG208" t="str">
            <v>N/A</v>
          </cell>
          <cell r="AH208" t="str">
            <v>N/A</v>
          </cell>
          <cell r="AI208" t="str">
            <v>LATEX FREE</v>
          </cell>
          <cell r="AJ208" t="str">
            <v>Current</v>
          </cell>
          <cell r="AK208" t="str">
            <v>N/A</v>
          </cell>
          <cell r="AL208" t="str">
            <v>N/A</v>
          </cell>
          <cell r="AM208" t="str">
            <v>N/A</v>
          </cell>
          <cell r="AN208" t="str">
            <v>N/A</v>
          </cell>
          <cell r="AO208" t="str">
            <v>LF2798SL</v>
          </cell>
          <cell r="AP208" t="str">
            <v>N/A</v>
          </cell>
          <cell r="AS208" t="str">
            <v>N/A</v>
          </cell>
          <cell r="AT208" t="str">
            <v>N/A</v>
          </cell>
          <cell r="AU208" t="str">
            <v>2790KR,2963A</v>
          </cell>
          <cell r="AV208" t="str">
            <v>N/A</v>
          </cell>
        </row>
        <row r="209">
          <cell r="A209" t="str">
            <v>2800KR</v>
          </cell>
          <cell r="B209" t="str">
            <v>Comp #</v>
          </cell>
          <cell r="C209" t="str">
            <v>8mm Curved Curette, K-Resin</v>
          </cell>
          <cell r="D209" t="str">
            <v>1330KR  ETAL</v>
          </cell>
          <cell r="E209">
            <v>36668</v>
          </cell>
          <cell r="F209" t="str">
            <v>N/A</v>
          </cell>
          <cell r="K209" t="str">
            <v>S-4</v>
          </cell>
          <cell r="L209" t="str">
            <v>N/A</v>
          </cell>
          <cell r="P209" t="str">
            <v>28</v>
          </cell>
          <cell r="Q209" t="str">
            <v>N/A</v>
          </cell>
          <cell r="R209" t="str">
            <v>8</v>
          </cell>
          <cell r="S209" t="str">
            <v>0</v>
          </cell>
          <cell r="T209" t="str">
            <v>1.5</v>
          </cell>
          <cell r="U209" t="str">
            <v>2.5</v>
          </cell>
          <cell r="V209">
            <v>1</v>
          </cell>
          <cell r="X209" t="str">
            <v>Process Room</v>
          </cell>
          <cell r="Y209" t="str">
            <v>N/A</v>
          </cell>
          <cell r="Z209" t="str">
            <v>N/A</v>
          </cell>
          <cell r="AA209" t="str">
            <v>Process Room</v>
          </cell>
          <cell r="AB209" t="str">
            <v>Non-Sterile</v>
          </cell>
          <cell r="AC209" t="str">
            <v>N/A</v>
          </cell>
          <cell r="AG209" t="str">
            <v>N/A</v>
          </cell>
          <cell r="AH209" t="str">
            <v>N/A</v>
          </cell>
          <cell r="AI209" t="str">
            <v>LATEX FREE</v>
          </cell>
          <cell r="AJ209" t="str">
            <v>Current</v>
          </cell>
          <cell r="AK209" t="str">
            <v>N/A</v>
          </cell>
          <cell r="AL209" t="str">
            <v>N/A</v>
          </cell>
          <cell r="AM209" t="str">
            <v>N/A</v>
          </cell>
          <cell r="AN209" t="str">
            <v>N/A</v>
          </cell>
          <cell r="AO209" t="str">
            <v>N/A</v>
          </cell>
          <cell r="AP209" t="str">
            <v>N/A</v>
          </cell>
          <cell r="AS209" t="str">
            <v>Identification Label</v>
          </cell>
          <cell r="AT209" t="str">
            <v>N/A</v>
          </cell>
          <cell r="AU209" t="str">
            <v>N/A</v>
          </cell>
          <cell r="AV209" t="str">
            <v>1341K</v>
          </cell>
        </row>
        <row r="210">
          <cell r="A210">
            <v>2808</v>
          </cell>
          <cell r="B210" t="str">
            <v>Cat #</v>
          </cell>
          <cell r="C210" t="str">
            <v>Bulk 8mm Curved Curette/500</v>
          </cell>
          <cell r="D210" t="str">
            <v>1338 ETAL</v>
          </cell>
          <cell r="E210">
            <v>36668</v>
          </cell>
          <cell r="F210" t="str">
            <v>N/A</v>
          </cell>
          <cell r="K210" t="str">
            <v>S-4</v>
          </cell>
          <cell r="L210" t="str">
            <v>N/A</v>
          </cell>
          <cell r="P210" t="str">
            <v>28</v>
          </cell>
          <cell r="Q210" t="str">
            <v>N/A</v>
          </cell>
          <cell r="R210" t="str">
            <v>8</v>
          </cell>
          <cell r="S210" t="str">
            <v>0</v>
          </cell>
          <cell r="T210" t="str">
            <v>1.5</v>
          </cell>
          <cell r="U210" t="str">
            <v>2.5</v>
          </cell>
          <cell r="V210">
            <v>500</v>
          </cell>
          <cell r="W210" t="str">
            <v>S-4</v>
          </cell>
          <cell r="X210" t="str">
            <v>Process Room</v>
          </cell>
          <cell r="Y210" t="str">
            <v>N/A</v>
          </cell>
          <cell r="Z210" t="str">
            <v>N/A</v>
          </cell>
          <cell r="AA210" t="str">
            <v>Process Room</v>
          </cell>
          <cell r="AB210" t="str">
            <v>Non-Sterile</v>
          </cell>
          <cell r="AC210" t="str">
            <v>N/A</v>
          </cell>
          <cell r="AG210" t="str">
            <v>N/A</v>
          </cell>
          <cell r="AH210" t="str">
            <v>N/A</v>
          </cell>
          <cell r="AI210" t="str">
            <v>LATEX FREE</v>
          </cell>
          <cell r="AJ210" t="str">
            <v>Current</v>
          </cell>
          <cell r="AK210" t="str">
            <v>N/A</v>
          </cell>
          <cell r="AL210" t="str">
            <v>N/A</v>
          </cell>
          <cell r="AM210" t="str">
            <v>N/A</v>
          </cell>
          <cell r="AN210" t="str">
            <v>N/A</v>
          </cell>
          <cell r="AO210" t="str">
            <v>LF2808SL</v>
          </cell>
          <cell r="AP210" t="str">
            <v>N/A</v>
          </cell>
          <cell r="AS210" t="str">
            <v>N/A</v>
          </cell>
          <cell r="AT210" t="str">
            <v>N/A</v>
          </cell>
          <cell r="AU210" t="str">
            <v>2800KR,2963A</v>
          </cell>
          <cell r="AV210" t="str">
            <v>N/A</v>
          </cell>
        </row>
        <row r="211">
          <cell r="A211" t="str">
            <v>2810KR</v>
          </cell>
          <cell r="B211" t="str">
            <v>Comp #</v>
          </cell>
          <cell r="C211" t="str">
            <v>9mm Curved Curette, K-Resin</v>
          </cell>
          <cell r="D211" t="str">
            <v>1330KR  ETAL</v>
          </cell>
          <cell r="E211">
            <v>36668</v>
          </cell>
          <cell r="F211" t="str">
            <v>N/A</v>
          </cell>
          <cell r="K211" t="str">
            <v>S-4</v>
          </cell>
          <cell r="L211" t="str">
            <v>N/A</v>
          </cell>
          <cell r="P211" t="str">
            <v>28</v>
          </cell>
          <cell r="Q211" t="str">
            <v>N/A</v>
          </cell>
          <cell r="R211" t="str">
            <v>8</v>
          </cell>
          <cell r="S211" t="str">
            <v>0</v>
          </cell>
          <cell r="T211" t="str">
            <v>1.5</v>
          </cell>
          <cell r="U211" t="str">
            <v>2.5</v>
          </cell>
          <cell r="V211">
            <v>1</v>
          </cell>
          <cell r="X211" t="str">
            <v>Process Room</v>
          </cell>
          <cell r="Y211" t="str">
            <v>N/A</v>
          </cell>
          <cell r="Z211" t="str">
            <v>N/A</v>
          </cell>
          <cell r="AA211" t="str">
            <v>Process Room</v>
          </cell>
          <cell r="AB211" t="str">
            <v>Non-Sterile</v>
          </cell>
          <cell r="AC211" t="str">
            <v>N/A</v>
          </cell>
          <cell r="AG211" t="str">
            <v>N/A</v>
          </cell>
          <cell r="AH211" t="str">
            <v>N/A</v>
          </cell>
          <cell r="AI211" t="str">
            <v>LATEX FREE</v>
          </cell>
          <cell r="AJ211" t="str">
            <v>Current</v>
          </cell>
          <cell r="AK211" t="str">
            <v>N/A</v>
          </cell>
          <cell r="AL211" t="str">
            <v>N/A</v>
          </cell>
          <cell r="AM211" t="str">
            <v>N/A</v>
          </cell>
          <cell r="AN211" t="str">
            <v>N/A</v>
          </cell>
          <cell r="AO211" t="str">
            <v>N/A</v>
          </cell>
          <cell r="AP211" t="str">
            <v>N/A</v>
          </cell>
          <cell r="AS211" t="str">
            <v>Identification Label</v>
          </cell>
          <cell r="AT211" t="str">
            <v>N/A</v>
          </cell>
          <cell r="AU211" t="str">
            <v>N/A</v>
          </cell>
          <cell r="AV211" t="str">
            <v>1351K</v>
          </cell>
        </row>
        <row r="212">
          <cell r="A212">
            <v>2818</v>
          </cell>
          <cell r="B212" t="str">
            <v>Cat #</v>
          </cell>
          <cell r="C212" t="str">
            <v>Bulk 9mm Curved Curette/500</v>
          </cell>
          <cell r="D212" t="str">
            <v>1338 ETAL</v>
          </cell>
          <cell r="E212">
            <v>36668</v>
          </cell>
          <cell r="F212" t="str">
            <v>N/A</v>
          </cell>
          <cell r="K212" t="str">
            <v>S-4</v>
          </cell>
          <cell r="L212" t="str">
            <v>N/A</v>
          </cell>
          <cell r="P212" t="str">
            <v>28</v>
          </cell>
          <cell r="Q212" t="str">
            <v>N/A</v>
          </cell>
          <cell r="R212" t="str">
            <v>8</v>
          </cell>
          <cell r="S212" t="str">
            <v>0</v>
          </cell>
          <cell r="T212" t="str">
            <v>1.5</v>
          </cell>
          <cell r="U212" t="str">
            <v>2.5</v>
          </cell>
          <cell r="V212">
            <v>500</v>
          </cell>
          <cell r="W212" t="str">
            <v>S-4</v>
          </cell>
          <cell r="X212" t="str">
            <v>Process Room</v>
          </cell>
          <cell r="Y212" t="str">
            <v>N/A</v>
          </cell>
          <cell r="Z212" t="str">
            <v>N/A</v>
          </cell>
          <cell r="AA212" t="str">
            <v>Process Room</v>
          </cell>
          <cell r="AB212" t="str">
            <v>Non-Sterile</v>
          </cell>
          <cell r="AC212" t="str">
            <v>N/A</v>
          </cell>
          <cell r="AG212" t="str">
            <v>N/A</v>
          </cell>
          <cell r="AH212" t="str">
            <v>N/A</v>
          </cell>
          <cell r="AI212" t="str">
            <v>LATEX FREE</v>
          </cell>
          <cell r="AJ212" t="str">
            <v>Current</v>
          </cell>
          <cell r="AK212" t="str">
            <v>N/A</v>
          </cell>
          <cell r="AL212" t="str">
            <v>N/A</v>
          </cell>
          <cell r="AM212" t="str">
            <v>N/A</v>
          </cell>
          <cell r="AN212" t="str">
            <v>N/A</v>
          </cell>
          <cell r="AO212" t="str">
            <v>LF2818SL</v>
          </cell>
          <cell r="AP212" t="str">
            <v>N/A</v>
          </cell>
          <cell r="AS212" t="str">
            <v>N/A</v>
          </cell>
          <cell r="AT212" t="str">
            <v>N/A</v>
          </cell>
          <cell r="AU212" t="str">
            <v>2810KR,2963A</v>
          </cell>
          <cell r="AV212" t="str">
            <v>N/A</v>
          </cell>
        </row>
        <row r="213">
          <cell r="A213" t="str">
            <v>2820KR</v>
          </cell>
          <cell r="B213" t="str">
            <v>Comp #</v>
          </cell>
          <cell r="C213" t="str">
            <v>10mm Curved Curette, K-Resin</v>
          </cell>
          <cell r="D213" t="str">
            <v>1330KR ETAL</v>
          </cell>
          <cell r="E213">
            <v>36668</v>
          </cell>
          <cell r="F213" t="str">
            <v>N/A</v>
          </cell>
          <cell r="K213" t="str">
            <v>S-4</v>
          </cell>
          <cell r="L213" t="str">
            <v>N/A</v>
          </cell>
          <cell r="P213" t="str">
            <v>28</v>
          </cell>
          <cell r="Q213" t="str">
            <v>N/A</v>
          </cell>
          <cell r="R213" t="str">
            <v>8</v>
          </cell>
          <cell r="S213" t="str">
            <v>0</v>
          </cell>
          <cell r="T213" t="str">
            <v>1.5</v>
          </cell>
          <cell r="U213" t="str">
            <v>2.5</v>
          </cell>
          <cell r="V213">
            <v>1</v>
          </cell>
          <cell r="X213" t="str">
            <v>Process Room</v>
          </cell>
          <cell r="Y213" t="str">
            <v>N/A</v>
          </cell>
          <cell r="Z213" t="str">
            <v>N/A</v>
          </cell>
          <cell r="AA213" t="str">
            <v>Process Room</v>
          </cell>
          <cell r="AB213" t="str">
            <v>Non-Sterile</v>
          </cell>
          <cell r="AC213" t="str">
            <v>N/A</v>
          </cell>
          <cell r="AG213" t="str">
            <v>N/A</v>
          </cell>
          <cell r="AH213" t="str">
            <v>N/A</v>
          </cell>
          <cell r="AI213" t="str">
            <v>LATEX FREE</v>
          </cell>
          <cell r="AJ213" t="str">
            <v>Current</v>
          </cell>
          <cell r="AK213" t="str">
            <v>N/A</v>
          </cell>
          <cell r="AL213" t="str">
            <v>N/A</v>
          </cell>
          <cell r="AM213" t="str">
            <v>N/A</v>
          </cell>
          <cell r="AN213" t="str">
            <v>N/A</v>
          </cell>
          <cell r="AO213" t="str">
            <v>N/A</v>
          </cell>
          <cell r="AP213" t="str">
            <v>N/A</v>
          </cell>
          <cell r="AS213" t="str">
            <v>Identification Label</v>
          </cell>
          <cell r="AT213" t="str">
            <v>N/A</v>
          </cell>
          <cell r="AU213" t="str">
            <v>N/A</v>
          </cell>
          <cell r="AV213" t="str">
            <v>1361K</v>
          </cell>
        </row>
        <row r="214">
          <cell r="A214">
            <v>2828</v>
          </cell>
          <cell r="B214" t="str">
            <v>Cat #</v>
          </cell>
          <cell r="C214" t="str">
            <v>Bulk 10mm Curved Curette/500</v>
          </cell>
          <cell r="D214" t="str">
            <v>1338 ETAL</v>
          </cell>
          <cell r="E214">
            <v>36668</v>
          </cell>
          <cell r="F214" t="str">
            <v>N/A</v>
          </cell>
          <cell r="K214" t="str">
            <v>S-4</v>
          </cell>
          <cell r="L214" t="str">
            <v>N/A</v>
          </cell>
          <cell r="P214" t="str">
            <v>28</v>
          </cell>
          <cell r="Q214" t="str">
            <v>N/A</v>
          </cell>
          <cell r="R214" t="str">
            <v>8</v>
          </cell>
          <cell r="S214" t="str">
            <v>0</v>
          </cell>
          <cell r="T214" t="str">
            <v>1.5</v>
          </cell>
          <cell r="U214" t="str">
            <v>2.5</v>
          </cell>
          <cell r="V214">
            <v>500</v>
          </cell>
          <cell r="W214" t="str">
            <v>S-4</v>
          </cell>
          <cell r="X214" t="str">
            <v>Process Room</v>
          </cell>
          <cell r="Y214" t="str">
            <v>N/A</v>
          </cell>
          <cell r="Z214" t="str">
            <v>N/A</v>
          </cell>
          <cell r="AA214" t="str">
            <v>Process Room</v>
          </cell>
          <cell r="AB214" t="str">
            <v>Non-Sterile</v>
          </cell>
          <cell r="AC214" t="str">
            <v>N/A</v>
          </cell>
          <cell r="AG214" t="str">
            <v>N/A</v>
          </cell>
          <cell r="AH214" t="str">
            <v>N/A</v>
          </cell>
          <cell r="AI214" t="str">
            <v>LATEX FREE</v>
          </cell>
          <cell r="AJ214" t="str">
            <v>Current</v>
          </cell>
          <cell r="AK214" t="str">
            <v>N/A</v>
          </cell>
          <cell r="AL214" t="str">
            <v>N/A</v>
          </cell>
          <cell r="AM214" t="str">
            <v>N/A</v>
          </cell>
          <cell r="AN214" t="str">
            <v>N/A</v>
          </cell>
          <cell r="AO214" t="str">
            <v>LF2828SL</v>
          </cell>
          <cell r="AP214" t="str">
            <v>N/A</v>
          </cell>
          <cell r="AS214" t="str">
            <v>N/A</v>
          </cell>
          <cell r="AT214" t="str">
            <v>N/A</v>
          </cell>
          <cell r="AU214" t="str">
            <v>2820KR,2963A</v>
          </cell>
          <cell r="AV214" t="str">
            <v>N/A</v>
          </cell>
        </row>
        <row r="215">
          <cell r="A215" t="str">
            <v>2830KR</v>
          </cell>
          <cell r="B215" t="str">
            <v>Comp #</v>
          </cell>
          <cell r="C215" t="str">
            <v>11mm Curved Curette, K-Resin</v>
          </cell>
          <cell r="D215" t="str">
            <v>1330KR ETAL</v>
          </cell>
          <cell r="E215">
            <v>36668</v>
          </cell>
          <cell r="F215" t="str">
            <v>N/A</v>
          </cell>
          <cell r="K215" t="str">
            <v>S-4</v>
          </cell>
          <cell r="L215" t="str">
            <v>N/A</v>
          </cell>
          <cell r="P215" t="str">
            <v>28</v>
          </cell>
          <cell r="Q215" t="str">
            <v>N/A</v>
          </cell>
          <cell r="R215" t="str">
            <v>8</v>
          </cell>
          <cell r="S215" t="str">
            <v>0</v>
          </cell>
          <cell r="T215" t="str">
            <v>1.5</v>
          </cell>
          <cell r="U215" t="str">
            <v>2.5</v>
          </cell>
          <cell r="V215">
            <v>1</v>
          </cell>
          <cell r="X215" t="str">
            <v>Process Room</v>
          </cell>
          <cell r="Y215" t="str">
            <v>N/A</v>
          </cell>
          <cell r="Z215" t="str">
            <v>N/A</v>
          </cell>
          <cell r="AA215" t="str">
            <v>Process Room</v>
          </cell>
          <cell r="AB215" t="str">
            <v>Non-Sterile</v>
          </cell>
          <cell r="AC215" t="str">
            <v>N/A</v>
          </cell>
          <cell r="AG215" t="str">
            <v>N/A</v>
          </cell>
          <cell r="AH215" t="str">
            <v>N/A</v>
          </cell>
          <cell r="AI215" t="str">
            <v>LATEX FREE</v>
          </cell>
          <cell r="AJ215" t="str">
            <v>Current</v>
          </cell>
          <cell r="AK215" t="str">
            <v>N/A</v>
          </cell>
          <cell r="AL215" t="str">
            <v>N/A</v>
          </cell>
          <cell r="AM215" t="str">
            <v>N/A</v>
          </cell>
          <cell r="AN215" t="str">
            <v>N/A</v>
          </cell>
          <cell r="AO215" t="str">
            <v>N/A</v>
          </cell>
          <cell r="AP215" t="str">
            <v>N/A</v>
          </cell>
          <cell r="AS215" t="str">
            <v>Identification Label</v>
          </cell>
          <cell r="AT215" t="str">
            <v>N/A</v>
          </cell>
          <cell r="AU215" t="str">
            <v>N/A</v>
          </cell>
          <cell r="AV215" t="str">
            <v>1371K</v>
          </cell>
        </row>
        <row r="216">
          <cell r="A216">
            <v>2838</v>
          </cell>
          <cell r="B216" t="str">
            <v>Cat #</v>
          </cell>
          <cell r="C216" t="str">
            <v>Bulk 11mm Curved Curette/250</v>
          </cell>
          <cell r="D216" t="str">
            <v>1338 ETAL</v>
          </cell>
          <cell r="E216">
            <v>36668</v>
          </cell>
          <cell r="F216" t="str">
            <v>N/A</v>
          </cell>
          <cell r="K216" t="str">
            <v>S-4</v>
          </cell>
          <cell r="L216" t="str">
            <v>N/A</v>
          </cell>
          <cell r="P216" t="str">
            <v>28</v>
          </cell>
          <cell r="Q216" t="str">
            <v>N/A</v>
          </cell>
          <cell r="R216" t="str">
            <v>8</v>
          </cell>
          <cell r="S216" t="str">
            <v>0</v>
          </cell>
          <cell r="T216" t="str">
            <v>1.5</v>
          </cell>
          <cell r="U216" t="str">
            <v>2.5</v>
          </cell>
          <cell r="V216">
            <v>250</v>
          </cell>
          <cell r="W216" t="str">
            <v>S-4</v>
          </cell>
          <cell r="X216" t="str">
            <v>Process Room</v>
          </cell>
          <cell r="Y216" t="str">
            <v>N/A</v>
          </cell>
          <cell r="Z216" t="str">
            <v>N/A</v>
          </cell>
          <cell r="AA216" t="str">
            <v>Process Room</v>
          </cell>
          <cell r="AB216" t="str">
            <v>Non-Sterile</v>
          </cell>
          <cell r="AC216" t="str">
            <v>N/A</v>
          </cell>
          <cell r="AG216" t="str">
            <v>N/A</v>
          </cell>
          <cell r="AH216" t="str">
            <v>N/A</v>
          </cell>
          <cell r="AI216" t="str">
            <v>LATEX FREE</v>
          </cell>
          <cell r="AJ216" t="str">
            <v>Current</v>
          </cell>
          <cell r="AK216" t="str">
            <v>N/A</v>
          </cell>
          <cell r="AL216" t="str">
            <v>N/A</v>
          </cell>
          <cell r="AM216" t="str">
            <v>N/A</v>
          </cell>
          <cell r="AN216" t="str">
            <v>N/A</v>
          </cell>
          <cell r="AO216" t="str">
            <v>LF2838SL</v>
          </cell>
          <cell r="AP216" t="str">
            <v>N/A</v>
          </cell>
          <cell r="AS216" t="str">
            <v>N/A</v>
          </cell>
          <cell r="AT216" t="str">
            <v>N/A</v>
          </cell>
          <cell r="AU216" t="str">
            <v>2830KR,2963A</v>
          </cell>
          <cell r="AV216" t="str">
            <v>N/A</v>
          </cell>
        </row>
        <row r="217">
          <cell r="A217" t="str">
            <v>2840KR</v>
          </cell>
          <cell r="B217" t="str">
            <v>Comp#</v>
          </cell>
          <cell r="C217" t="str">
            <v>12MM Crvd Curette K-Resin</v>
          </cell>
          <cell r="D217" t="str">
            <v>1330KR ETAL</v>
          </cell>
          <cell r="E217">
            <v>36668</v>
          </cell>
          <cell r="F217" t="str">
            <v>N/A</v>
          </cell>
          <cell r="K217" t="str">
            <v>S-4</v>
          </cell>
          <cell r="L217" t="str">
            <v>N/A</v>
          </cell>
          <cell r="P217" t="str">
            <v>28</v>
          </cell>
          <cell r="Q217" t="str">
            <v>N/A</v>
          </cell>
          <cell r="R217" t="str">
            <v>8</v>
          </cell>
          <cell r="S217" t="str">
            <v>0</v>
          </cell>
          <cell r="T217" t="str">
            <v>1.5</v>
          </cell>
          <cell r="U217" t="str">
            <v>2.5</v>
          </cell>
          <cell r="X217" t="str">
            <v>Manufacturing</v>
          </cell>
          <cell r="AB217" t="str">
            <v>Non-Sterile</v>
          </cell>
          <cell r="AK217" t="str">
            <v>N/A</v>
          </cell>
          <cell r="AL217" t="str">
            <v>N/A</v>
          </cell>
        </row>
        <row r="218">
          <cell r="A218">
            <v>2848</v>
          </cell>
          <cell r="B218" t="str">
            <v>Cat #</v>
          </cell>
          <cell r="C218" t="str">
            <v>Bulk 12mm Curved Curette/250</v>
          </cell>
          <cell r="D218" t="str">
            <v>1338 ETAL</v>
          </cell>
          <cell r="E218">
            <v>36668</v>
          </cell>
          <cell r="F218" t="str">
            <v>N/A</v>
          </cell>
          <cell r="K218" t="str">
            <v>S-4</v>
          </cell>
          <cell r="L218" t="str">
            <v>N/A</v>
          </cell>
          <cell r="P218" t="str">
            <v>28</v>
          </cell>
          <cell r="Q218" t="str">
            <v>N/A</v>
          </cell>
          <cell r="R218" t="str">
            <v>8</v>
          </cell>
          <cell r="S218" t="str">
            <v>0</v>
          </cell>
          <cell r="T218" t="str">
            <v>1.5</v>
          </cell>
          <cell r="U218" t="str">
            <v>2.5</v>
          </cell>
          <cell r="V218">
            <v>250</v>
          </cell>
          <cell r="W218" t="str">
            <v>S-4</v>
          </cell>
          <cell r="X218" t="str">
            <v>Process Room</v>
          </cell>
          <cell r="Y218" t="str">
            <v>N/A</v>
          </cell>
          <cell r="Z218" t="str">
            <v>N/A</v>
          </cell>
          <cell r="AA218" t="str">
            <v>Process Room</v>
          </cell>
          <cell r="AB218" t="str">
            <v>Non-Sterile</v>
          </cell>
          <cell r="AC218" t="str">
            <v>N/A</v>
          </cell>
          <cell r="AG218" t="str">
            <v>N/A</v>
          </cell>
          <cell r="AH218" t="str">
            <v>N/A</v>
          </cell>
          <cell r="AI218" t="str">
            <v>LATEX FREE</v>
          </cell>
          <cell r="AJ218" t="str">
            <v>Current</v>
          </cell>
          <cell r="AK218" t="str">
            <v>N/A</v>
          </cell>
          <cell r="AL218" t="str">
            <v>N/A</v>
          </cell>
          <cell r="AM218" t="str">
            <v>N/A</v>
          </cell>
          <cell r="AN218" t="str">
            <v>N/A</v>
          </cell>
          <cell r="AO218" t="str">
            <v>LF2848SL</v>
          </cell>
          <cell r="AP218" t="str">
            <v>N/A</v>
          </cell>
          <cell r="AS218" t="str">
            <v>N/A</v>
          </cell>
          <cell r="AT218" t="str">
            <v>N/A</v>
          </cell>
          <cell r="AU218" t="str">
            <v>2840KR</v>
          </cell>
          <cell r="AV218" t="str">
            <v>N/A</v>
          </cell>
        </row>
        <row r="219">
          <cell r="A219">
            <v>2852</v>
          </cell>
          <cell r="B219" t="str">
            <v>Comp #</v>
          </cell>
          <cell r="C219" t="str">
            <v>14mm Curved Pvc Curette Cut/ Blown Out</v>
          </cell>
          <cell r="D219" t="str">
            <v>1392 ETAL</v>
          </cell>
          <cell r="E219">
            <v>36668</v>
          </cell>
          <cell r="F219" t="str">
            <v>N/A</v>
          </cell>
          <cell r="K219" t="str">
            <v>S-4</v>
          </cell>
          <cell r="L219" t="str">
            <v>N/A</v>
          </cell>
          <cell r="P219" t="str">
            <v>20</v>
          </cell>
          <cell r="Q219" t="str">
            <v>N/A</v>
          </cell>
          <cell r="R219" t="str">
            <v>8</v>
          </cell>
          <cell r="S219" t="str">
            <v>0</v>
          </cell>
          <cell r="T219" t="str">
            <v>1.5</v>
          </cell>
          <cell r="U219" t="str">
            <v>2.5</v>
          </cell>
          <cell r="V219">
            <v>1</v>
          </cell>
          <cell r="W219" t="str">
            <v>S-4</v>
          </cell>
          <cell r="X219" t="str">
            <v>Process Room</v>
          </cell>
          <cell r="Y219" t="str">
            <v>N/A</v>
          </cell>
          <cell r="Z219" t="str">
            <v>N/A</v>
          </cell>
          <cell r="AA219" t="str">
            <v>Process Room</v>
          </cell>
          <cell r="AB219" t="str">
            <v>Non-Sterile</v>
          </cell>
          <cell r="AC219" t="str">
            <v>N/A</v>
          </cell>
          <cell r="AG219" t="str">
            <v>N/A</v>
          </cell>
          <cell r="AH219" t="str">
            <v>N/A</v>
          </cell>
          <cell r="AI219" t="str">
            <v>LATEX FREE</v>
          </cell>
          <cell r="AJ219" t="str">
            <v>Current</v>
          </cell>
          <cell r="AK219" t="str">
            <v>N/A</v>
          </cell>
          <cell r="AL219" t="str">
            <v>N/A</v>
          </cell>
          <cell r="AM219" t="str">
            <v>N/A</v>
          </cell>
          <cell r="AN219" t="str">
            <v>N/A</v>
          </cell>
          <cell r="AO219" t="str">
            <v>N/A</v>
          </cell>
          <cell r="AP219" t="str">
            <v>N/A</v>
          </cell>
          <cell r="AS219" t="str">
            <v>Identification Label</v>
          </cell>
          <cell r="AT219" t="str">
            <v>N/A</v>
          </cell>
          <cell r="AU219" t="str">
            <v>N/A</v>
          </cell>
          <cell r="AV219" t="str">
            <v>2851</v>
          </cell>
        </row>
        <row r="220">
          <cell r="A220">
            <v>2858</v>
          </cell>
          <cell r="B220" t="str">
            <v>Cat #</v>
          </cell>
          <cell r="C220" t="str">
            <v>14mm Curved Curette/250</v>
          </cell>
          <cell r="D220" t="str">
            <v>2858</v>
          </cell>
          <cell r="E220">
            <v>36188</v>
          </cell>
          <cell r="F220" t="str">
            <v>N/A</v>
          </cell>
          <cell r="K220" t="str">
            <v>S-4</v>
          </cell>
          <cell r="L220" t="str">
            <v>N/A</v>
          </cell>
          <cell r="P220" t="str">
            <v>20</v>
          </cell>
          <cell r="Q220" t="str">
            <v>N/A</v>
          </cell>
          <cell r="R220" t="str">
            <v>8</v>
          </cell>
          <cell r="S220" t="str">
            <v>0</v>
          </cell>
          <cell r="T220" t="str">
            <v>1.5</v>
          </cell>
          <cell r="U220" t="str">
            <v>2.5</v>
          </cell>
          <cell r="V220">
            <v>250</v>
          </cell>
          <cell r="W220" t="str">
            <v>II</v>
          </cell>
          <cell r="X220" t="str">
            <v>Process Room</v>
          </cell>
          <cell r="Y220" t="str">
            <v>N/A</v>
          </cell>
          <cell r="Z220" t="str">
            <v>N/A</v>
          </cell>
          <cell r="AA220" t="str">
            <v>Process Room</v>
          </cell>
          <cell r="AB220" t="str">
            <v>Non-Sterile</v>
          </cell>
          <cell r="AC220" t="str">
            <v>N/A</v>
          </cell>
          <cell r="AG220" t="str">
            <v>N/A</v>
          </cell>
          <cell r="AH220" t="str">
            <v>N/A</v>
          </cell>
          <cell r="AI220" t="str">
            <v>LATEX FREE</v>
          </cell>
          <cell r="AJ220" t="str">
            <v>Current</v>
          </cell>
          <cell r="AK220" t="str">
            <v>N/A</v>
          </cell>
          <cell r="AL220" t="str">
            <v>N/A</v>
          </cell>
          <cell r="AM220" t="str">
            <v>N/A</v>
          </cell>
          <cell r="AN220" t="str">
            <v>N/A</v>
          </cell>
          <cell r="AO220" t="str">
            <v>LF2858SL</v>
          </cell>
          <cell r="AP220" t="str">
            <v>N/A</v>
          </cell>
          <cell r="AS220" t="str">
            <v>N/A</v>
          </cell>
          <cell r="AT220" t="str">
            <v>N/A</v>
          </cell>
          <cell r="AU220" t="str">
            <v>N/A</v>
          </cell>
          <cell r="AV220" t="str">
            <v>2852</v>
          </cell>
        </row>
        <row r="221">
          <cell r="A221" t="str">
            <v>2901B</v>
          </cell>
          <cell r="B221" t="str">
            <v>Comp #</v>
          </cell>
          <cell r="C221" t="str">
            <v>Assembled Poole Suction Instrument</v>
          </cell>
          <cell r="D221" t="str">
            <v>2901B</v>
          </cell>
          <cell r="E221">
            <v>36305</v>
          </cell>
          <cell r="F221" t="str">
            <v>N/A</v>
          </cell>
          <cell r="K221" t="str">
            <v>S-4</v>
          </cell>
          <cell r="L221" t="str">
            <v>N/A</v>
          </cell>
          <cell r="P221" t="str">
            <v>N/A</v>
          </cell>
          <cell r="Q221" t="str">
            <v>N/A</v>
          </cell>
          <cell r="R221" t="str">
            <v>8</v>
          </cell>
          <cell r="S221" t="str">
            <v>0</v>
          </cell>
          <cell r="T221" t="str">
            <v>1.5</v>
          </cell>
          <cell r="U221" t="str">
            <v>2.5</v>
          </cell>
          <cell r="V221">
            <v>1</v>
          </cell>
          <cell r="W221" t="str">
            <v>II</v>
          </cell>
          <cell r="X221" t="str">
            <v>Process Room</v>
          </cell>
          <cell r="Y221" t="str">
            <v>N/A</v>
          </cell>
          <cell r="Z221" t="str">
            <v>N/A</v>
          </cell>
          <cell r="AA221" t="str">
            <v>Process Room</v>
          </cell>
          <cell r="AB221" t="str">
            <v>Non-Sterile</v>
          </cell>
          <cell r="AC221" t="str">
            <v>N/A</v>
          </cell>
          <cell r="AG221" t="str">
            <v>N/A</v>
          </cell>
          <cell r="AH221" t="str">
            <v>N/A</v>
          </cell>
          <cell r="AI221" t="str">
            <v>LATEX FREE</v>
          </cell>
          <cell r="AJ221" t="str">
            <v>Current</v>
          </cell>
          <cell r="AK221" t="str">
            <v>N/A</v>
          </cell>
          <cell r="AL221" t="str">
            <v>N/A</v>
          </cell>
          <cell r="AM221" t="str">
            <v>N/A</v>
          </cell>
          <cell r="AN221" t="str">
            <v>N/A</v>
          </cell>
          <cell r="AO221" t="str">
            <v>N/A</v>
          </cell>
          <cell r="AP221" t="str">
            <v>N/A</v>
          </cell>
          <cell r="AS221" t="str">
            <v>Identification Label</v>
          </cell>
          <cell r="AT221" t="str">
            <v>N/A</v>
          </cell>
          <cell r="AU221" t="str">
            <v>2901F,2901S,2901H</v>
          </cell>
          <cell r="AV221" t="str">
            <v>N/A</v>
          </cell>
        </row>
        <row r="222">
          <cell r="A222">
            <v>2920</v>
          </cell>
          <cell r="B222" t="str">
            <v>Cat #</v>
          </cell>
          <cell r="C222" t="str">
            <v>Bulk Poole Suction Instrument/700</v>
          </cell>
          <cell r="E222">
            <v>36166</v>
          </cell>
          <cell r="F222" t="str">
            <v>N/A</v>
          </cell>
          <cell r="Q222" t="str">
            <v>N/A</v>
          </cell>
          <cell r="V222">
            <v>700</v>
          </cell>
          <cell r="X222" t="str">
            <v>Process Room</v>
          </cell>
          <cell r="Y222" t="str">
            <v>N/A</v>
          </cell>
          <cell r="Z222" t="str">
            <v>N/A</v>
          </cell>
          <cell r="AA222" t="str">
            <v>Process Room</v>
          </cell>
          <cell r="AB222" t="str">
            <v>Non-Sterile</v>
          </cell>
          <cell r="AC222" t="str">
            <v>N/A</v>
          </cell>
          <cell r="AG222" t="str">
            <v>N/A</v>
          </cell>
          <cell r="AH222" t="str">
            <v>N/A</v>
          </cell>
          <cell r="AI222" t="str">
            <v>LATEX FREE</v>
          </cell>
          <cell r="AJ222" t="str">
            <v>Current</v>
          </cell>
          <cell r="AK222" t="str">
            <v>N/A</v>
          </cell>
          <cell r="AL222" t="str">
            <v>N/A</v>
          </cell>
          <cell r="AM222" t="str">
            <v>N/A</v>
          </cell>
          <cell r="AN222" t="str">
            <v>N/A</v>
          </cell>
          <cell r="AO222" t="str">
            <v>LF2920CSL</v>
          </cell>
          <cell r="AP222" t="str">
            <v>N/A</v>
          </cell>
          <cell r="AS222" t="str">
            <v>N/A</v>
          </cell>
          <cell r="AT222" t="str">
            <v>N/A</v>
          </cell>
          <cell r="AU222" t="str">
            <v>2901B,2963A</v>
          </cell>
          <cell r="AV222" t="str">
            <v>N/A</v>
          </cell>
        </row>
        <row r="223">
          <cell r="A223" t="str">
            <v>2962MB</v>
          </cell>
          <cell r="B223" t="str">
            <v>Comp #</v>
          </cell>
          <cell r="C223" t="str">
            <v>Yankauer W/O Logo, W/O Vent, W/Open Tip, Bent, Marvaloy</v>
          </cell>
          <cell r="D223" t="str">
            <v>2962KO ETAL</v>
          </cell>
          <cell r="E223">
            <v>36826</v>
          </cell>
          <cell r="F223" t="str">
            <v>N/A</v>
          </cell>
          <cell r="K223" t="str">
            <v>S-4</v>
          </cell>
          <cell r="L223" t="str">
            <v>N/A</v>
          </cell>
          <cell r="P223" t="str">
            <v>32</v>
          </cell>
          <cell r="Q223" t="str">
            <v>N/A</v>
          </cell>
          <cell r="R223" t="str">
            <v>12</v>
          </cell>
          <cell r="S223" t="str">
            <v>0</v>
          </cell>
          <cell r="T223" t="str">
            <v>1.5</v>
          </cell>
          <cell r="U223" t="str">
            <v>2.5</v>
          </cell>
          <cell r="V223" t="str">
            <v>1</v>
          </cell>
          <cell r="W223" t="str">
            <v>S-4</v>
          </cell>
          <cell r="X223" t="str">
            <v>Process Room</v>
          </cell>
          <cell r="Y223" t="str">
            <v>N/A</v>
          </cell>
          <cell r="Z223" t="str">
            <v>N/A</v>
          </cell>
          <cell r="AA223" t="str">
            <v>Process Room</v>
          </cell>
          <cell r="AB223" t="str">
            <v>Non-Sterile</v>
          </cell>
          <cell r="AC223" t="str">
            <v>N/A</v>
          </cell>
          <cell r="AG223" t="str">
            <v>N/A</v>
          </cell>
          <cell r="AH223" t="str">
            <v>N/A</v>
          </cell>
          <cell r="AI223" t="str">
            <v>LATEX FREE</v>
          </cell>
          <cell r="AJ223" t="str">
            <v>Discontinued</v>
          </cell>
          <cell r="AK223" t="str">
            <v>N/A</v>
          </cell>
          <cell r="AL223" t="str">
            <v>N/A</v>
          </cell>
          <cell r="AM223" t="str">
            <v>N/A</v>
          </cell>
          <cell r="AN223" t="str">
            <v>N/A</v>
          </cell>
          <cell r="AO223" t="str">
            <v>N/A</v>
          </cell>
          <cell r="AP223" t="str">
            <v>N/A</v>
          </cell>
          <cell r="AS223" t="str">
            <v>Identification Label</v>
          </cell>
          <cell r="AT223" t="str">
            <v>N/A</v>
          </cell>
          <cell r="AU223" t="str">
            <v>2962M</v>
          </cell>
          <cell r="AV223" t="str">
            <v>N/A</v>
          </cell>
        </row>
        <row r="224">
          <cell r="A224" t="str">
            <v>2962TB</v>
          </cell>
          <cell r="B224" t="str">
            <v>Comp #</v>
          </cell>
          <cell r="C224" t="str">
            <v>Yankauer W/O Logo, W/O Vent, W/Open Tip, Bent, Terlux</v>
          </cell>
          <cell r="D224" t="str">
            <v>2962KO ETAL</v>
          </cell>
          <cell r="E224">
            <v>36826</v>
          </cell>
          <cell r="F224" t="str">
            <v>N/A</v>
          </cell>
          <cell r="K224" t="str">
            <v>S-4</v>
          </cell>
          <cell r="L224" t="str">
            <v>N/A</v>
          </cell>
          <cell r="P224" t="str">
            <v>32</v>
          </cell>
          <cell r="Q224" t="str">
            <v>N/A</v>
          </cell>
          <cell r="R224" t="str">
            <v>12</v>
          </cell>
          <cell r="S224" t="str">
            <v>0</v>
          </cell>
          <cell r="T224" t="str">
            <v>1.5</v>
          </cell>
          <cell r="U224" t="str">
            <v>2.5</v>
          </cell>
          <cell r="V224" t="str">
            <v>1</v>
          </cell>
          <cell r="W224" t="str">
            <v>S-4</v>
          </cell>
          <cell r="X224" t="str">
            <v>Process Room</v>
          </cell>
          <cell r="Y224" t="str">
            <v>N/A</v>
          </cell>
          <cell r="Z224" t="str">
            <v>N/A</v>
          </cell>
          <cell r="AA224" t="str">
            <v>Process Room</v>
          </cell>
          <cell r="AB224" t="str">
            <v>Non-Sterile</v>
          </cell>
          <cell r="AC224" t="str">
            <v>N/A</v>
          </cell>
          <cell r="AG224" t="str">
            <v>N/A</v>
          </cell>
          <cell r="AH224" t="str">
            <v>N/A</v>
          </cell>
          <cell r="AI224" t="str">
            <v>LATEX FREE</v>
          </cell>
          <cell r="AJ224" t="str">
            <v>Discontinued</v>
          </cell>
          <cell r="AK224" t="str">
            <v>N/A</v>
          </cell>
          <cell r="AL224" t="str">
            <v>N/A</v>
          </cell>
          <cell r="AM224" t="str">
            <v>N/A</v>
          </cell>
          <cell r="AN224" t="str">
            <v>N/A</v>
          </cell>
          <cell r="AO224" t="str">
            <v>N/A</v>
          </cell>
          <cell r="AP224" t="str">
            <v>N/A</v>
          </cell>
          <cell r="AS224" t="str">
            <v>Identification Label</v>
          </cell>
          <cell r="AT224" t="str">
            <v>N/A</v>
          </cell>
          <cell r="AU224" t="str">
            <v>2962T</v>
          </cell>
          <cell r="AV224" t="str">
            <v>N/A</v>
          </cell>
        </row>
        <row r="225">
          <cell r="A225">
            <v>2966</v>
          </cell>
          <cell r="B225" t="str">
            <v>Cat #</v>
          </cell>
          <cell r="C225" t="str">
            <v>Bulk Yankauer W/O Vent/ Open Tip/700</v>
          </cell>
          <cell r="D225" t="str">
            <v>2966 ETAL</v>
          </cell>
          <cell r="E225">
            <v>37007</v>
          </cell>
          <cell r="F225" t="str">
            <v>N/A</v>
          </cell>
          <cell r="K225" t="str">
            <v>S-4</v>
          </cell>
          <cell r="L225" t="str">
            <v>N/A</v>
          </cell>
          <cell r="P225" t="str">
            <v>32</v>
          </cell>
          <cell r="Q225" t="str">
            <v>N/A</v>
          </cell>
          <cell r="R225" t="str">
            <v>12</v>
          </cell>
          <cell r="S225" t="str">
            <v>0</v>
          </cell>
          <cell r="T225" t="str">
            <v>1.5</v>
          </cell>
          <cell r="U225" t="str">
            <v>2.5</v>
          </cell>
          <cell r="V225">
            <v>700</v>
          </cell>
          <cell r="W225" t="str">
            <v>S-4</v>
          </cell>
          <cell r="X225" t="str">
            <v>Process Room</v>
          </cell>
          <cell r="Y225" t="str">
            <v>N/A</v>
          </cell>
          <cell r="Z225" t="str">
            <v>N/A</v>
          </cell>
          <cell r="AA225" t="str">
            <v>Process Room</v>
          </cell>
          <cell r="AB225" t="str">
            <v>Non-Sterile</v>
          </cell>
          <cell r="AC225" t="str">
            <v>N/A</v>
          </cell>
          <cell r="AG225" t="str">
            <v>N/A</v>
          </cell>
          <cell r="AH225" t="str">
            <v>N/A</v>
          </cell>
          <cell r="AI225" t="str">
            <v>LATEX FREE</v>
          </cell>
          <cell r="AJ225" t="str">
            <v>Current</v>
          </cell>
          <cell r="AK225" t="str">
            <v>N/A</v>
          </cell>
          <cell r="AL225" t="str">
            <v>N/A</v>
          </cell>
          <cell r="AM225" t="str">
            <v>N/A</v>
          </cell>
          <cell r="AN225" t="str">
            <v>N/A</v>
          </cell>
          <cell r="AO225" t="str">
            <v>LF2966SL</v>
          </cell>
          <cell r="AP225" t="str">
            <v>REV A</v>
          </cell>
          <cell r="AS225" t="str">
            <v>N/A</v>
          </cell>
          <cell r="AT225" t="str">
            <v>N/A</v>
          </cell>
          <cell r="AU225" t="str">
            <v>2962KO,2963A</v>
          </cell>
          <cell r="AV225" t="str">
            <v>N/A</v>
          </cell>
        </row>
        <row r="226">
          <cell r="A226" t="str">
            <v>M2966</v>
          </cell>
          <cell r="B226" t="str">
            <v>Cat #</v>
          </cell>
          <cell r="C226" t="str">
            <v xml:space="preserve">Bulk Yankauer W/O Vent/ Open Tip </v>
          </cell>
          <cell r="D226" t="str">
            <v>2966 ETAL</v>
          </cell>
          <cell r="E226">
            <v>37007</v>
          </cell>
          <cell r="F226" t="str">
            <v>N/A</v>
          </cell>
          <cell r="K226" t="str">
            <v>S-4</v>
          </cell>
          <cell r="L226" t="str">
            <v>N/A</v>
          </cell>
          <cell r="P226" t="str">
            <v>32</v>
          </cell>
          <cell r="Q226" t="str">
            <v>N/A</v>
          </cell>
          <cell r="R226" t="str">
            <v>12</v>
          </cell>
          <cell r="S226" t="str">
            <v>0</v>
          </cell>
          <cell r="T226" t="str">
            <v>1.5</v>
          </cell>
          <cell r="U226" t="str">
            <v>2.5</v>
          </cell>
          <cell r="V226">
            <v>1</v>
          </cell>
          <cell r="W226" t="str">
            <v>S-4</v>
          </cell>
          <cell r="X226" t="str">
            <v>Process Room</v>
          </cell>
          <cell r="Y226" t="str">
            <v>N/A</v>
          </cell>
          <cell r="Z226" t="str">
            <v>N/A</v>
          </cell>
          <cell r="AA226" t="str">
            <v>Process Room</v>
          </cell>
          <cell r="AB226" t="str">
            <v>Non-Sterile</v>
          </cell>
          <cell r="AC226" t="str">
            <v>N/A</v>
          </cell>
          <cell r="AG226" t="str">
            <v>N/A</v>
          </cell>
          <cell r="AH226" t="str">
            <v>N/A</v>
          </cell>
          <cell r="AI226" t="str">
            <v>LATEX FREE</v>
          </cell>
          <cell r="AJ226" t="str">
            <v>Current</v>
          </cell>
          <cell r="AK226" t="str">
            <v>N/A</v>
          </cell>
          <cell r="AL226" t="str">
            <v>N/A</v>
          </cell>
          <cell r="AM226" t="str">
            <v>N/A</v>
          </cell>
          <cell r="AN226" t="str">
            <v>N/A</v>
          </cell>
          <cell r="AO226" t="str">
            <v>LFM2966SL</v>
          </cell>
          <cell r="AP226" t="str">
            <v>N/A</v>
          </cell>
          <cell r="AS226" t="str">
            <v>N/A</v>
          </cell>
          <cell r="AT226" t="str">
            <v>N/A</v>
          </cell>
          <cell r="AU226" t="str">
            <v>2962MB,2963A</v>
          </cell>
          <cell r="AV226" t="str">
            <v>N/A</v>
          </cell>
        </row>
        <row r="227">
          <cell r="A227">
            <v>2968</v>
          </cell>
          <cell r="B227" t="str">
            <v>Cat #</v>
          </cell>
          <cell r="C227" t="str">
            <v>Bulk Yank Open Tip 700/cs</v>
          </cell>
          <cell r="D227" t="str">
            <v>2966 ETAL</v>
          </cell>
          <cell r="E227">
            <v>37007</v>
          </cell>
          <cell r="F227" t="str">
            <v>N/A</v>
          </cell>
          <cell r="K227" t="str">
            <v>S-4</v>
          </cell>
          <cell r="L227" t="str">
            <v>N/A</v>
          </cell>
          <cell r="P227" t="str">
            <v>32</v>
          </cell>
          <cell r="Q227" t="str">
            <v>N/A</v>
          </cell>
          <cell r="R227" t="str">
            <v>12</v>
          </cell>
          <cell r="S227" t="str">
            <v>0</v>
          </cell>
          <cell r="T227" t="str">
            <v>1.5</v>
          </cell>
          <cell r="U227" t="str">
            <v>2.5</v>
          </cell>
          <cell r="V227">
            <v>700</v>
          </cell>
          <cell r="W227" t="str">
            <v>S-4</v>
          </cell>
          <cell r="X227" t="str">
            <v>Manufacturing</v>
          </cell>
          <cell r="Y227" t="str">
            <v>N/A</v>
          </cell>
          <cell r="Z227" t="str">
            <v>N/A</v>
          </cell>
          <cell r="AA227" t="str">
            <v>Process Room</v>
          </cell>
          <cell r="AB227" t="str">
            <v>Non-Sterile</v>
          </cell>
          <cell r="AC227" t="str">
            <v>N/A</v>
          </cell>
          <cell r="AG227" t="str">
            <v>N/A</v>
          </cell>
          <cell r="AH227" t="str">
            <v>N/A</v>
          </cell>
          <cell r="AI227" t="str">
            <v>LATEX FREE</v>
          </cell>
          <cell r="AJ227" t="str">
            <v>Discontinued</v>
          </cell>
          <cell r="AK227" t="str">
            <v>N/A</v>
          </cell>
          <cell r="AL227" t="str">
            <v>N/A</v>
          </cell>
          <cell r="AM227" t="str">
            <v>N/A</v>
          </cell>
          <cell r="AN227" t="str">
            <v>N/A</v>
          </cell>
          <cell r="AO227" t="str">
            <v>LF2968SL</v>
          </cell>
          <cell r="AP227" t="str">
            <v>N/A</v>
          </cell>
          <cell r="AS227" t="str">
            <v>N/A</v>
          </cell>
          <cell r="AT227" t="str">
            <v>N/A</v>
          </cell>
          <cell r="AU227" t="str">
            <v>2962TB</v>
          </cell>
          <cell r="AV227" t="str">
            <v>N/A</v>
          </cell>
        </row>
        <row r="228">
          <cell r="A228" t="str">
            <v>2972MB</v>
          </cell>
          <cell r="B228" t="str">
            <v>Comp #</v>
          </cell>
          <cell r="C228" t="str">
            <v>Yankauer W/ Vent, Opent Tip, Bent, W/O Logo, Marvaloy</v>
          </cell>
          <cell r="D228" t="str">
            <v>2962KO ETAL</v>
          </cell>
          <cell r="E228">
            <v>36826</v>
          </cell>
          <cell r="F228" t="str">
            <v>N/A</v>
          </cell>
          <cell r="K228" t="str">
            <v>S-4</v>
          </cell>
          <cell r="L228" t="str">
            <v>N/A</v>
          </cell>
          <cell r="P228" t="str">
            <v>32</v>
          </cell>
          <cell r="Q228" t="str">
            <v>N/A</v>
          </cell>
          <cell r="R228" t="str">
            <v>12</v>
          </cell>
          <cell r="S228" t="str">
            <v>0</v>
          </cell>
          <cell r="T228" t="str">
            <v>1.5</v>
          </cell>
          <cell r="U228" t="str">
            <v>2.5</v>
          </cell>
          <cell r="V228" t="str">
            <v>1</v>
          </cell>
          <cell r="W228" t="str">
            <v>S-4</v>
          </cell>
          <cell r="X228" t="str">
            <v>Process Room</v>
          </cell>
          <cell r="Y228" t="str">
            <v>N/A</v>
          </cell>
          <cell r="Z228" t="str">
            <v>N/A</v>
          </cell>
          <cell r="AA228" t="str">
            <v>Process Room</v>
          </cell>
          <cell r="AB228" t="str">
            <v>Non-Sterile</v>
          </cell>
          <cell r="AC228" t="str">
            <v>N/A</v>
          </cell>
          <cell r="AG228" t="str">
            <v>N/A</v>
          </cell>
          <cell r="AH228" t="str">
            <v>N/A</v>
          </cell>
          <cell r="AI228" t="str">
            <v>LATEX FREE</v>
          </cell>
          <cell r="AJ228" t="str">
            <v>Discontinued</v>
          </cell>
          <cell r="AK228" t="str">
            <v>N/A</v>
          </cell>
          <cell r="AL228" t="str">
            <v>N/A</v>
          </cell>
          <cell r="AM228" t="str">
            <v>N/A</v>
          </cell>
          <cell r="AN228" t="str">
            <v>N/A</v>
          </cell>
          <cell r="AO228" t="str">
            <v>N/A</v>
          </cell>
          <cell r="AP228" t="str">
            <v>N/A</v>
          </cell>
          <cell r="AS228" t="str">
            <v>Identification Label</v>
          </cell>
          <cell r="AT228" t="str">
            <v>N/A</v>
          </cell>
          <cell r="AU228" t="str">
            <v>2972M</v>
          </cell>
          <cell r="AV228" t="str">
            <v>N/A</v>
          </cell>
        </row>
        <row r="229">
          <cell r="A229" t="str">
            <v>2972TB</v>
          </cell>
          <cell r="B229" t="str">
            <v>Comp #</v>
          </cell>
          <cell r="C229" t="str">
            <v>Yankauer W/ Vent, Open Tip, Bent, Terlux</v>
          </cell>
          <cell r="D229" t="str">
            <v>2962KO ETAL</v>
          </cell>
          <cell r="E229">
            <v>36826</v>
          </cell>
          <cell r="F229" t="str">
            <v>N/A</v>
          </cell>
          <cell r="K229" t="str">
            <v>S-4</v>
          </cell>
          <cell r="L229" t="str">
            <v>N/A</v>
          </cell>
          <cell r="P229" t="str">
            <v>32</v>
          </cell>
          <cell r="Q229" t="str">
            <v>N/A</v>
          </cell>
          <cell r="R229" t="str">
            <v>12</v>
          </cell>
          <cell r="S229" t="str">
            <v>0</v>
          </cell>
          <cell r="T229" t="str">
            <v>1.5</v>
          </cell>
          <cell r="U229" t="str">
            <v>2.5</v>
          </cell>
          <cell r="V229" t="str">
            <v>1</v>
          </cell>
          <cell r="X229" t="str">
            <v>Process Room</v>
          </cell>
          <cell r="Y229" t="str">
            <v>N/A</v>
          </cell>
          <cell r="Z229" t="str">
            <v>N/A</v>
          </cell>
          <cell r="AA229" t="str">
            <v>Process Room</v>
          </cell>
          <cell r="AB229" t="str">
            <v>Non-Sterile</v>
          </cell>
          <cell r="AC229" t="str">
            <v>N/A</v>
          </cell>
          <cell r="AG229" t="str">
            <v>N/A</v>
          </cell>
          <cell r="AH229" t="str">
            <v>N/A</v>
          </cell>
          <cell r="AI229" t="str">
            <v>LATEX FREE</v>
          </cell>
          <cell r="AJ229" t="str">
            <v>Discontinued</v>
          </cell>
          <cell r="AK229" t="str">
            <v>N/A</v>
          </cell>
          <cell r="AL229" t="str">
            <v>N/A</v>
          </cell>
          <cell r="AM229" t="str">
            <v>N/A</v>
          </cell>
          <cell r="AN229" t="str">
            <v>N/A</v>
          </cell>
          <cell r="AO229" t="str">
            <v>N/A</v>
          </cell>
          <cell r="AP229" t="str">
            <v>N/A</v>
          </cell>
          <cell r="AS229" t="str">
            <v>Identification Label</v>
          </cell>
          <cell r="AT229" t="str">
            <v>N/A</v>
          </cell>
          <cell r="AU229" t="str">
            <v>2972T</v>
          </cell>
          <cell r="AV229" t="str">
            <v>N/A</v>
          </cell>
        </row>
        <row r="230">
          <cell r="A230">
            <v>2976</v>
          </cell>
          <cell r="B230" t="str">
            <v>Cat#</v>
          </cell>
          <cell r="C230" t="str">
            <v>Bulk Yankauer W/ Vent, Open Tip/700</v>
          </cell>
          <cell r="D230" t="str">
            <v>2966 ETAL</v>
          </cell>
          <cell r="E230">
            <v>37007</v>
          </cell>
          <cell r="F230" t="str">
            <v>N/A</v>
          </cell>
          <cell r="K230" t="str">
            <v>S-4</v>
          </cell>
          <cell r="L230" t="str">
            <v>N/A</v>
          </cell>
          <cell r="P230" t="str">
            <v>32</v>
          </cell>
          <cell r="Q230" t="str">
            <v>N/A</v>
          </cell>
          <cell r="R230" t="str">
            <v>12</v>
          </cell>
          <cell r="S230" t="str">
            <v>0</v>
          </cell>
          <cell r="T230" t="str">
            <v>1.5</v>
          </cell>
          <cell r="U230" t="str">
            <v>2.5</v>
          </cell>
          <cell r="V230">
            <v>700</v>
          </cell>
          <cell r="W230" t="str">
            <v>S-4</v>
          </cell>
          <cell r="X230" t="str">
            <v>Process Room</v>
          </cell>
          <cell r="Y230" t="str">
            <v>N/A</v>
          </cell>
          <cell r="Z230" t="str">
            <v>N/A</v>
          </cell>
          <cell r="AA230" t="str">
            <v>Process Room</v>
          </cell>
          <cell r="AB230" t="str">
            <v>Non-Sterile</v>
          </cell>
          <cell r="AC230" t="str">
            <v>N/A</v>
          </cell>
          <cell r="AG230" t="str">
            <v>N/A</v>
          </cell>
          <cell r="AH230" t="str">
            <v>N/A</v>
          </cell>
          <cell r="AI230" t="str">
            <v>LATEX FREE</v>
          </cell>
          <cell r="AJ230" t="str">
            <v>Current</v>
          </cell>
          <cell r="AK230" t="str">
            <v>N/A</v>
          </cell>
          <cell r="AL230" t="str">
            <v>N/A</v>
          </cell>
          <cell r="AM230" t="str">
            <v>N/A</v>
          </cell>
          <cell r="AN230" t="str">
            <v>N/A</v>
          </cell>
          <cell r="AO230" t="str">
            <v>LF2976SL</v>
          </cell>
          <cell r="AP230" t="str">
            <v>REV A</v>
          </cell>
          <cell r="AS230" t="str">
            <v>N/A</v>
          </cell>
          <cell r="AT230" t="str">
            <v>N/A</v>
          </cell>
          <cell r="AU230" t="str">
            <v>2972KO</v>
          </cell>
          <cell r="AV230" t="str">
            <v>N/A</v>
          </cell>
        </row>
        <row r="231">
          <cell r="A231" t="str">
            <v>M2976</v>
          </cell>
          <cell r="B231" t="str">
            <v>Cat #</v>
          </cell>
          <cell r="C231" t="str">
            <v>Bulk Yankauer W/ Vent, Open Tip/700</v>
          </cell>
          <cell r="D231" t="str">
            <v>2966 ETAL</v>
          </cell>
          <cell r="E231">
            <v>37007</v>
          </cell>
          <cell r="F231" t="str">
            <v>N/A</v>
          </cell>
          <cell r="K231" t="str">
            <v>S-4</v>
          </cell>
          <cell r="L231" t="str">
            <v>N/A</v>
          </cell>
          <cell r="P231" t="str">
            <v>32</v>
          </cell>
          <cell r="Q231" t="str">
            <v>N/A</v>
          </cell>
          <cell r="R231" t="str">
            <v>12</v>
          </cell>
          <cell r="S231" t="str">
            <v>0</v>
          </cell>
          <cell r="T231" t="str">
            <v>1.5</v>
          </cell>
          <cell r="U231" t="str">
            <v>2.5</v>
          </cell>
          <cell r="V231">
            <v>1</v>
          </cell>
          <cell r="X231" t="str">
            <v>Process Room</v>
          </cell>
          <cell r="Y231" t="str">
            <v>N/A</v>
          </cell>
          <cell r="Z231" t="str">
            <v>N/A</v>
          </cell>
          <cell r="AA231" t="str">
            <v>Process Room</v>
          </cell>
          <cell r="AB231" t="str">
            <v>Non-Sterile</v>
          </cell>
          <cell r="AC231" t="str">
            <v>N/A</v>
          </cell>
          <cell r="AG231" t="str">
            <v>N/A</v>
          </cell>
          <cell r="AH231" t="str">
            <v>N/A</v>
          </cell>
          <cell r="AI231" t="str">
            <v>LATEX FREE</v>
          </cell>
          <cell r="AJ231" t="str">
            <v>Current</v>
          </cell>
          <cell r="AK231" t="str">
            <v>N/A</v>
          </cell>
          <cell r="AL231" t="str">
            <v>N/A</v>
          </cell>
          <cell r="AM231" t="str">
            <v>N/A</v>
          </cell>
          <cell r="AN231" t="str">
            <v>N/A</v>
          </cell>
          <cell r="AO231" t="str">
            <v>LFM2976SL</v>
          </cell>
          <cell r="AP231" t="str">
            <v>N/A</v>
          </cell>
          <cell r="AS231" t="str">
            <v>N/A</v>
          </cell>
          <cell r="AT231" t="str">
            <v>N/A</v>
          </cell>
          <cell r="AU231" t="str">
            <v>2972MB,2963A</v>
          </cell>
          <cell r="AV231" t="str">
            <v>N/A</v>
          </cell>
        </row>
        <row r="232">
          <cell r="A232">
            <v>2978</v>
          </cell>
          <cell r="C232" t="str">
            <v>Bulk Yank Open Tip W/V700</v>
          </cell>
          <cell r="D232" t="str">
            <v>2966 ETAL</v>
          </cell>
          <cell r="E232">
            <v>37007</v>
          </cell>
          <cell r="F232" t="str">
            <v>N/A</v>
          </cell>
          <cell r="K232" t="str">
            <v>S-4</v>
          </cell>
          <cell r="L232" t="str">
            <v>N/A</v>
          </cell>
          <cell r="P232" t="str">
            <v>32</v>
          </cell>
          <cell r="Q232" t="str">
            <v>N/A</v>
          </cell>
          <cell r="R232" t="str">
            <v>12</v>
          </cell>
          <cell r="S232" t="str">
            <v>0</v>
          </cell>
          <cell r="T232" t="str">
            <v>1.5</v>
          </cell>
          <cell r="U232" t="str">
            <v>2.5</v>
          </cell>
          <cell r="V232">
            <v>700</v>
          </cell>
          <cell r="W232" t="str">
            <v>S-4</v>
          </cell>
          <cell r="AB232" t="str">
            <v>Non-Sterile</v>
          </cell>
          <cell r="AJ232" t="str">
            <v>Discontinued</v>
          </cell>
          <cell r="AS232" t="str">
            <v>N/A</v>
          </cell>
        </row>
        <row r="233">
          <cell r="A233" t="str">
            <v>2982MB</v>
          </cell>
          <cell r="B233" t="str">
            <v>Comp #</v>
          </cell>
          <cell r="C233" t="str">
            <v>Yankauer W/O Logo, W/O Vent, W/ Bulb Tip, Bent, Marvaloy</v>
          </cell>
          <cell r="D233" t="str">
            <v>2962KO ETAL</v>
          </cell>
          <cell r="E233">
            <v>36826</v>
          </cell>
          <cell r="F233" t="str">
            <v>N/A</v>
          </cell>
          <cell r="K233" t="str">
            <v>S-4</v>
          </cell>
          <cell r="L233" t="str">
            <v>N/A</v>
          </cell>
          <cell r="P233" t="str">
            <v>32</v>
          </cell>
          <cell r="Q233" t="str">
            <v>N/A</v>
          </cell>
          <cell r="R233" t="str">
            <v>12</v>
          </cell>
          <cell r="S233" t="str">
            <v>0</v>
          </cell>
          <cell r="T233" t="str">
            <v>1.5</v>
          </cell>
          <cell r="U233" t="str">
            <v>2.5</v>
          </cell>
          <cell r="V233" t="str">
            <v>1</v>
          </cell>
          <cell r="W233" t="str">
            <v>S-4</v>
          </cell>
          <cell r="X233" t="str">
            <v>Process Room</v>
          </cell>
          <cell r="Y233" t="str">
            <v>N/A</v>
          </cell>
          <cell r="Z233" t="str">
            <v>N/A</v>
          </cell>
          <cell r="AA233" t="str">
            <v>Process Room</v>
          </cell>
          <cell r="AB233" t="str">
            <v>Non-Sterile</v>
          </cell>
          <cell r="AC233" t="str">
            <v>N/A</v>
          </cell>
          <cell r="AG233" t="str">
            <v>N/A</v>
          </cell>
          <cell r="AH233" t="str">
            <v>N/A</v>
          </cell>
          <cell r="AI233" t="str">
            <v>LATEX FREE</v>
          </cell>
          <cell r="AJ233" t="str">
            <v>Discontinued</v>
          </cell>
          <cell r="AK233" t="str">
            <v>N/A</v>
          </cell>
          <cell r="AL233" t="str">
            <v>N/A</v>
          </cell>
          <cell r="AM233" t="str">
            <v>N/A</v>
          </cell>
          <cell r="AN233" t="str">
            <v>N/A</v>
          </cell>
          <cell r="AO233" t="str">
            <v>N/A</v>
          </cell>
          <cell r="AP233" t="str">
            <v>N/A</v>
          </cell>
          <cell r="AS233" t="str">
            <v>Identification Label</v>
          </cell>
          <cell r="AT233" t="str">
            <v>N/A</v>
          </cell>
          <cell r="AU233" t="str">
            <v>2982M</v>
          </cell>
          <cell r="AV233" t="str">
            <v>N/A</v>
          </cell>
        </row>
        <row r="234">
          <cell r="A234" t="str">
            <v>2982TB</v>
          </cell>
          <cell r="B234" t="str">
            <v>Comp #</v>
          </cell>
          <cell r="C234" t="str">
            <v>Yankauer W/O Vent, W/ Bulb Tip, Bent, Terlux</v>
          </cell>
          <cell r="D234" t="str">
            <v>2962KO ETAL</v>
          </cell>
          <cell r="E234">
            <v>36826</v>
          </cell>
          <cell r="F234" t="str">
            <v>N/A</v>
          </cell>
          <cell r="K234" t="str">
            <v>S-4</v>
          </cell>
          <cell r="L234" t="str">
            <v>N/A</v>
          </cell>
          <cell r="P234" t="str">
            <v>32</v>
          </cell>
          <cell r="Q234" t="str">
            <v>N/A</v>
          </cell>
          <cell r="R234" t="str">
            <v>12</v>
          </cell>
          <cell r="S234" t="str">
            <v>0</v>
          </cell>
          <cell r="T234" t="str">
            <v>1.5</v>
          </cell>
          <cell r="U234" t="str">
            <v>2.5</v>
          </cell>
          <cell r="V234" t="str">
            <v>1</v>
          </cell>
          <cell r="X234" t="str">
            <v>Process Room</v>
          </cell>
          <cell r="Y234" t="str">
            <v>N/A</v>
          </cell>
          <cell r="Z234" t="str">
            <v>N/A</v>
          </cell>
          <cell r="AA234" t="str">
            <v>Process Room</v>
          </cell>
          <cell r="AB234" t="str">
            <v>Non-Sterile</v>
          </cell>
          <cell r="AC234" t="str">
            <v>N/A</v>
          </cell>
          <cell r="AG234" t="str">
            <v>N/A</v>
          </cell>
          <cell r="AH234" t="str">
            <v>N/A</v>
          </cell>
          <cell r="AI234" t="str">
            <v>LATEX FREE</v>
          </cell>
          <cell r="AJ234" t="str">
            <v>Discontinued</v>
          </cell>
          <cell r="AK234" t="str">
            <v>N/A</v>
          </cell>
          <cell r="AL234" t="str">
            <v>N/A</v>
          </cell>
          <cell r="AM234" t="str">
            <v>N/A</v>
          </cell>
          <cell r="AN234" t="str">
            <v>N/A</v>
          </cell>
          <cell r="AO234" t="str">
            <v>N/A</v>
          </cell>
          <cell r="AP234" t="str">
            <v>N/A</v>
          </cell>
          <cell r="AS234" t="str">
            <v>Identification Label</v>
          </cell>
          <cell r="AT234" t="str">
            <v>N/A</v>
          </cell>
          <cell r="AU234" t="str">
            <v>2982T</v>
          </cell>
          <cell r="AV234" t="str">
            <v>N/A</v>
          </cell>
        </row>
        <row r="235">
          <cell r="A235">
            <v>2986</v>
          </cell>
          <cell r="B235" t="str">
            <v>Cat #</v>
          </cell>
          <cell r="C235" t="str">
            <v>Bulk Yankauer W/O Vent, Bulb Tip/700</v>
          </cell>
          <cell r="D235" t="str">
            <v>2966 ETAL</v>
          </cell>
          <cell r="E235">
            <v>37007</v>
          </cell>
          <cell r="F235" t="str">
            <v>N/A</v>
          </cell>
          <cell r="K235" t="str">
            <v>S-4</v>
          </cell>
          <cell r="L235" t="str">
            <v>N/A</v>
          </cell>
          <cell r="P235" t="str">
            <v>32</v>
          </cell>
          <cell r="Q235" t="str">
            <v>N/A</v>
          </cell>
          <cell r="R235" t="str">
            <v>12</v>
          </cell>
          <cell r="S235" t="str">
            <v>0</v>
          </cell>
          <cell r="T235" t="str">
            <v>1.5</v>
          </cell>
          <cell r="U235" t="str">
            <v>2.5</v>
          </cell>
          <cell r="V235">
            <v>700</v>
          </cell>
          <cell r="W235" t="str">
            <v>S-4</v>
          </cell>
          <cell r="X235" t="str">
            <v>Process Room</v>
          </cell>
          <cell r="Y235" t="str">
            <v>N/A</v>
          </cell>
          <cell r="Z235" t="str">
            <v>N/A</v>
          </cell>
          <cell r="AA235" t="str">
            <v>Process Room</v>
          </cell>
          <cell r="AB235" t="str">
            <v>Non-Sterile</v>
          </cell>
          <cell r="AC235" t="str">
            <v>N/A</v>
          </cell>
          <cell r="AG235" t="str">
            <v>N/A</v>
          </cell>
          <cell r="AH235" t="str">
            <v>N/A</v>
          </cell>
          <cell r="AI235" t="str">
            <v>LATEX FREE</v>
          </cell>
          <cell r="AJ235" t="str">
            <v>Current</v>
          </cell>
          <cell r="AK235" t="str">
            <v>N/A</v>
          </cell>
          <cell r="AL235" t="str">
            <v>N/A</v>
          </cell>
          <cell r="AM235" t="str">
            <v>N/A</v>
          </cell>
          <cell r="AN235" t="str">
            <v>N/A</v>
          </cell>
          <cell r="AO235" t="str">
            <v>LF2986SL</v>
          </cell>
          <cell r="AP235" t="str">
            <v>REV A</v>
          </cell>
          <cell r="AS235" t="str">
            <v>N/A</v>
          </cell>
          <cell r="AT235" t="str">
            <v>N/A</v>
          </cell>
          <cell r="AU235" t="str">
            <v>2982KO,2963A</v>
          </cell>
          <cell r="AV235" t="str">
            <v>N/A</v>
          </cell>
        </row>
        <row r="236">
          <cell r="A236" t="str">
            <v>M2986</v>
          </cell>
          <cell r="B236" t="str">
            <v>Cat #</v>
          </cell>
          <cell r="C236" t="str">
            <v>Bulk Yankauer W/O Vent, Bulb Tip/700</v>
          </cell>
          <cell r="D236" t="str">
            <v>2966 ETAL</v>
          </cell>
          <cell r="E236">
            <v>37007</v>
          </cell>
          <cell r="F236" t="str">
            <v>N/A</v>
          </cell>
          <cell r="K236" t="str">
            <v>S-4</v>
          </cell>
          <cell r="L236" t="str">
            <v>N/A</v>
          </cell>
          <cell r="P236" t="str">
            <v>32</v>
          </cell>
          <cell r="Q236" t="str">
            <v>N/A</v>
          </cell>
          <cell r="R236" t="str">
            <v>12</v>
          </cell>
          <cell r="S236" t="str">
            <v>0</v>
          </cell>
          <cell r="T236" t="str">
            <v>1.5</v>
          </cell>
          <cell r="U236" t="str">
            <v>2.5</v>
          </cell>
          <cell r="V236">
            <v>700</v>
          </cell>
          <cell r="W236" t="str">
            <v>S-4</v>
          </cell>
          <cell r="X236" t="str">
            <v>Process Room</v>
          </cell>
          <cell r="Y236" t="str">
            <v>N/A</v>
          </cell>
          <cell r="Z236" t="str">
            <v>N/A</v>
          </cell>
          <cell r="AA236" t="str">
            <v>Process Room</v>
          </cell>
          <cell r="AB236" t="str">
            <v>Non-Sterile</v>
          </cell>
          <cell r="AC236" t="str">
            <v>N/A</v>
          </cell>
          <cell r="AG236" t="str">
            <v>N/A</v>
          </cell>
          <cell r="AH236" t="str">
            <v>N/A</v>
          </cell>
          <cell r="AI236" t="str">
            <v>LATEX FREE</v>
          </cell>
          <cell r="AJ236" t="str">
            <v>Current</v>
          </cell>
          <cell r="AK236" t="str">
            <v>N/A</v>
          </cell>
          <cell r="AL236" t="str">
            <v>N/A</v>
          </cell>
          <cell r="AM236" t="str">
            <v>N/A</v>
          </cell>
          <cell r="AN236" t="str">
            <v>N/A</v>
          </cell>
          <cell r="AO236" t="str">
            <v>LFM2986SL</v>
          </cell>
          <cell r="AP236" t="str">
            <v>N/A</v>
          </cell>
          <cell r="AS236" t="str">
            <v>N/A</v>
          </cell>
          <cell r="AT236" t="str">
            <v>N/A</v>
          </cell>
          <cell r="AU236" t="str">
            <v>2982MB, 2963A</v>
          </cell>
          <cell r="AV236" t="str">
            <v>N/A</v>
          </cell>
        </row>
        <row r="237">
          <cell r="A237">
            <v>2988</v>
          </cell>
          <cell r="C237" t="str">
            <v>Bulk Yank Bulb T/W/O/V700</v>
          </cell>
          <cell r="D237" t="str">
            <v>2966 ETAL</v>
          </cell>
          <cell r="E237">
            <v>37007</v>
          </cell>
          <cell r="F237" t="str">
            <v>N/A</v>
          </cell>
          <cell r="K237" t="str">
            <v>S-4</v>
          </cell>
          <cell r="L237" t="str">
            <v>N/A</v>
          </cell>
          <cell r="P237" t="str">
            <v>32</v>
          </cell>
          <cell r="Q237" t="str">
            <v>N/A</v>
          </cell>
          <cell r="R237" t="str">
            <v>12</v>
          </cell>
          <cell r="S237" t="str">
            <v>0</v>
          </cell>
          <cell r="T237" t="str">
            <v>1.5</v>
          </cell>
          <cell r="U237" t="str">
            <v>2.5</v>
          </cell>
          <cell r="V237">
            <v>700</v>
          </cell>
          <cell r="W237" t="str">
            <v>S-4</v>
          </cell>
          <cell r="AB237" t="str">
            <v>Non-Sterile</v>
          </cell>
          <cell r="AJ237" t="str">
            <v>Discontinued</v>
          </cell>
          <cell r="AS237" t="str">
            <v>N/A</v>
          </cell>
        </row>
        <row r="238">
          <cell r="A238" t="str">
            <v>2992MB</v>
          </cell>
          <cell r="B238" t="str">
            <v>Comp #</v>
          </cell>
          <cell r="C238" t="str">
            <v>Yankauer W/O Logo, W/ Vent, Bulb Tip, Bent, Marvaloy</v>
          </cell>
          <cell r="D238" t="str">
            <v>2962KO ETAL</v>
          </cell>
          <cell r="E238">
            <v>36826</v>
          </cell>
          <cell r="F238" t="str">
            <v>N/A</v>
          </cell>
          <cell r="K238" t="str">
            <v>S-4</v>
          </cell>
          <cell r="L238" t="str">
            <v>N/A</v>
          </cell>
          <cell r="P238" t="str">
            <v>32</v>
          </cell>
          <cell r="Q238" t="str">
            <v>N/A</v>
          </cell>
          <cell r="R238" t="str">
            <v>12</v>
          </cell>
          <cell r="S238" t="str">
            <v>0</v>
          </cell>
          <cell r="T238" t="str">
            <v>1.5</v>
          </cell>
          <cell r="U238" t="str">
            <v>2.5</v>
          </cell>
          <cell r="V238">
            <v>1</v>
          </cell>
          <cell r="W238" t="str">
            <v>S-4</v>
          </cell>
          <cell r="X238" t="str">
            <v>Process Room</v>
          </cell>
          <cell r="Y238" t="str">
            <v>N/A</v>
          </cell>
          <cell r="Z238" t="str">
            <v>N/A</v>
          </cell>
          <cell r="AA238" t="str">
            <v>Process Room</v>
          </cell>
          <cell r="AB238" t="str">
            <v>Non-Sterile</v>
          </cell>
          <cell r="AC238" t="str">
            <v>N/A</v>
          </cell>
          <cell r="AG238" t="str">
            <v>N/A</v>
          </cell>
          <cell r="AH238" t="str">
            <v>N/A</v>
          </cell>
          <cell r="AI238" t="str">
            <v>LATEX FREE</v>
          </cell>
          <cell r="AJ238" t="str">
            <v>Discontinued</v>
          </cell>
          <cell r="AK238" t="str">
            <v>N/A</v>
          </cell>
          <cell r="AL238" t="str">
            <v>N/A</v>
          </cell>
          <cell r="AM238" t="str">
            <v>N/A</v>
          </cell>
          <cell r="AN238" t="str">
            <v>N/A</v>
          </cell>
          <cell r="AO238" t="str">
            <v>N/A</v>
          </cell>
          <cell r="AP238" t="str">
            <v>N/A</v>
          </cell>
          <cell r="AS238" t="str">
            <v>Identification Label</v>
          </cell>
          <cell r="AT238" t="str">
            <v>N/A</v>
          </cell>
          <cell r="AU238" t="str">
            <v>2992M</v>
          </cell>
          <cell r="AV238" t="str">
            <v>N/A</v>
          </cell>
        </row>
        <row r="239">
          <cell r="A239">
            <v>2996</v>
          </cell>
          <cell r="B239" t="str">
            <v>Cat #</v>
          </cell>
          <cell r="C239" t="str">
            <v>Bulk Yankauer W/ Vent, Bulb Tip/700</v>
          </cell>
          <cell r="D239" t="str">
            <v>2966 ETAL</v>
          </cell>
          <cell r="E239">
            <v>37007</v>
          </cell>
          <cell r="F239" t="str">
            <v>N/A</v>
          </cell>
          <cell r="K239" t="str">
            <v>S-4</v>
          </cell>
          <cell r="L239" t="str">
            <v>N/A</v>
          </cell>
          <cell r="P239" t="str">
            <v>32</v>
          </cell>
          <cell r="Q239" t="str">
            <v>N/A</v>
          </cell>
          <cell r="R239" t="str">
            <v>12</v>
          </cell>
          <cell r="S239" t="str">
            <v>0</v>
          </cell>
          <cell r="T239" t="str">
            <v>1.5</v>
          </cell>
          <cell r="U239" t="str">
            <v>2.5</v>
          </cell>
          <cell r="V239">
            <v>700</v>
          </cell>
          <cell r="W239" t="str">
            <v>S-4</v>
          </cell>
          <cell r="X239" t="str">
            <v>Process Room</v>
          </cell>
          <cell r="Y239" t="str">
            <v>N/A</v>
          </cell>
          <cell r="Z239" t="str">
            <v>N/A</v>
          </cell>
          <cell r="AA239" t="str">
            <v>Process Room</v>
          </cell>
          <cell r="AB239" t="str">
            <v>Non-Sterile</v>
          </cell>
          <cell r="AC239" t="str">
            <v>N/A</v>
          </cell>
          <cell r="AG239" t="str">
            <v>N/A</v>
          </cell>
          <cell r="AH239" t="str">
            <v>N/A</v>
          </cell>
          <cell r="AI239" t="str">
            <v>LATEX FREE</v>
          </cell>
          <cell r="AJ239" t="str">
            <v>Current</v>
          </cell>
          <cell r="AK239" t="str">
            <v>N/A</v>
          </cell>
          <cell r="AL239" t="str">
            <v>N/A</v>
          </cell>
          <cell r="AM239" t="str">
            <v>N/A</v>
          </cell>
          <cell r="AN239" t="str">
            <v>N/A</v>
          </cell>
          <cell r="AO239" t="str">
            <v>LF2996SL</v>
          </cell>
          <cell r="AP239" t="str">
            <v>N/A</v>
          </cell>
          <cell r="AS239" t="str">
            <v>N/A</v>
          </cell>
          <cell r="AT239" t="str">
            <v>N/A</v>
          </cell>
          <cell r="AU239" t="str">
            <v>2992KO,2963A</v>
          </cell>
          <cell r="AV239" t="str">
            <v>N/A</v>
          </cell>
        </row>
        <row r="240">
          <cell r="A240" t="str">
            <v>M2996</v>
          </cell>
          <cell r="B240" t="str">
            <v>Cat#</v>
          </cell>
          <cell r="C240" t="str">
            <v>Bulk Yankauer W/ Vent, Bulb Tip/700</v>
          </cell>
          <cell r="D240" t="str">
            <v>2966 ETAL</v>
          </cell>
          <cell r="E240">
            <v>37007</v>
          </cell>
          <cell r="F240" t="str">
            <v>N/A</v>
          </cell>
          <cell r="K240" t="str">
            <v>S-4</v>
          </cell>
          <cell r="L240" t="str">
            <v>N/A</v>
          </cell>
          <cell r="P240" t="str">
            <v>32</v>
          </cell>
          <cell r="Q240" t="str">
            <v>N/A</v>
          </cell>
          <cell r="R240" t="str">
            <v>12</v>
          </cell>
          <cell r="S240" t="str">
            <v>0</v>
          </cell>
          <cell r="T240" t="str">
            <v>1.5</v>
          </cell>
          <cell r="U240" t="str">
            <v>2.5</v>
          </cell>
          <cell r="V240">
            <v>700</v>
          </cell>
          <cell r="W240" t="str">
            <v>S-4</v>
          </cell>
          <cell r="X240" t="str">
            <v>Process Room</v>
          </cell>
          <cell r="Y240" t="str">
            <v>N/A</v>
          </cell>
          <cell r="Z240" t="str">
            <v>N/A</v>
          </cell>
          <cell r="AA240" t="str">
            <v>Process Room</v>
          </cell>
          <cell r="AB240" t="str">
            <v>Non-Sterile</v>
          </cell>
          <cell r="AC240" t="str">
            <v>N/A</v>
          </cell>
          <cell r="AG240" t="str">
            <v>N/A</v>
          </cell>
          <cell r="AH240" t="str">
            <v>N/A</v>
          </cell>
          <cell r="AI240" t="str">
            <v>LATEX FREE</v>
          </cell>
          <cell r="AJ240" t="str">
            <v>Current</v>
          </cell>
          <cell r="AK240" t="str">
            <v>N/A</v>
          </cell>
          <cell r="AL240" t="str">
            <v>N/A</v>
          </cell>
          <cell r="AM240" t="str">
            <v>N/A</v>
          </cell>
          <cell r="AN240" t="str">
            <v>N/A</v>
          </cell>
          <cell r="AO240" t="str">
            <v>LFM2996SL</v>
          </cell>
          <cell r="AP240" t="str">
            <v>N/A</v>
          </cell>
          <cell r="AS240" t="str">
            <v>N/A</v>
          </cell>
          <cell r="AT240" t="str">
            <v>N/A</v>
          </cell>
          <cell r="AU240" t="str">
            <v>2992MB,2963A</v>
          </cell>
          <cell r="AV240" t="str">
            <v>N/A</v>
          </cell>
        </row>
        <row r="241">
          <cell r="A241">
            <v>2998</v>
          </cell>
          <cell r="B241" t="str">
            <v>Cat #</v>
          </cell>
          <cell r="C241" t="str">
            <v>Bulk Yank Bulb Tip W/V700</v>
          </cell>
          <cell r="D241" t="str">
            <v>2966 ETAL</v>
          </cell>
          <cell r="E241">
            <v>37007</v>
          </cell>
          <cell r="F241" t="str">
            <v>N/A</v>
          </cell>
          <cell r="Q241" t="str">
            <v>N/A</v>
          </cell>
          <cell r="V241">
            <v>700</v>
          </cell>
          <cell r="W241" t="str">
            <v>S-4</v>
          </cell>
          <cell r="X241" t="str">
            <v>Manufacturing</v>
          </cell>
          <cell r="Y241" t="str">
            <v>N/A</v>
          </cell>
          <cell r="Z241" t="str">
            <v>N/A</v>
          </cell>
          <cell r="AA241" t="str">
            <v>Process Room</v>
          </cell>
          <cell r="AB241" t="str">
            <v>Non-Sterile</v>
          </cell>
          <cell r="AC241" t="str">
            <v>N/A</v>
          </cell>
          <cell r="AG241" t="str">
            <v>N/A</v>
          </cell>
          <cell r="AH241" t="str">
            <v>N/A</v>
          </cell>
          <cell r="AI241" t="str">
            <v>LATEX FREE</v>
          </cell>
          <cell r="AJ241" t="str">
            <v>Discontinued</v>
          </cell>
          <cell r="AK241" t="str">
            <v>N/A</v>
          </cell>
          <cell r="AL241" t="str">
            <v>N/A</v>
          </cell>
          <cell r="AM241" t="str">
            <v>N/A</v>
          </cell>
          <cell r="AN241" t="str">
            <v>N/A</v>
          </cell>
          <cell r="AO241" t="str">
            <v>LF2998SL</v>
          </cell>
          <cell r="AP241" t="str">
            <v>N/A</v>
          </cell>
          <cell r="AS241" t="str">
            <v>N/A</v>
          </cell>
          <cell r="AT241" t="str">
            <v>N/A</v>
          </cell>
          <cell r="AU241" t="str">
            <v>2992TB</v>
          </cell>
          <cell r="AV241" t="str">
            <v>N/A</v>
          </cell>
        </row>
        <row r="242">
          <cell r="A242">
            <v>3162</v>
          </cell>
          <cell r="C242" t="str">
            <v>NSter Denture Cup Lid/500</v>
          </cell>
          <cell r="V242" t="str">
            <v>500</v>
          </cell>
          <cell r="AB242" t="str">
            <v>Non-Sterile</v>
          </cell>
        </row>
        <row r="243">
          <cell r="A243">
            <v>3203</v>
          </cell>
          <cell r="B243" t="str">
            <v>Comp #</v>
          </cell>
          <cell r="C243" t="str">
            <v>18" x 26" White Embossed Drape W/ 3" Fen./440</v>
          </cell>
          <cell r="D243" t="str">
            <v>3203</v>
          </cell>
          <cell r="E243">
            <v>37032</v>
          </cell>
          <cell r="F243" t="str">
            <v>N/A</v>
          </cell>
          <cell r="K243" t="str">
            <v>S-4</v>
          </cell>
          <cell r="L243" t="str">
            <v>32</v>
          </cell>
          <cell r="P243" t="str">
            <v>32</v>
          </cell>
          <cell r="Q243" t="str">
            <v>N/A</v>
          </cell>
          <cell r="R243" t="str">
            <v>8</v>
          </cell>
          <cell r="S243" t="str">
            <v>0</v>
          </cell>
          <cell r="T243" t="str">
            <v>1.5</v>
          </cell>
          <cell r="U243" t="str">
            <v>2.5</v>
          </cell>
          <cell r="V243">
            <v>440</v>
          </cell>
          <cell r="W243" t="str">
            <v>S-4</v>
          </cell>
          <cell r="X243" t="str">
            <v>Manufacturing</v>
          </cell>
          <cell r="Y243" t="str">
            <v>N/A</v>
          </cell>
          <cell r="Z243" t="str">
            <v>N/A</v>
          </cell>
          <cell r="AA243" t="str">
            <v>Towel Machine</v>
          </cell>
          <cell r="AB243" t="str">
            <v>Non-Sterile</v>
          </cell>
          <cell r="AC243" t="str">
            <v>N/A</v>
          </cell>
          <cell r="AG243" t="str">
            <v>N/A</v>
          </cell>
          <cell r="AH243" t="str">
            <v>N/A</v>
          </cell>
          <cell r="AI243" t="str">
            <v>LATEX FREE</v>
          </cell>
          <cell r="AJ243" t="str">
            <v>Current</v>
          </cell>
          <cell r="AK243" t="str">
            <v>N/A</v>
          </cell>
          <cell r="AL243" t="str">
            <v>N/A</v>
          </cell>
          <cell r="AM243" t="str">
            <v>N/A</v>
          </cell>
          <cell r="AN243" t="str">
            <v>N/A</v>
          </cell>
          <cell r="AO243" t="str">
            <v>N/A</v>
          </cell>
          <cell r="AP243" t="str">
            <v>N/A</v>
          </cell>
          <cell r="AS243" t="str">
            <v>Reuse 6669</v>
          </cell>
          <cell r="AT243" t="str">
            <v>N/A</v>
          </cell>
          <cell r="AU243" t="str">
            <v>N/A</v>
          </cell>
          <cell r="AV243" t="str">
            <v>3209,6966A,2963A</v>
          </cell>
        </row>
        <row r="244">
          <cell r="A244">
            <v>3204</v>
          </cell>
          <cell r="B244" t="str">
            <v>Comp #</v>
          </cell>
          <cell r="C244" t="str">
            <v>18" x 26" White Embossed Drape/440</v>
          </cell>
          <cell r="D244" t="str">
            <v>3204</v>
          </cell>
          <cell r="E244">
            <v>37302</v>
          </cell>
          <cell r="F244" t="str">
            <v>N/A</v>
          </cell>
          <cell r="K244" t="str">
            <v>S-4</v>
          </cell>
          <cell r="L244" t="str">
            <v>32</v>
          </cell>
          <cell r="P244" t="str">
            <v>32</v>
          </cell>
          <cell r="Q244" t="str">
            <v>N/A</v>
          </cell>
          <cell r="R244" t="str">
            <v>8</v>
          </cell>
          <cell r="S244" t="str">
            <v>0</v>
          </cell>
          <cell r="T244" t="str">
            <v>1.5</v>
          </cell>
          <cell r="U244" t="str">
            <v>2.5</v>
          </cell>
          <cell r="V244">
            <v>440</v>
          </cell>
          <cell r="W244" t="str">
            <v>S-4</v>
          </cell>
          <cell r="X244" t="str">
            <v>Manufacturing</v>
          </cell>
          <cell r="Y244" t="str">
            <v>N/A</v>
          </cell>
          <cell r="Z244" t="str">
            <v>N/A</v>
          </cell>
          <cell r="AA244" t="str">
            <v>Towel Machine</v>
          </cell>
          <cell r="AB244" t="str">
            <v>Non-Sterile</v>
          </cell>
          <cell r="AC244" t="str">
            <v>N/A</v>
          </cell>
          <cell r="AG244" t="str">
            <v>N/A</v>
          </cell>
          <cell r="AH244" t="str">
            <v>N/A</v>
          </cell>
          <cell r="AI244" t="str">
            <v>LATEX FREE</v>
          </cell>
          <cell r="AJ244" t="str">
            <v>Current</v>
          </cell>
          <cell r="AK244" t="str">
            <v>N/A</v>
          </cell>
          <cell r="AL244" t="str">
            <v>N/A</v>
          </cell>
          <cell r="AM244" t="str">
            <v>N/A</v>
          </cell>
          <cell r="AN244" t="str">
            <v>N/A</v>
          </cell>
          <cell r="AO244" t="str">
            <v>N/A</v>
          </cell>
          <cell r="AP244" t="str">
            <v>N/A</v>
          </cell>
          <cell r="AS244" t="str">
            <v>Reuse 6669</v>
          </cell>
          <cell r="AT244" t="str">
            <v>N/A</v>
          </cell>
          <cell r="AU244" t="str">
            <v>N/A</v>
          </cell>
          <cell r="AV244" t="str">
            <v>3209,6966A,2963A</v>
          </cell>
        </row>
        <row r="245">
          <cell r="A245">
            <v>3270</v>
          </cell>
          <cell r="B245" t="str">
            <v>Cat #</v>
          </cell>
          <cell r="C245" t="str">
            <v>Bulk 18" x 26" White/Blue/White Drape/300</v>
          </cell>
          <cell r="D245" t="str">
            <v>3270</v>
          </cell>
          <cell r="E245">
            <v>37319</v>
          </cell>
          <cell r="F245" t="str">
            <v>N/A</v>
          </cell>
          <cell r="K245" t="str">
            <v>S-4</v>
          </cell>
          <cell r="L245" t="str">
            <v>32</v>
          </cell>
          <cell r="P245" t="str">
            <v>32</v>
          </cell>
          <cell r="Q245" t="str">
            <v>N/A</v>
          </cell>
          <cell r="R245" t="str">
            <v>8</v>
          </cell>
          <cell r="S245" t="str">
            <v>0</v>
          </cell>
          <cell r="T245" t="str">
            <v>1.5</v>
          </cell>
          <cell r="U245" t="str">
            <v>2.5</v>
          </cell>
          <cell r="V245">
            <v>300</v>
          </cell>
          <cell r="W245" t="str">
            <v>S-4</v>
          </cell>
          <cell r="X245" t="str">
            <v>Manufacturing</v>
          </cell>
          <cell r="Y245" t="str">
            <v>N/A</v>
          </cell>
          <cell r="Z245" t="str">
            <v>N/A</v>
          </cell>
          <cell r="AA245" t="str">
            <v>Towel Machine</v>
          </cell>
          <cell r="AB245" t="str">
            <v>Non-Sterile</v>
          </cell>
          <cell r="AC245" t="str">
            <v>N/A</v>
          </cell>
          <cell r="AG245" t="str">
            <v>N/A</v>
          </cell>
          <cell r="AH245" t="str">
            <v>N/A</v>
          </cell>
          <cell r="AI245" t="str">
            <v>LATEX FREE</v>
          </cell>
          <cell r="AJ245" t="str">
            <v>Current</v>
          </cell>
          <cell r="AK245" t="str">
            <v>N/A</v>
          </cell>
          <cell r="AL245" t="str">
            <v>N/A</v>
          </cell>
          <cell r="AM245" t="str">
            <v>N/A</v>
          </cell>
          <cell r="AN245" t="str">
            <v>N/A</v>
          </cell>
          <cell r="AO245" t="str">
            <v>N/A</v>
          </cell>
          <cell r="AP245" t="str">
            <v>N/A</v>
          </cell>
          <cell r="AS245" t="str">
            <v>Barcode Label</v>
          </cell>
          <cell r="AT245" t="str">
            <v>N/A</v>
          </cell>
          <cell r="AU245" t="str">
            <v>N/A</v>
          </cell>
          <cell r="AV245" t="str">
            <v>6950F,3209,6934</v>
          </cell>
        </row>
        <row r="246">
          <cell r="A246" t="str">
            <v>3276</v>
          </cell>
          <cell r="B246" t="str">
            <v>Cat #</v>
          </cell>
          <cell r="C246" t="str">
            <v>White Spunbonded 21' Bouffant Cap/ MG #25-327/500</v>
          </cell>
          <cell r="D246" t="str">
            <v>1996 ETAL</v>
          </cell>
          <cell r="E246">
            <v>37096</v>
          </cell>
          <cell r="F246" t="str">
            <v>25-327</v>
          </cell>
          <cell r="K246" t="str">
            <v>N/A</v>
          </cell>
          <cell r="L246" t="str">
            <v>N/A</v>
          </cell>
          <cell r="P246" t="str">
            <v>N/A</v>
          </cell>
          <cell r="Q246" t="str">
            <v>20</v>
          </cell>
          <cell r="R246" t="str">
            <v>8</v>
          </cell>
          <cell r="S246" t="str">
            <v>0</v>
          </cell>
          <cell r="T246" t="str">
            <v>1.5</v>
          </cell>
          <cell r="U246" t="str">
            <v>2.5</v>
          </cell>
          <cell r="V246">
            <v>500</v>
          </cell>
          <cell r="X246" t="str">
            <v>Manufacturing</v>
          </cell>
          <cell r="Y246" t="str">
            <v>5</v>
          </cell>
          <cell r="Z246" t="str">
            <v>N/A</v>
          </cell>
          <cell r="AA246" t="str">
            <v>Relabel Area</v>
          </cell>
          <cell r="AB246" t="str">
            <v>Non-Sterile</v>
          </cell>
          <cell r="AC246" t="str">
            <v>N/A</v>
          </cell>
          <cell r="AG246" t="str">
            <v>N/A</v>
          </cell>
          <cell r="AH246" t="str">
            <v>N/A</v>
          </cell>
          <cell r="AI246" t="str">
            <v>LATEX FREE</v>
          </cell>
          <cell r="AJ246" t="str">
            <v>Discontinued</v>
          </cell>
          <cell r="AK246" t="str">
            <v>N/A</v>
          </cell>
          <cell r="AL246" t="str">
            <v>N/A</v>
          </cell>
          <cell r="AM246" t="str">
            <v>N/A</v>
          </cell>
          <cell r="AN246" t="str">
            <v>N/A</v>
          </cell>
          <cell r="AO246" t="str">
            <v>3276SLF</v>
          </cell>
          <cell r="AP246" t="str">
            <v>N/A</v>
          </cell>
          <cell r="AS246" t="str">
            <v>3276DLF</v>
          </cell>
          <cell r="AT246" t="str">
            <v>N/A</v>
          </cell>
          <cell r="AU246" t="str">
            <v>N/A</v>
          </cell>
          <cell r="AV246" t="str">
            <v>327</v>
          </cell>
        </row>
        <row r="247">
          <cell r="A247" t="str">
            <v>3286</v>
          </cell>
          <cell r="B247" t="str">
            <v>Cat #</v>
          </cell>
          <cell r="C247" t="str">
            <v>Blue Spunbonded 21" Bouffant Cap/ MG #25-328/500</v>
          </cell>
          <cell r="D247" t="str">
            <v>1996 ETAL</v>
          </cell>
          <cell r="E247">
            <v>37096</v>
          </cell>
          <cell r="F247" t="str">
            <v>25-328</v>
          </cell>
          <cell r="K247" t="str">
            <v>N/A</v>
          </cell>
          <cell r="L247" t="str">
            <v>N/A</v>
          </cell>
          <cell r="P247" t="str">
            <v>N/A</v>
          </cell>
          <cell r="Q247" t="str">
            <v>20</v>
          </cell>
          <cell r="R247" t="str">
            <v>8</v>
          </cell>
          <cell r="S247" t="str">
            <v>0</v>
          </cell>
          <cell r="T247" t="str">
            <v>1.5</v>
          </cell>
          <cell r="U247" t="str">
            <v>2.5</v>
          </cell>
          <cell r="V247">
            <v>500</v>
          </cell>
          <cell r="X247" t="str">
            <v>Manufacturing</v>
          </cell>
          <cell r="Y247" t="str">
            <v>5</v>
          </cell>
          <cell r="Z247" t="str">
            <v>N/A</v>
          </cell>
          <cell r="AA247" t="str">
            <v>Relabel Area</v>
          </cell>
          <cell r="AB247" t="str">
            <v>Non-Sterile</v>
          </cell>
          <cell r="AC247" t="str">
            <v>N/A</v>
          </cell>
          <cell r="AG247" t="str">
            <v>N/A</v>
          </cell>
          <cell r="AH247" t="str">
            <v>N/A</v>
          </cell>
          <cell r="AI247" t="str">
            <v>LATEX FREE</v>
          </cell>
          <cell r="AJ247" t="str">
            <v>Discontinued</v>
          </cell>
          <cell r="AK247" t="str">
            <v>N/A</v>
          </cell>
          <cell r="AL247" t="str">
            <v>N/A</v>
          </cell>
          <cell r="AM247" t="str">
            <v>N/A</v>
          </cell>
          <cell r="AN247" t="str">
            <v>N/A</v>
          </cell>
          <cell r="AO247" t="str">
            <v>3286SLF</v>
          </cell>
          <cell r="AP247" t="str">
            <v>N/A</v>
          </cell>
          <cell r="AS247" t="str">
            <v>3286DLF</v>
          </cell>
          <cell r="AT247" t="str">
            <v>N/A</v>
          </cell>
          <cell r="AU247" t="str">
            <v>N/A</v>
          </cell>
          <cell r="AV247" t="str">
            <v>328</v>
          </cell>
        </row>
        <row r="248">
          <cell r="A248" t="str">
            <v>3296</v>
          </cell>
          <cell r="B248" t="str">
            <v>Cat #</v>
          </cell>
          <cell r="C248" t="str">
            <v>Green Spunbounded 21" Bouffant Cap/ MG #25-329/500</v>
          </cell>
          <cell r="D248" t="str">
            <v>1996 ETAL</v>
          </cell>
          <cell r="E248">
            <v>37096</v>
          </cell>
          <cell r="F248" t="str">
            <v>25-329</v>
          </cell>
          <cell r="K248" t="str">
            <v>N/A</v>
          </cell>
          <cell r="L248" t="str">
            <v>N/A</v>
          </cell>
          <cell r="P248" t="str">
            <v>N/A</v>
          </cell>
          <cell r="Q248" t="str">
            <v>20</v>
          </cell>
          <cell r="R248" t="str">
            <v>8</v>
          </cell>
          <cell r="S248" t="str">
            <v>0</v>
          </cell>
          <cell r="T248" t="str">
            <v>1.5</v>
          </cell>
          <cell r="U248" t="str">
            <v>2.5</v>
          </cell>
          <cell r="V248">
            <v>500</v>
          </cell>
          <cell r="X248" t="str">
            <v>Manufacturing</v>
          </cell>
          <cell r="Y248" t="str">
            <v>5</v>
          </cell>
          <cell r="Z248" t="str">
            <v>N/A</v>
          </cell>
          <cell r="AA248" t="str">
            <v>Relabel Area</v>
          </cell>
          <cell r="AB248" t="str">
            <v>Non-Sterile</v>
          </cell>
          <cell r="AC248" t="str">
            <v>N/A</v>
          </cell>
          <cell r="AG248" t="str">
            <v>N/A</v>
          </cell>
          <cell r="AH248" t="str">
            <v>N/A</v>
          </cell>
          <cell r="AI248" t="str">
            <v>LATEX FREE</v>
          </cell>
          <cell r="AJ248" t="str">
            <v>Discontinued</v>
          </cell>
          <cell r="AK248" t="str">
            <v>N/A</v>
          </cell>
          <cell r="AL248" t="str">
            <v>N/A</v>
          </cell>
          <cell r="AM248" t="str">
            <v>N/A</v>
          </cell>
          <cell r="AN248" t="str">
            <v>N/A</v>
          </cell>
          <cell r="AO248" t="str">
            <v>3296SLF</v>
          </cell>
          <cell r="AP248" t="str">
            <v>N/A</v>
          </cell>
          <cell r="AS248" t="str">
            <v>3296DLF</v>
          </cell>
          <cell r="AT248" t="str">
            <v>N/A</v>
          </cell>
          <cell r="AU248" t="str">
            <v>N/A</v>
          </cell>
          <cell r="AV248" t="str">
            <v>329</v>
          </cell>
        </row>
        <row r="249">
          <cell r="A249" t="str">
            <v>3306</v>
          </cell>
          <cell r="B249" t="str">
            <v>Cat #</v>
          </cell>
          <cell r="C249" t="str">
            <v>White Spunbonded 24" Bouffant Cap/ MG #25-330/500</v>
          </cell>
          <cell r="D249" t="str">
            <v>1996 ETAL</v>
          </cell>
          <cell r="E249">
            <v>37096</v>
          </cell>
          <cell r="F249" t="str">
            <v>25-330</v>
          </cell>
          <cell r="K249" t="str">
            <v>N/A</v>
          </cell>
          <cell r="L249" t="str">
            <v>N/A</v>
          </cell>
          <cell r="P249" t="str">
            <v>N/A</v>
          </cell>
          <cell r="Q249" t="str">
            <v>20</v>
          </cell>
          <cell r="R249" t="str">
            <v>8</v>
          </cell>
          <cell r="S249" t="str">
            <v>0</v>
          </cell>
          <cell r="T249" t="str">
            <v>1.5</v>
          </cell>
          <cell r="U249" t="str">
            <v>2.5</v>
          </cell>
          <cell r="V249">
            <v>500</v>
          </cell>
          <cell r="X249" t="str">
            <v>Manufacturing</v>
          </cell>
          <cell r="Y249" t="str">
            <v>5</v>
          </cell>
          <cell r="Z249" t="str">
            <v>N/A</v>
          </cell>
          <cell r="AA249" t="str">
            <v>Relabel Area</v>
          </cell>
          <cell r="AB249" t="str">
            <v>Non-Sterile</v>
          </cell>
          <cell r="AC249" t="str">
            <v>N/A</v>
          </cell>
          <cell r="AG249" t="str">
            <v>N/A</v>
          </cell>
          <cell r="AH249" t="str">
            <v>N/A</v>
          </cell>
          <cell r="AI249" t="str">
            <v>LATEX FREE</v>
          </cell>
          <cell r="AJ249" t="str">
            <v>Discontinued</v>
          </cell>
          <cell r="AK249" t="str">
            <v>N/A</v>
          </cell>
          <cell r="AL249" t="str">
            <v>N/A</v>
          </cell>
          <cell r="AM249" t="str">
            <v>N/A</v>
          </cell>
          <cell r="AN249" t="str">
            <v>N/A</v>
          </cell>
          <cell r="AO249" t="str">
            <v>3306SLF</v>
          </cell>
          <cell r="AP249" t="str">
            <v>N/A</v>
          </cell>
          <cell r="AS249" t="str">
            <v>3306DLF</v>
          </cell>
          <cell r="AT249" t="str">
            <v>N/A</v>
          </cell>
          <cell r="AU249" t="str">
            <v>N/A</v>
          </cell>
          <cell r="AV249" t="str">
            <v>330</v>
          </cell>
        </row>
        <row r="250">
          <cell r="A250" t="str">
            <v>3316</v>
          </cell>
          <cell r="B250" t="str">
            <v>Cat #</v>
          </cell>
          <cell r="C250" t="str">
            <v>Blue Spunbonded 24" Bouffant Cap/ MG #25-331/500</v>
          </cell>
          <cell r="D250" t="str">
            <v>1996 ETAL</v>
          </cell>
          <cell r="E250">
            <v>37096</v>
          </cell>
          <cell r="F250" t="str">
            <v>25-331</v>
          </cell>
          <cell r="K250" t="str">
            <v>N/A</v>
          </cell>
          <cell r="L250" t="str">
            <v>N/A</v>
          </cell>
          <cell r="P250" t="str">
            <v>N/A</v>
          </cell>
          <cell r="Q250" t="str">
            <v>20</v>
          </cell>
          <cell r="R250" t="str">
            <v>8</v>
          </cell>
          <cell r="S250" t="str">
            <v>0</v>
          </cell>
          <cell r="T250" t="str">
            <v>1.5</v>
          </cell>
          <cell r="U250" t="str">
            <v>2.5</v>
          </cell>
          <cell r="V250">
            <v>500</v>
          </cell>
          <cell r="X250" t="str">
            <v>Manufacturing</v>
          </cell>
          <cell r="Y250" t="str">
            <v>5</v>
          </cell>
          <cell r="Z250" t="str">
            <v>N/A</v>
          </cell>
          <cell r="AA250" t="str">
            <v>Relabel Area</v>
          </cell>
          <cell r="AB250" t="str">
            <v>Non-Sterile</v>
          </cell>
          <cell r="AC250" t="str">
            <v>N/A</v>
          </cell>
          <cell r="AG250" t="str">
            <v>N/A</v>
          </cell>
          <cell r="AH250" t="str">
            <v>N/A</v>
          </cell>
          <cell r="AI250" t="str">
            <v>LATEX FREE</v>
          </cell>
          <cell r="AJ250" t="str">
            <v>Discontinued</v>
          </cell>
          <cell r="AK250" t="str">
            <v>N/A</v>
          </cell>
          <cell r="AL250" t="str">
            <v>N/A</v>
          </cell>
          <cell r="AM250" t="str">
            <v>N/A</v>
          </cell>
          <cell r="AN250" t="str">
            <v>N/A</v>
          </cell>
          <cell r="AO250" t="str">
            <v>3316SLF</v>
          </cell>
          <cell r="AP250" t="str">
            <v>N/A</v>
          </cell>
          <cell r="AS250" t="str">
            <v>3316DLF</v>
          </cell>
          <cell r="AT250" t="str">
            <v>N/A</v>
          </cell>
          <cell r="AU250" t="str">
            <v>N/A</v>
          </cell>
          <cell r="AV250" t="str">
            <v>331</v>
          </cell>
        </row>
        <row r="251">
          <cell r="A251" t="str">
            <v>3326</v>
          </cell>
          <cell r="B251" t="str">
            <v>Cat #</v>
          </cell>
          <cell r="C251" t="str">
            <v>Green Spunbonded 24" Bouffant Cap/ MG #25-332/500</v>
          </cell>
          <cell r="D251" t="str">
            <v>1996 ETAL</v>
          </cell>
          <cell r="E251">
            <v>37096</v>
          </cell>
          <cell r="F251" t="str">
            <v>25-332</v>
          </cell>
          <cell r="K251" t="str">
            <v>N/A</v>
          </cell>
          <cell r="L251" t="str">
            <v>N/A</v>
          </cell>
          <cell r="P251" t="str">
            <v>N/A</v>
          </cell>
          <cell r="Q251" t="str">
            <v>20</v>
          </cell>
          <cell r="R251" t="str">
            <v>8</v>
          </cell>
          <cell r="S251" t="str">
            <v>0</v>
          </cell>
          <cell r="T251" t="str">
            <v>1.5</v>
          </cell>
          <cell r="U251" t="str">
            <v>2.5</v>
          </cell>
          <cell r="V251">
            <v>500</v>
          </cell>
          <cell r="X251" t="str">
            <v>Manufacturing</v>
          </cell>
          <cell r="Y251" t="str">
            <v>5</v>
          </cell>
          <cell r="Z251" t="str">
            <v>N/A</v>
          </cell>
          <cell r="AA251" t="str">
            <v>Relabel Area</v>
          </cell>
          <cell r="AB251" t="str">
            <v>Non-Sterile</v>
          </cell>
          <cell r="AC251" t="str">
            <v>N/A</v>
          </cell>
          <cell r="AG251" t="str">
            <v>N/A</v>
          </cell>
          <cell r="AH251" t="str">
            <v>N/A</v>
          </cell>
          <cell r="AI251" t="str">
            <v>LATEX FREE</v>
          </cell>
          <cell r="AJ251" t="str">
            <v>Discontinued</v>
          </cell>
          <cell r="AK251" t="str">
            <v>N/A</v>
          </cell>
          <cell r="AL251" t="str">
            <v>N/A</v>
          </cell>
          <cell r="AM251" t="str">
            <v>N/A</v>
          </cell>
          <cell r="AN251" t="str">
            <v>N/A</v>
          </cell>
          <cell r="AO251" t="str">
            <v>3326SLF</v>
          </cell>
          <cell r="AP251" t="str">
            <v>N/A</v>
          </cell>
          <cell r="AS251" t="str">
            <v>3326DLF</v>
          </cell>
          <cell r="AT251" t="str">
            <v>N/A</v>
          </cell>
          <cell r="AU251" t="str">
            <v>N/A</v>
          </cell>
          <cell r="AV251" t="str">
            <v>332</v>
          </cell>
        </row>
        <row r="252">
          <cell r="A252" t="str">
            <v>3356</v>
          </cell>
          <cell r="B252" t="str">
            <v>Cat #</v>
          </cell>
          <cell r="C252" t="str">
            <v>Surgeon's Cap/ MG #25-335/500</v>
          </cell>
          <cell r="D252" t="str">
            <v>1996 ETAL</v>
          </cell>
          <cell r="E252">
            <v>37096</v>
          </cell>
          <cell r="F252" t="str">
            <v>25-335</v>
          </cell>
          <cell r="K252" t="str">
            <v>N/A</v>
          </cell>
          <cell r="L252" t="str">
            <v>N/A</v>
          </cell>
          <cell r="P252" t="str">
            <v>N/A</v>
          </cell>
          <cell r="Q252" t="str">
            <v>20</v>
          </cell>
          <cell r="R252" t="str">
            <v>8</v>
          </cell>
          <cell r="S252" t="str">
            <v>0</v>
          </cell>
          <cell r="T252" t="str">
            <v>1.5</v>
          </cell>
          <cell r="U252" t="str">
            <v>2.5</v>
          </cell>
          <cell r="V252">
            <v>500</v>
          </cell>
          <cell r="X252" t="str">
            <v>Manufacturing</v>
          </cell>
          <cell r="Y252" t="str">
            <v>5</v>
          </cell>
          <cell r="Z252" t="str">
            <v>N/A</v>
          </cell>
          <cell r="AA252" t="str">
            <v>Relabel Area</v>
          </cell>
          <cell r="AB252" t="str">
            <v>Non-Sterile</v>
          </cell>
          <cell r="AC252" t="str">
            <v>N/A</v>
          </cell>
          <cell r="AG252" t="str">
            <v>N/A</v>
          </cell>
          <cell r="AH252" t="str">
            <v>N/A</v>
          </cell>
          <cell r="AI252" t="str">
            <v>LATEX FREE</v>
          </cell>
          <cell r="AJ252" t="str">
            <v>Discontinued</v>
          </cell>
          <cell r="AK252" t="str">
            <v>N/A</v>
          </cell>
          <cell r="AL252" t="str">
            <v>N/A</v>
          </cell>
          <cell r="AM252" t="str">
            <v>N/A</v>
          </cell>
          <cell r="AN252" t="str">
            <v>N/A</v>
          </cell>
          <cell r="AO252" t="str">
            <v>3356S</v>
          </cell>
          <cell r="AP252" t="str">
            <v>N/A</v>
          </cell>
          <cell r="AS252" t="str">
            <v>3356D</v>
          </cell>
          <cell r="AT252" t="str">
            <v>N/A</v>
          </cell>
          <cell r="AU252" t="str">
            <v>N/A</v>
          </cell>
          <cell r="AV252" t="str">
            <v>335</v>
          </cell>
        </row>
        <row r="253">
          <cell r="A253" t="str">
            <v>3377A</v>
          </cell>
          <cell r="B253" t="str">
            <v>Comp #</v>
          </cell>
          <cell r="C253" t="str">
            <v>#3377A Chin Strap for Shroud Kit And Post Mortem Bags</v>
          </cell>
          <cell r="D253" t="str">
            <v>3377A</v>
          </cell>
          <cell r="E253">
            <v>36668</v>
          </cell>
          <cell r="F253" t="str">
            <v>N/A</v>
          </cell>
          <cell r="K253" t="str">
            <v>S-4</v>
          </cell>
          <cell r="L253" t="str">
            <v>N/A</v>
          </cell>
          <cell r="P253" t="str">
            <v>20</v>
          </cell>
          <cell r="Q253" t="str">
            <v>N/A</v>
          </cell>
          <cell r="R253" t="str">
            <v>8</v>
          </cell>
          <cell r="S253" t="str">
            <v>0</v>
          </cell>
          <cell r="T253" t="str">
            <v>1.5</v>
          </cell>
          <cell r="U253" t="str">
            <v>2.5</v>
          </cell>
          <cell r="V253">
            <v>1</v>
          </cell>
          <cell r="X253" t="str">
            <v>Manufacturing</v>
          </cell>
          <cell r="Y253" t="str">
            <v>N/A</v>
          </cell>
          <cell r="Z253" t="str">
            <v>N/A</v>
          </cell>
          <cell r="AA253" t="str">
            <v>Cutting Press</v>
          </cell>
          <cell r="AB253" t="str">
            <v>Non-Sterile</v>
          </cell>
          <cell r="AC253" t="str">
            <v>N/A</v>
          </cell>
          <cell r="AG253" t="str">
            <v>N/A</v>
          </cell>
          <cell r="AH253" t="str">
            <v>N/A</v>
          </cell>
          <cell r="AI253" t="str">
            <v>LATEX FREE</v>
          </cell>
          <cell r="AJ253" t="str">
            <v>Current</v>
          </cell>
          <cell r="AK253" t="str">
            <v>N/A</v>
          </cell>
          <cell r="AL253" t="str">
            <v>N/A</v>
          </cell>
          <cell r="AM253" t="str">
            <v>N/A</v>
          </cell>
          <cell r="AN253" t="str">
            <v>N/A</v>
          </cell>
          <cell r="AO253" t="str">
            <v>N/A</v>
          </cell>
          <cell r="AP253" t="str">
            <v>N/A</v>
          </cell>
          <cell r="AS253" t="str">
            <v>Identification Label</v>
          </cell>
          <cell r="AT253" t="str">
            <v>N/A</v>
          </cell>
          <cell r="AU253" t="str">
            <v>N/A</v>
          </cell>
          <cell r="AV253" t="str">
            <v>3377</v>
          </cell>
        </row>
        <row r="254">
          <cell r="A254" t="str">
            <v>3386</v>
          </cell>
          <cell r="B254" t="str">
            <v>Cat #</v>
          </cell>
          <cell r="C254" t="str">
            <v>Shoe Cover/ MG #25-338/150prs</v>
          </cell>
          <cell r="D254" t="str">
            <v>1996 ETAL</v>
          </cell>
          <cell r="E254">
            <v>37096</v>
          </cell>
          <cell r="F254" t="str">
            <v>25-338</v>
          </cell>
          <cell r="K254" t="str">
            <v>N/A</v>
          </cell>
          <cell r="L254" t="str">
            <v>N/A</v>
          </cell>
          <cell r="P254" t="str">
            <v>N/A</v>
          </cell>
          <cell r="Q254" t="str">
            <v>N/A</v>
          </cell>
          <cell r="R254" t="str">
            <v>8</v>
          </cell>
          <cell r="S254" t="str">
            <v>0</v>
          </cell>
          <cell r="T254" t="str">
            <v>1.5</v>
          </cell>
          <cell r="U254" t="str">
            <v>2.5</v>
          </cell>
          <cell r="V254" t="str">
            <v>150prs</v>
          </cell>
          <cell r="X254" t="str">
            <v>Manufacturing</v>
          </cell>
          <cell r="Y254" t="str">
            <v>N/A</v>
          </cell>
          <cell r="Z254" t="str">
            <v>N/A</v>
          </cell>
          <cell r="AA254" t="str">
            <v>Relabel Area</v>
          </cell>
          <cell r="AB254" t="str">
            <v>Non-Sterile</v>
          </cell>
          <cell r="AC254" t="str">
            <v>N/A</v>
          </cell>
          <cell r="AG254" t="str">
            <v>N/A</v>
          </cell>
          <cell r="AH254" t="str">
            <v>N/A</v>
          </cell>
          <cell r="AI254" t="str">
            <v>LATEX FREE</v>
          </cell>
          <cell r="AJ254" t="str">
            <v>Discontinued</v>
          </cell>
          <cell r="AK254" t="str">
            <v>N/A</v>
          </cell>
          <cell r="AL254" t="str">
            <v>N/A</v>
          </cell>
          <cell r="AM254" t="str">
            <v>N/A</v>
          </cell>
          <cell r="AN254" t="str">
            <v>N/A</v>
          </cell>
          <cell r="AO254" t="str">
            <v>3386SLF</v>
          </cell>
          <cell r="AP254" t="str">
            <v>N/A</v>
          </cell>
          <cell r="AS254" t="str">
            <v>N/A</v>
          </cell>
          <cell r="AT254" t="str">
            <v>N/A</v>
          </cell>
          <cell r="AU254" t="str">
            <v>N/A</v>
          </cell>
          <cell r="AV254" t="str">
            <v>338</v>
          </cell>
        </row>
        <row r="255">
          <cell r="A255" t="str">
            <v>3388</v>
          </cell>
          <cell r="B255" t="str">
            <v>Cat #</v>
          </cell>
          <cell r="C255" t="str">
            <v>Shoe Cover/ Abco #510945/150prs</v>
          </cell>
          <cell r="D255" t="str">
            <v>1996 ETAL</v>
          </cell>
          <cell r="E255">
            <v>37096</v>
          </cell>
          <cell r="F255" t="str">
            <v>510945</v>
          </cell>
          <cell r="K255" t="str">
            <v>N/A</v>
          </cell>
          <cell r="L255" t="str">
            <v>N/A</v>
          </cell>
          <cell r="P255" t="str">
            <v>N/A</v>
          </cell>
          <cell r="Q255" t="str">
            <v>N/A</v>
          </cell>
          <cell r="R255" t="str">
            <v>8</v>
          </cell>
          <cell r="S255" t="str">
            <v>0</v>
          </cell>
          <cell r="T255" t="str">
            <v>1.5</v>
          </cell>
          <cell r="U255" t="str">
            <v>2.5</v>
          </cell>
          <cell r="V255" t="str">
            <v>150prs</v>
          </cell>
          <cell r="X255" t="str">
            <v>Manufacturing</v>
          </cell>
          <cell r="Y255" t="str">
            <v>N/A</v>
          </cell>
          <cell r="Z255" t="str">
            <v>N/A</v>
          </cell>
          <cell r="AA255" t="str">
            <v>Relabel Area</v>
          </cell>
          <cell r="AB255" t="str">
            <v>Non-Sterile</v>
          </cell>
          <cell r="AC255" t="str">
            <v>N/A</v>
          </cell>
          <cell r="AG255" t="str">
            <v>N/A</v>
          </cell>
          <cell r="AH255" t="str">
            <v>N/A</v>
          </cell>
          <cell r="AI255" t="str">
            <v>LATEX FREE</v>
          </cell>
          <cell r="AJ255" t="str">
            <v>Current</v>
          </cell>
          <cell r="AK255" t="str">
            <v>N/A</v>
          </cell>
          <cell r="AL255" t="str">
            <v>N/A</v>
          </cell>
          <cell r="AM255" t="str">
            <v>N/A</v>
          </cell>
          <cell r="AN255" t="str">
            <v>N/A</v>
          </cell>
          <cell r="AO255" t="str">
            <v>3/959</v>
          </cell>
          <cell r="AP255" t="str">
            <v>N/A</v>
          </cell>
          <cell r="AS255" t="str">
            <v>N/A</v>
          </cell>
          <cell r="AT255" t="str">
            <v>N/A</v>
          </cell>
          <cell r="AU255" t="str">
            <v>N/A</v>
          </cell>
          <cell r="AV255" t="str">
            <v>338</v>
          </cell>
        </row>
        <row r="256">
          <cell r="A256" t="str">
            <v>3405</v>
          </cell>
          <cell r="B256" t="str">
            <v>Cat #</v>
          </cell>
          <cell r="C256" t="str">
            <v>Shoe Cover/ Abco #510946/150prs</v>
          </cell>
          <cell r="D256" t="str">
            <v>1996 ETAL</v>
          </cell>
          <cell r="E256">
            <v>37096</v>
          </cell>
          <cell r="F256" t="str">
            <v>510946</v>
          </cell>
          <cell r="K256" t="str">
            <v>N/A</v>
          </cell>
          <cell r="L256" t="str">
            <v>N/A</v>
          </cell>
          <cell r="P256" t="str">
            <v>N/A</v>
          </cell>
          <cell r="Q256" t="str">
            <v>20</v>
          </cell>
          <cell r="R256" t="str">
            <v>8</v>
          </cell>
          <cell r="S256" t="str">
            <v>0</v>
          </cell>
          <cell r="T256" t="str">
            <v>1.5</v>
          </cell>
          <cell r="U256" t="str">
            <v>2.5</v>
          </cell>
          <cell r="V256" t="str">
            <v>150prs</v>
          </cell>
          <cell r="X256" t="str">
            <v>Manufacturing</v>
          </cell>
          <cell r="Y256" t="str">
            <v>3</v>
          </cell>
          <cell r="Z256" t="str">
            <v>N/A</v>
          </cell>
          <cell r="AA256" t="str">
            <v>Relabel Area</v>
          </cell>
          <cell r="AB256" t="str">
            <v>Non-Sterile</v>
          </cell>
          <cell r="AC256" t="str">
            <v>N/A</v>
          </cell>
          <cell r="AG256" t="str">
            <v>N/A</v>
          </cell>
          <cell r="AH256" t="str">
            <v>N/A</v>
          </cell>
          <cell r="AI256" t="str">
            <v>LATEX FREE</v>
          </cell>
          <cell r="AJ256" t="str">
            <v>Current</v>
          </cell>
          <cell r="AK256" t="str">
            <v>N/A</v>
          </cell>
          <cell r="AL256" t="str">
            <v>N/A</v>
          </cell>
          <cell r="AM256" t="str">
            <v>N/A</v>
          </cell>
          <cell r="AN256" t="str">
            <v>N/A</v>
          </cell>
          <cell r="AO256" t="str">
            <v>3/946</v>
          </cell>
          <cell r="AP256" t="str">
            <v>N/A</v>
          </cell>
          <cell r="AS256" t="str">
            <v>3/960</v>
          </cell>
          <cell r="AT256" t="str">
            <v>N/A</v>
          </cell>
          <cell r="AU256" t="str">
            <v>N/A</v>
          </cell>
          <cell r="AV256" t="str">
            <v>340</v>
          </cell>
        </row>
        <row r="257">
          <cell r="A257" t="str">
            <v>3406</v>
          </cell>
          <cell r="B257" t="str">
            <v>Cat #</v>
          </cell>
          <cell r="C257" t="str">
            <v>Shoe Cover/ MG #25-340/150prs</v>
          </cell>
          <cell r="D257" t="str">
            <v>1996 ETAL</v>
          </cell>
          <cell r="E257">
            <v>37096</v>
          </cell>
          <cell r="F257" t="str">
            <v>25-340</v>
          </cell>
          <cell r="K257" t="str">
            <v>N/A</v>
          </cell>
          <cell r="L257" t="str">
            <v>N/A</v>
          </cell>
          <cell r="P257" t="str">
            <v>N/A</v>
          </cell>
          <cell r="Q257" t="str">
            <v>20</v>
          </cell>
          <cell r="R257" t="str">
            <v>8</v>
          </cell>
          <cell r="S257" t="str">
            <v>0</v>
          </cell>
          <cell r="T257" t="str">
            <v>1.5</v>
          </cell>
          <cell r="U257" t="str">
            <v>2.5</v>
          </cell>
          <cell r="V257" t="str">
            <v>150prs</v>
          </cell>
          <cell r="X257" t="str">
            <v>Manufacturing</v>
          </cell>
          <cell r="Y257" t="str">
            <v>3</v>
          </cell>
          <cell r="Z257" t="str">
            <v>N/A</v>
          </cell>
          <cell r="AA257" t="str">
            <v>Relabel Area</v>
          </cell>
          <cell r="AB257" t="str">
            <v>Non-Sterile</v>
          </cell>
          <cell r="AC257" t="str">
            <v>N/A</v>
          </cell>
          <cell r="AG257" t="str">
            <v>N/A</v>
          </cell>
          <cell r="AH257" t="str">
            <v>N/A</v>
          </cell>
          <cell r="AI257" t="str">
            <v>LATEX FREE</v>
          </cell>
          <cell r="AJ257" t="str">
            <v>Discontinued</v>
          </cell>
          <cell r="AK257" t="str">
            <v>N/A</v>
          </cell>
          <cell r="AL257" t="str">
            <v>N/A</v>
          </cell>
          <cell r="AM257" t="str">
            <v>N/A</v>
          </cell>
          <cell r="AN257" t="str">
            <v>N/A</v>
          </cell>
          <cell r="AO257" t="str">
            <v>3406SLF</v>
          </cell>
          <cell r="AP257" t="str">
            <v>N/A</v>
          </cell>
          <cell r="AS257" t="str">
            <v>3406DLF</v>
          </cell>
          <cell r="AT257" t="str">
            <v>N/A</v>
          </cell>
          <cell r="AU257" t="str">
            <v>N/A</v>
          </cell>
          <cell r="AV257" t="str">
            <v>340</v>
          </cell>
        </row>
        <row r="258">
          <cell r="A258" t="str">
            <v>3466</v>
          </cell>
          <cell r="B258" t="str">
            <v>Cat #</v>
          </cell>
          <cell r="C258" t="str">
            <v>Shoe Cover/ MG #25-346/150prs</v>
          </cell>
          <cell r="D258" t="str">
            <v>1996 ETAL</v>
          </cell>
          <cell r="E258">
            <v>37096</v>
          </cell>
          <cell r="F258" t="str">
            <v>25-346</v>
          </cell>
          <cell r="K258" t="str">
            <v>N/A</v>
          </cell>
          <cell r="L258" t="str">
            <v>N/A</v>
          </cell>
          <cell r="P258" t="str">
            <v>N/A</v>
          </cell>
          <cell r="Q258" t="str">
            <v>N/A</v>
          </cell>
          <cell r="R258" t="str">
            <v>8</v>
          </cell>
          <cell r="S258" t="str">
            <v>0</v>
          </cell>
          <cell r="T258" t="str">
            <v>1.5</v>
          </cell>
          <cell r="U258" t="str">
            <v>2.5</v>
          </cell>
          <cell r="V258" t="str">
            <v>150prs</v>
          </cell>
          <cell r="X258" t="str">
            <v>Manufacturing</v>
          </cell>
          <cell r="Y258" t="str">
            <v>N/A</v>
          </cell>
          <cell r="Z258" t="str">
            <v>N/A</v>
          </cell>
          <cell r="AA258" t="str">
            <v>Relabel Area</v>
          </cell>
          <cell r="AB258" t="str">
            <v>Non-Sterile</v>
          </cell>
          <cell r="AC258" t="str">
            <v>N/A</v>
          </cell>
          <cell r="AG258" t="str">
            <v>N/A</v>
          </cell>
          <cell r="AH258" t="str">
            <v>N/A</v>
          </cell>
          <cell r="AI258" t="str">
            <v>LATEX FREE</v>
          </cell>
          <cell r="AJ258" t="str">
            <v>Discontinued</v>
          </cell>
          <cell r="AK258" t="str">
            <v>N/A</v>
          </cell>
          <cell r="AL258" t="str">
            <v>N/A</v>
          </cell>
          <cell r="AM258" t="str">
            <v>N/A</v>
          </cell>
          <cell r="AN258" t="str">
            <v>N/A</v>
          </cell>
          <cell r="AO258" t="str">
            <v>3466SLF</v>
          </cell>
          <cell r="AP258" t="str">
            <v>N/A</v>
          </cell>
          <cell r="AS258" t="str">
            <v>N/A</v>
          </cell>
          <cell r="AT258" t="str">
            <v>N/A</v>
          </cell>
          <cell r="AU258" t="str">
            <v>N/A</v>
          </cell>
          <cell r="AV258" t="str">
            <v>346</v>
          </cell>
        </row>
        <row r="259">
          <cell r="A259" t="str">
            <v>3468</v>
          </cell>
          <cell r="B259" t="str">
            <v>Cat #</v>
          </cell>
          <cell r="C259" t="str">
            <v>Shoe Cover/ Abco #510959/150prs</v>
          </cell>
          <cell r="D259" t="str">
            <v>1996 ETAL</v>
          </cell>
          <cell r="E259">
            <v>37096</v>
          </cell>
          <cell r="F259" t="str">
            <v>510959</v>
          </cell>
          <cell r="K259" t="str">
            <v>N/A</v>
          </cell>
          <cell r="L259" t="str">
            <v>N/A</v>
          </cell>
          <cell r="P259" t="str">
            <v>N/A</v>
          </cell>
          <cell r="Q259" t="str">
            <v>N/A</v>
          </cell>
          <cell r="R259" t="str">
            <v>8</v>
          </cell>
          <cell r="S259" t="str">
            <v>0</v>
          </cell>
          <cell r="T259" t="str">
            <v>1.5</v>
          </cell>
          <cell r="U259" t="str">
            <v>2.5</v>
          </cell>
          <cell r="V259" t="str">
            <v>150prs</v>
          </cell>
          <cell r="X259" t="str">
            <v>Manufacturing</v>
          </cell>
          <cell r="Y259" t="str">
            <v>N/A</v>
          </cell>
          <cell r="Z259" t="str">
            <v>N/A</v>
          </cell>
          <cell r="AA259" t="str">
            <v>Relabel Area</v>
          </cell>
          <cell r="AB259" t="str">
            <v>Non-Sterile</v>
          </cell>
          <cell r="AC259" t="str">
            <v>N/A</v>
          </cell>
          <cell r="AG259" t="str">
            <v>N/A</v>
          </cell>
          <cell r="AH259" t="str">
            <v>N/A</v>
          </cell>
          <cell r="AI259" t="str">
            <v>LATEX FREE</v>
          </cell>
          <cell r="AJ259" t="str">
            <v>Current</v>
          </cell>
          <cell r="AK259" t="str">
            <v>N/A</v>
          </cell>
          <cell r="AL259" t="str">
            <v>N/A</v>
          </cell>
          <cell r="AM259" t="str">
            <v>N/A</v>
          </cell>
          <cell r="AN259" t="str">
            <v>N/A</v>
          </cell>
          <cell r="AO259" t="str">
            <v>3/959</v>
          </cell>
          <cell r="AP259" t="str">
            <v>N/A</v>
          </cell>
          <cell r="AS259" t="str">
            <v>N/A</v>
          </cell>
          <cell r="AT259" t="str">
            <v>N/A</v>
          </cell>
          <cell r="AU259" t="str">
            <v>N/A</v>
          </cell>
          <cell r="AV259" t="str">
            <v>346</v>
          </cell>
        </row>
        <row r="260">
          <cell r="A260" t="str">
            <v>3476</v>
          </cell>
          <cell r="B260" t="str">
            <v>Cat #</v>
          </cell>
          <cell r="C260" t="str">
            <v>XL Shoe Cover/ Medi-Pak #25-347/100prs</v>
          </cell>
          <cell r="D260" t="str">
            <v>1996 ETAL</v>
          </cell>
          <cell r="E260">
            <v>37096</v>
          </cell>
          <cell r="F260" t="str">
            <v>25-347</v>
          </cell>
          <cell r="K260" t="str">
            <v>N/A</v>
          </cell>
          <cell r="L260" t="str">
            <v>N/A</v>
          </cell>
          <cell r="P260" t="str">
            <v>N/A</v>
          </cell>
          <cell r="Q260" t="str">
            <v>N/A</v>
          </cell>
          <cell r="R260" t="str">
            <v>8</v>
          </cell>
          <cell r="S260" t="str">
            <v>0</v>
          </cell>
          <cell r="T260" t="str">
            <v>1.5</v>
          </cell>
          <cell r="U260" t="str">
            <v>2.5</v>
          </cell>
          <cell r="V260" t="str">
            <v>100prs</v>
          </cell>
          <cell r="X260" t="str">
            <v>Manufacturing</v>
          </cell>
          <cell r="Y260" t="str">
            <v>N/A</v>
          </cell>
          <cell r="Z260" t="str">
            <v>N/A</v>
          </cell>
          <cell r="AA260" t="str">
            <v>Relabel Area</v>
          </cell>
          <cell r="AB260" t="str">
            <v>Non-Sterile</v>
          </cell>
          <cell r="AC260" t="str">
            <v>N/A</v>
          </cell>
          <cell r="AG260" t="str">
            <v>N/A</v>
          </cell>
          <cell r="AH260" t="str">
            <v>N/A</v>
          </cell>
          <cell r="AI260" t="str">
            <v>LATEX FREE</v>
          </cell>
          <cell r="AJ260" t="str">
            <v>Discontinued</v>
          </cell>
          <cell r="AK260" t="str">
            <v>N/A</v>
          </cell>
          <cell r="AL260" t="str">
            <v>N/A</v>
          </cell>
          <cell r="AM260" t="str">
            <v>N/A</v>
          </cell>
          <cell r="AN260" t="str">
            <v>N/A</v>
          </cell>
          <cell r="AO260" t="str">
            <v>3476SLF</v>
          </cell>
          <cell r="AP260" t="str">
            <v>N/A</v>
          </cell>
          <cell r="AS260" t="str">
            <v>N/A</v>
          </cell>
          <cell r="AT260" t="str">
            <v>N/A</v>
          </cell>
          <cell r="AU260" t="str">
            <v>N/A</v>
          </cell>
          <cell r="AV260" t="str">
            <v>347</v>
          </cell>
        </row>
        <row r="261">
          <cell r="A261" t="str">
            <v>3486</v>
          </cell>
          <cell r="B261" t="str">
            <v>Cat #</v>
          </cell>
          <cell r="C261" t="str">
            <v>Shoe Cover/ MG #25-348/150prs</v>
          </cell>
          <cell r="D261" t="str">
            <v>1996 ETAL</v>
          </cell>
          <cell r="E261">
            <v>37096</v>
          </cell>
          <cell r="F261" t="str">
            <v>25-348</v>
          </cell>
          <cell r="K261" t="str">
            <v>N/A</v>
          </cell>
          <cell r="L261" t="str">
            <v>N/A</v>
          </cell>
          <cell r="P261" t="str">
            <v>N/A</v>
          </cell>
          <cell r="Q261" t="str">
            <v>20</v>
          </cell>
          <cell r="R261" t="str">
            <v>8</v>
          </cell>
          <cell r="S261" t="str">
            <v>0</v>
          </cell>
          <cell r="T261" t="str">
            <v>1.5</v>
          </cell>
          <cell r="U261" t="str">
            <v>2.5</v>
          </cell>
          <cell r="V261" t="str">
            <v>150prs</v>
          </cell>
          <cell r="X261" t="str">
            <v>Manufacturing</v>
          </cell>
          <cell r="Y261" t="str">
            <v>3</v>
          </cell>
          <cell r="Z261" t="str">
            <v>N/A</v>
          </cell>
          <cell r="AA261" t="str">
            <v>Relabel Area</v>
          </cell>
          <cell r="AB261" t="str">
            <v>Non-Sterile</v>
          </cell>
          <cell r="AC261" t="str">
            <v>N/A</v>
          </cell>
          <cell r="AG261" t="str">
            <v>N/A</v>
          </cell>
          <cell r="AH261" t="str">
            <v>N/A</v>
          </cell>
          <cell r="AI261" t="str">
            <v>LATEX FREE</v>
          </cell>
          <cell r="AJ261" t="str">
            <v>Discontinued</v>
          </cell>
          <cell r="AK261" t="str">
            <v>N/A</v>
          </cell>
          <cell r="AL261" t="str">
            <v>N/A</v>
          </cell>
          <cell r="AM261" t="str">
            <v>N/A</v>
          </cell>
          <cell r="AN261" t="str">
            <v>N/A</v>
          </cell>
          <cell r="AO261" t="str">
            <v>3486SLF</v>
          </cell>
          <cell r="AP261" t="str">
            <v>N/A</v>
          </cell>
          <cell r="AS261" t="str">
            <v>3486DLF</v>
          </cell>
          <cell r="AT261" t="str">
            <v>N/A</v>
          </cell>
          <cell r="AU261" t="str">
            <v>N/A</v>
          </cell>
          <cell r="AV261" t="str">
            <v>348</v>
          </cell>
        </row>
        <row r="262">
          <cell r="A262" t="str">
            <v>3488</v>
          </cell>
          <cell r="B262" t="str">
            <v>Cat #</v>
          </cell>
          <cell r="C262" t="str">
            <v>Shoe Cover/ Abco #510960/150prs</v>
          </cell>
          <cell r="D262" t="str">
            <v>1996 ETAL</v>
          </cell>
          <cell r="E262">
            <v>37096</v>
          </cell>
          <cell r="F262" t="str">
            <v>510960</v>
          </cell>
          <cell r="K262" t="str">
            <v>N/A</v>
          </cell>
          <cell r="L262" t="str">
            <v>N/A</v>
          </cell>
          <cell r="P262" t="str">
            <v>N/A</v>
          </cell>
          <cell r="Q262" t="str">
            <v>20</v>
          </cell>
          <cell r="R262" t="str">
            <v>8</v>
          </cell>
          <cell r="S262" t="str">
            <v>0</v>
          </cell>
          <cell r="T262" t="str">
            <v>1.5</v>
          </cell>
          <cell r="U262" t="str">
            <v>2.5</v>
          </cell>
          <cell r="V262" t="str">
            <v>150prs</v>
          </cell>
          <cell r="X262" t="str">
            <v>Manufacturing</v>
          </cell>
          <cell r="Y262" t="str">
            <v>3</v>
          </cell>
          <cell r="Z262" t="str">
            <v>N/A</v>
          </cell>
          <cell r="AA262" t="str">
            <v>Relabel Area</v>
          </cell>
          <cell r="AB262" t="str">
            <v>Non-Sterile</v>
          </cell>
          <cell r="AC262" t="str">
            <v>N/A</v>
          </cell>
          <cell r="AG262" t="str">
            <v>N/A</v>
          </cell>
          <cell r="AH262" t="str">
            <v>N/A</v>
          </cell>
          <cell r="AI262" t="str">
            <v>LATEX FREE</v>
          </cell>
          <cell r="AJ262" t="str">
            <v>Current</v>
          </cell>
          <cell r="AK262" t="str">
            <v>N/A</v>
          </cell>
          <cell r="AL262" t="str">
            <v>N/A</v>
          </cell>
          <cell r="AM262" t="str">
            <v>N/A</v>
          </cell>
          <cell r="AN262" t="str">
            <v>N/A</v>
          </cell>
          <cell r="AO262" t="str">
            <v>3/946</v>
          </cell>
          <cell r="AP262" t="str">
            <v>N/A</v>
          </cell>
          <cell r="AS262" t="str">
            <v>3/960</v>
          </cell>
          <cell r="AT262" t="str">
            <v>N/A</v>
          </cell>
          <cell r="AU262" t="str">
            <v>N/A</v>
          </cell>
          <cell r="AV262" t="str">
            <v>348</v>
          </cell>
        </row>
        <row r="263">
          <cell r="A263" t="str">
            <v>3496</v>
          </cell>
          <cell r="B263" t="str">
            <v>Cat #</v>
          </cell>
          <cell r="C263" t="str">
            <v>XL Shoe Cover/ Medi-Pak #25-349/100prs</v>
          </cell>
          <cell r="D263" t="str">
            <v>1996 ETAL</v>
          </cell>
          <cell r="E263">
            <v>37096</v>
          </cell>
          <cell r="F263" t="str">
            <v>25-349</v>
          </cell>
          <cell r="K263" t="str">
            <v>N/A</v>
          </cell>
          <cell r="L263" t="str">
            <v>N/A</v>
          </cell>
          <cell r="P263" t="str">
            <v>N/A</v>
          </cell>
          <cell r="Q263" t="str">
            <v>N/A</v>
          </cell>
          <cell r="R263" t="str">
            <v>8</v>
          </cell>
          <cell r="S263" t="str">
            <v>0</v>
          </cell>
          <cell r="T263" t="str">
            <v>1.5</v>
          </cell>
          <cell r="U263" t="str">
            <v>2.5</v>
          </cell>
          <cell r="V263" t="str">
            <v>100prs</v>
          </cell>
          <cell r="X263" t="str">
            <v>Manufacturing</v>
          </cell>
          <cell r="Y263" t="str">
            <v>N/A</v>
          </cell>
          <cell r="Z263" t="str">
            <v>N/A</v>
          </cell>
          <cell r="AA263" t="str">
            <v>Relabel Area</v>
          </cell>
          <cell r="AB263" t="str">
            <v>Non-Sterile</v>
          </cell>
          <cell r="AC263" t="str">
            <v>N/A</v>
          </cell>
          <cell r="AG263" t="str">
            <v>N/A</v>
          </cell>
          <cell r="AH263" t="str">
            <v>N/A</v>
          </cell>
          <cell r="AI263" t="str">
            <v>LATEX FREE</v>
          </cell>
          <cell r="AJ263" t="str">
            <v>Discontinued</v>
          </cell>
          <cell r="AK263" t="str">
            <v>N/A</v>
          </cell>
          <cell r="AL263" t="str">
            <v>N/A</v>
          </cell>
          <cell r="AM263" t="str">
            <v>N/A</v>
          </cell>
          <cell r="AN263" t="str">
            <v>N/A</v>
          </cell>
          <cell r="AO263" t="str">
            <v>3496SLF</v>
          </cell>
          <cell r="AP263" t="str">
            <v>N/A</v>
          </cell>
          <cell r="AS263" t="str">
            <v>N/A</v>
          </cell>
          <cell r="AT263" t="str">
            <v>N/A</v>
          </cell>
          <cell r="AU263" t="str">
            <v>N/A</v>
          </cell>
          <cell r="AV263" t="str">
            <v>349</v>
          </cell>
        </row>
        <row r="264">
          <cell r="A264">
            <v>3687</v>
          </cell>
          <cell r="B264" t="str">
            <v>Cat #</v>
          </cell>
          <cell r="C264" t="str">
            <v>Graham Field# 90-3584 Clean 1/4"Y Connector/504</v>
          </cell>
          <cell r="F264" t="str">
            <v>90-3584</v>
          </cell>
          <cell r="Q264" t="str">
            <v>N/A</v>
          </cell>
          <cell r="V264">
            <v>504</v>
          </cell>
          <cell r="X264" t="str">
            <v>Manufacturing</v>
          </cell>
          <cell r="Y264" t="str">
            <v>N/A</v>
          </cell>
          <cell r="Z264" t="str">
            <v>N/A</v>
          </cell>
          <cell r="AA264" t="str">
            <v>Process Room</v>
          </cell>
          <cell r="AB264" t="str">
            <v>Non-Sterile</v>
          </cell>
          <cell r="AC264" t="str">
            <v>N/A</v>
          </cell>
          <cell r="AG264" t="str">
            <v>N/A</v>
          </cell>
          <cell r="AH264" t="str">
            <v>N/A</v>
          </cell>
          <cell r="AI264" t="str">
            <v>LATEX FREE</v>
          </cell>
          <cell r="AJ264" t="str">
            <v>Discontinued</v>
          </cell>
          <cell r="AK264" t="str">
            <v>N/A</v>
          </cell>
          <cell r="AL264" t="str">
            <v>N/A</v>
          </cell>
          <cell r="AM264" t="str">
            <v>N/A</v>
          </cell>
          <cell r="AN264" t="str">
            <v>N/A</v>
          </cell>
          <cell r="AO264" t="str">
            <v>3687A</v>
          </cell>
          <cell r="AP264" t="str">
            <v>N/A</v>
          </cell>
          <cell r="AS264" t="str">
            <v>N/A</v>
          </cell>
          <cell r="AT264" t="str">
            <v>N/A</v>
          </cell>
          <cell r="AU264" t="str">
            <v>N/A</v>
          </cell>
          <cell r="AV264" t="str">
            <v>5070B</v>
          </cell>
        </row>
        <row r="265">
          <cell r="A265">
            <v>3700</v>
          </cell>
          <cell r="B265" t="str">
            <v>Cat #</v>
          </cell>
          <cell r="C265" t="str">
            <v>Yellow Procedure Mask W/8" Earloops/ Carlisle Darby #9513234/1000</v>
          </cell>
          <cell r="D265" t="str">
            <v>370 ETAL</v>
          </cell>
          <cell r="E265">
            <v>37435</v>
          </cell>
          <cell r="F265" t="str">
            <v>9513234</v>
          </cell>
          <cell r="K265" t="str">
            <v>S-4</v>
          </cell>
          <cell r="L265" t="str">
            <v>32</v>
          </cell>
          <cell r="P265" t="str">
            <v>32</v>
          </cell>
          <cell r="Q265" t="str">
            <v>20</v>
          </cell>
          <cell r="R265" t="str">
            <v>16</v>
          </cell>
          <cell r="S265" t="str">
            <v>0</v>
          </cell>
          <cell r="T265" t="str">
            <v>1.5</v>
          </cell>
          <cell r="U265" t="str">
            <v>2.5</v>
          </cell>
          <cell r="V265">
            <v>1000</v>
          </cell>
          <cell r="W265" t="str">
            <v>S-4</v>
          </cell>
          <cell r="X265" t="str">
            <v>Manufacturing</v>
          </cell>
          <cell r="Y265" t="str">
            <v>10</v>
          </cell>
          <cell r="Z265" t="str">
            <v>N/A</v>
          </cell>
          <cell r="AA265" t="str">
            <v>Mask Machine</v>
          </cell>
          <cell r="AB265" t="str">
            <v>Non-Sterile</v>
          </cell>
          <cell r="AC265" t="str">
            <v>N/A</v>
          </cell>
          <cell r="AG265" t="str">
            <v>N/A</v>
          </cell>
          <cell r="AH265" t="str">
            <v>N/A</v>
          </cell>
          <cell r="AI265" t="str">
            <v>LATEX FREE</v>
          </cell>
          <cell r="AJ265" t="str">
            <v>Current</v>
          </cell>
          <cell r="AK265" t="str">
            <v>N/A</v>
          </cell>
          <cell r="AL265" t="str">
            <v>N/A</v>
          </cell>
          <cell r="AM265" t="str">
            <v>N/A</v>
          </cell>
          <cell r="AN265" t="str">
            <v>N/A</v>
          </cell>
          <cell r="AO265" t="str">
            <v>Unknown</v>
          </cell>
          <cell r="AP265" t="str">
            <v>N/A</v>
          </cell>
          <cell r="AS265" t="str">
            <v>Barcode Label (Disp)</v>
          </cell>
          <cell r="AT265" t="str">
            <v>N/A</v>
          </cell>
          <cell r="AU265" t="str">
            <v>N/A</v>
          </cell>
          <cell r="AV265" t="str">
            <v>3750,3736A,3752A,3/372B,3706</v>
          </cell>
        </row>
        <row r="266">
          <cell r="A266">
            <v>3702</v>
          </cell>
          <cell r="B266" t="str">
            <v>Cat #</v>
          </cell>
          <cell r="C266" t="str">
            <v>Yellow Isolation Mask/1000</v>
          </cell>
          <cell r="D266" t="str">
            <v>370 ETAL</v>
          </cell>
          <cell r="E266">
            <v>36620</v>
          </cell>
          <cell r="F266" t="str">
            <v>N/A</v>
          </cell>
          <cell r="P266" t="str">
            <v>S-3</v>
          </cell>
          <cell r="R266" t="str">
            <v>2</v>
          </cell>
          <cell r="V266">
            <v>1000</v>
          </cell>
          <cell r="W266" t="str">
            <v>S-4</v>
          </cell>
          <cell r="X266" t="str">
            <v>Manufacturing</v>
          </cell>
          <cell r="Y266" t="str">
            <v>N/A</v>
          </cell>
          <cell r="Z266" t="str">
            <v>N/A</v>
          </cell>
          <cell r="AA266" t="str">
            <v>Mask Machine</v>
          </cell>
          <cell r="AB266" t="str">
            <v>Non-Sterile</v>
          </cell>
          <cell r="AC266" t="str">
            <v>N/A</v>
          </cell>
          <cell r="AG266" t="str">
            <v>N/A</v>
          </cell>
          <cell r="AH266" t="str">
            <v>N/A</v>
          </cell>
          <cell r="AI266" t="str">
            <v>LATEX FREE</v>
          </cell>
          <cell r="AJ266" t="str">
            <v>Discontinued</v>
          </cell>
          <cell r="AK266" t="str">
            <v>N/A</v>
          </cell>
          <cell r="AL266" t="str">
            <v>N/A</v>
          </cell>
          <cell r="AM266" t="str">
            <v>N/A</v>
          </cell>
          <cell r="AN266" t="str">
            <v>N/A</v>
          </cell>
          <cell r="AO266" t="str">
            <v>LF3702SL</v>
          </cell>
          <cell r="AP266" t="str">
            <v>N/A</v>
          </cell>
          <cell r="AS266" t="str">
            <v>N/A</v>
          </cell>
          <cell r="AT266" t="str">
            <v>N/A</v>
          </cell>
          <cell r="AU266" t="str">
            <v>N/A</v>
          </cell>
          <cell r="AV266" t="str">
            <v>N/A</v>
          </cell>
        </row>
        <row r="267">
          <cell r="A267" t="str">
            <v>3702M</v>
          </cell>
          <cell r="B267" t="str">
            <v>Cat #</v>
          </cell>
          <cell r="C267" t="str">
            <v>Yellow HI-Filtration Isolation Mask- Folded/1000</v>
          </cell>
          <cell r="F267" t="str">
            <v>N/A</v>
          </cell>
          <cell r="Q267" t="str">
            <v>N/A</v>
          </cell>
          <cell r="V267">
            <v>1000</v>
          </cell>
          <cell r="X267" t="str">
            <v>Manufacturing</v>
          </cell>
          <cell r="Y267" t="str">
            <v>N/A</v>
          </cell>
          <cell r="Z267" t="str">
            <v>N/A</v>
          </cell>
          <cell r="AA267" t="str">
            <v>Mask Machine</v>
          </cell>
          <cell r="AB267" t="str">
            <v>Non-Sterile</v>
          </cell>
          <cell r="AC267" t="str">
            <v>N/A</v>
          </cell>
          <cell r="AG267" t="str">
            <v>N/A</v>
          </cell>
          <cell r="AH267" t="str">
            <v>N/A</v>
          </cell>
          <cell r="AI267" t="str">
            <v>LATEX FREE</v>
          </cell>
          <cell r="AJ267" t="str">
            <v>Current</v>
          </cell>
          <cell r="AK267" t="str">
            <v>N/A</v>
          </cell>
          <cell r="AL267" t="str">
            <v>N/A</v>
          </cell>
          <cell r="AM267" t="str">
            <v>N/A</v>
          </cell>
          <cell r="AN267" t="str">
            <v>N/A</v>
          </cell>
          <cell r="AO267" t="str">
            <v>LF3702MSL</v>
          </cell>
          <cell r="AP267" t="str">
            <v>N/A</v>
          </cell>
          <cell r="AS267" t="str">
            <v>N/A</v>
          </cell>
          <cell r="AT267" t="str">
            <v>N/A</v>
          </cell>
          <cell r="AU267" t="str">
            <v>N/A</v>
          </cell>
          <cell r="AV267" t="str">
            <v>3750,3736A,3752A,3/372B,3706,2963A</v>
          </cell>
        </row>
        <row r="268">
          <cell r="A268">
            <v>3711</v>
          </cell>
          <cell r="B268" t="str">
            <v>Cat #</v>
          </cell>
          <cell r="C268" t="str">
            <v>Blue Hi-Filtration Isolation Mask</v>
          </cell>
          <cell r="D268" t="str">
            <v>3711 ETAL</v>
          </cell>
          <cell r="E268">
            <v>37433</v>
          </cell>
          <cell r="F268" t="str">
            <v>N/A</v>
          </cell>
          <cell r="K268" t="str">
            <v>S-4</v>
          </cell>
          <cell r="L268" t="str">
            <v>32</v>
          </cell>
          <cell r="P268" t="str">
            <v>32</v>
          </cell>
          <cell r="Q268" t="str">
            <v>N/A</v>
          </cell>
          <cell r="R268" t="str">
            <v>16</v>
          </cell>
          <cell r="S268" t="str">
            <v>0</v>
          </cell>
          <cell r="T268" t="str">
            <v>1.5</v>
          </cell>
          <cell r="U268" t="str">
            <v>2.5</v>
          </cell>
          <cell r="W268" t="str">
            <v>S-4</v>
          </cell>
          <cell r="X268" t="str">
            <v>Manufacturing</v>
          </cell>
          <cell r="Y268" t="str">
            <v>N/A</v>
          </cell>
          <cell r="Z268" t="str">
            <v>N/A</v>
          </cell>
          <cell r="AA268" t="str">
            <v>Mask Machine</v>
          </cell>
          <cell r="AB268" t="str">
            <v>Non-Sterile</v>
          </cell>
          <cell r="AC268" t="str">
            <v>N/A</v>
          </cell>
          <cell r="AG268" t="str">
            <v>N/A</v>
          </cell>
          <cell r="AH268" t="str">
            <v>N/A</v>
          </cell>
          <cell r="AI268" t="str">
            <v>LATEX FREE</v>
          </cell>
          <cell r="AJ268" t="str">
            <v>Current</v>
          </cell>
          <cell r="AK268" t="str">
            <v>N/A</v>
          </cell>
          <cell r="AL268" t="str">
            <v>N/A</v>
          </cell>
          <cell r="AM268" t="str">
            <v>N/A</v>
          </cell>
          <cell r="AN268" t="str">
            <v>N/A</v>
          </cell>
          <cell r="AO268" t="str">
            <v>N/A</v>
          </cell>
          <cell r="AP268" t="str">
            <v>N/A</v>
          </cell>
          <cell r="AS268" t="str">
            <v>Identification Label</v>
          </cell>
          <cell r="AT268" t="str">
            <v>N/A</v>
          </cell>
          <cell r="AU268" t="str">
            <v>N/A</v>
          </cell>
          <cell r="AV268" t="str">
            <v>3751,3736A,3752A,3/372B,3706</v>
          </cell>
        </row>
        <row r="269">
          <cell r="A269" t="str">
            <v>3711A</v>
          </cell>
          <cell r="B269" t="str">
            <v>Comp #</v>
          </cell>
          <cell r="C269" t="str">
            <v>Blue Hi-Filtration Isolation Mask-Folded</v>
          </cell>
          <cell r="D269" t="str">
            <v>3711 ETAL</v>
          </cell>
          <cell r="E269">
            <v>37433</v>
          </cell>
          <cell r="F269" t="str">
            <v>N/A</v>
          </cell>
          <cell r="K269" t="str">
            <v>S-4</v>
          </cell>
          <cell r="L269" t="str">
            <v>32</v>
          </cell>
          <cell r="P269" t="str">
            <v>32</v>
          </cell>
          <cell r="Q269" t="str">
            <v>N/A</v>
          </cell>
          <cell r="R269" t="str">
            <v>16</v>
          </cell>
          <cell r="S269" t="str">
            <v>0</v>
          </cell>
          <cell r="T269" t="str">
            <v>1.5</v>
          </cell>
          <cell r="U269" t="str">
            <v>2.5</v>
          </cell>
          <cell r="X269" t="str">
            <v>Manufacturing</v>
          </cell>
          <cell r="Y269" t="str">
            <v>N/A</v>
          </cell>
          <cell r="Z269" t="str">
            <v>N/A</v>
          </cell>
          <cell r="AA269" t="str">
            <v>Mask Machine</v>
          </cell>
          <cell r="AB269" t="str">
            <v>Non-Sterile</v>
          </cell>
          <cell r="AC269" t="str">
            <v>N/A</v>
          </cell>
          <cell r="AG269" t="str">
            <v>N/A</v>
          </cell>
          <cell r="AH269" t="str">
            <v>N/A</v>
          </cell>
          <cell r="AI269" t="str">
            <v>LATEX FREE</v>
          </cell>
          <cell r="AJ269" t="str">
            <v>Current</v>
          </cell>
          <cell r="AK269" t="str">
            <v>N/A</v>
          </cell>
          <cell r="AL269" t="str">
            <v>N/A</v>
          </cell>
          <cell r="AM269" t="str">
            <v>N/A</v>
          </cell>
          <cell r="AN269" t="str">
            <v>N/A</v>
          </cell>
          <cell r="AO269" t="str">
            <v>N/A</v>
          </cell>
          <cell r="AP269" t="str">
            <v>N/A</v>
          </cell>
          <cell r="AS269" t="str">
            <v>Identification Label</v>
          </cell>
          <cell r="AT269" t="str">
            <v>N/A</v>
          </cell>
          <cell r="AU269" t="str">
            <v>N/A</v>
          </cell>
          <cell r="AV269" t="str">
            <v>3751,3736A,3752A,3/372B,3706</v>
          </cell>
        </row>
        <row r="270">
          <cell r="A270">
            <v>3712</v>
          </cell>
          <cell r="B270" t="str">
            <v>Comp #</v>
          </cell>
          <cell r="C270" t="str">
            <v>Yellow HI-Filtration Isolation Mask</v>
          </cell>
          <cell r="D270" t="str">
            <v>3711 ETAL</v>
          </cell>
          <cell r="E270">
            <v>37433</v>
          </cell>
          <cell r="F270" t="str">
            <v>N/A</v>
          </cell>
          <cell r="K270" t="str">
            <v>S-4</v>
          </cell>
          <cell r="L270" t="str">
            <v>32</v>
          </cell>
          <cell r="P270" t="str">
            <v>32</v>
          </cell>
          <cell r="Q270" t="str">
            <v>N/A</v>
          </cell>
          <cell r="R270" t="str">
            <v>16</v>
          </cell>
          <cell r="S270" t="str">
            <v>0</v>
          </cell>
          <cell r="T270" t="str">
            <v>1.5</v>
          </cell>
          <cell r="U270" t="str">
            <v>2.5</v>
          </cell>
          <cell r="W270" t="str">
            <v>S-4</v>
          </cell>
          <cell r="X270" t="str">
            <v>Manufacturing</v>
          </cell>
          <cell r="Y270" t="str">
            <v>N/A</v>
          </cell>
          <cell r="Z270" t="str">
            <v>N/A</v>
          </cell>
          <cell r="AA270" t="str">
            <v>Mask Machine</v>
          </cell>
          <cell r="AB270" t="str">
            <v>Non-Sterile</v>
          </cell>
          <cell r="AC270" t="str">
            <v>N/A</v>
          </cell>
          <cell r="AG270" t="str">
            <v>N/A</v>
          </cell>
          <cell r="AH270" t="str">
            <v>N/A</v>
          </cell>
          <cell r="AI270" t="str">
            <v>LATEX FREE</v>
          </cell>
          <cell r="AJ270" t="str">
            <v>Current</v>
          </cell>
          <cell r="AK270" t="str">
            <v>N/A</v>
          </cell>
          <cell r="AL270" t="str">
            <v>N/A</v>
          </cell>
          <cell r="AM270" t="str">
            <v>N/A</v>
          </cell>
          <cell r="AN270" t="str">
            <v>N/A</v>
          </cell>
          <cell r="AO270" t="str">
            <v>N/A</v>
          </cell>
          <cell r="AP270" t="str">
            <v>N/A</v>
          </cell>
          <cell r="AS270" t="str">
            <v>Identification Label</v>
          </cell>
          <cell r="AT270" t="str">
            <v>N/A</v>
          </cell>
          <cell r="AU270" t="str">
            <v>N/A</v>
          </cell>
          <cell r="AV270" t="str">
            <v>3750,3736A,3752A,3/372B,3706</v>
          </cell>
        </row>
        <row r="271">
          <cell r="A271" t="str">
            <v>3712A</v>
          </cell>
          <cell r="B271" t="str">
            <v>Comp #</v>
          </cell>
          <cell r="C271" t="str">
            <v>Yellow HI-Filtration Isolation Mask-Folded</v>
          </cell>
          <cell r="D271" t="str">
            <v>3711 ETAL</v>
          </cell>
          <cell r="E271">
            <v>37433</v>
          </cell>
          <cell r="F271" t="str">
            <v>N/A</v>
          </cell>
          <cell r="K271" t="str">
            <v>S-4</v>
          </cell>
          <cell r="L271" t="str">
            <v>32</v>
          </cell>
          <cell r="P271" t="str">
            <v>32</v>
          </cell>
          <cell r="Q271" t="str">
            <v>N/A</v>
          </cell>
          <cell r="R271" t="str">
            <v>16</v>
          </cell>
          <cell r="S271" t="str">
            <v>0</v>
          </cell>
          <cell r="T271" t="str">
            <v>1.5</v>
          </cell>
          <cell r="U271" t="str">
            <v>2.5</v>
          </cell>
          <cell r="V271">
            <v>1000</v>
          </cell>
          <cell r="W271" t="str">
            <v>S-4</v>
          </cell>
          <cell r="X271" t="str">
            <v>Manufacturing</v>
          </cell>
          <cell r="Y271" t="str">
            <v>N/A</v>
          </cell>
          <cell r="Z271" t="str">
            <v>N/A</v>
          </cell>
          <cell r="AA271" t="str">
            <v>Mask Machine</v>
          </cell>
          <cell r="AB271" t="str">
            <v>Non-Sterile</v>
          </cell>
          <cell r="AC271" t="str">
            <v>N/A</v>
          </cell>
          <cell r="AG271" t="str">
            <v>N/A</v>
          </cell>
          <cell r="AH271" t="str">
            <v>N/A</v>
          </cell>
          <cell r="AI271" t="str">
            <v>LATEX FREE</v>
          </cell>
          <cell r="AJ271" t="str">
            <v>Current</v>
          </cell>
          <cell r="AK271" t="str">
            <v>N/A</v>
          </cell>
          <cell r="AL271" t="str">
            <v>N/A</v>
          </cell>
          <cell r="AM271" t="str">
            <v>N/A</v>
          </cell>
          <cell r="AN271" t="str">
            <v>N/A</v>
          </cell>
          <cell r="AO271" t="str">
            <v>N/A</v>
          </cell>
          <cell r="AP271" t="str">
            <v>N/A</v>
          </cell>
          <cell r="AS271" t="str">
            <v>Identification Label</v>
          </cell>
          <cell r="AT271" t="str">
            <v>N/A</v>
          </cell>
          <cell r="AU271" t="str">
            <v>N/A</v>
          </cell>
          <cell r="AV271" t="str">
            <v>3750,3736A,3752A,3/372B,3706</v>
          </cell>
        </row>
        <row r="272">
          <cell r="A272">
            <v>3719</v>
          </cell>
          <cell r="B272" t="str">
            <v>Cat #</v>
          </cell>
          <cell r="C272" t="str">
            <v>Blue Procedure Mask W/ 8" Earloops/ Carlisle #9513230 /1000</v>
          </cell>
          <cell r="D272" t="str">
            <v>370 ETAL</v>
          </cell>
          <cell r="E272">
            <v>37433</v>
          </cell>
          <cell r="F272" t="str">
            <v>9513230</v>
          </cell>
          <cell r="K272" t="str">
            <v>S-4</v>
          </cell>
          <cell r="L272" t="str">
            <v>32</v>
          </cell>
          <cell r="P272" t="str">
            <v>32</v>
          </cell>
          <cell r="Q272" t="str">
            <v>20</v>
          </cell>
          <cell r="R272" t="str">
            <v>16</v>
          </cell>
          <cell r="S272" t="str">
            <v>0</v>
          </cell>
          <cell r="T272" t="str">
            <v>1.5</v>
          </cell>
          <cell r="U272" t="str">
            <v>2.5</v>
          </cell>
          <cell r="V272">
            <v>1000</v>
          </cell>
          <cell r="W272" t="str">
            <v>S-4</v>
          </cell>
          <cell r="X272" t="str">
            <v>Manufacturing</v>
          </cell>
          <cell r="Y272" t="str">
            <v>N/A</v>
          </cell>
          <cell r="Z272" t="str">
            <v>N/A</v>
          </cell>
          <cell r="AA272" t="str">
            <v>Mask Machine</v>
          </cell>
          <cell r="AB272" t="str">
            <v>Non-Sterile</v>
          </cell>
          <cell r="AC272" t="str">
            <v>N/A</v>
          </cell>
          <cell r="AG272" t="str">
            <v>N/A</v>
          </cell>
          <cell r="AH272" t="str">
            <v>N/A</v>
          </cell>
          <cell r="AI272" t="str">
            <v>LATEX FREE</v>
          </cell>
          <cell r="AJ272" t="str">
            <v>Current</v>
          </cell>
          <cell r="AK272" t="str">
            <v>N/A</v>
          </cell>
          <cell r="AL272" t="str">
            <v>N/A</v>
          </cell>
          <cell r="AM272" t="str">
            <v>N/A</v>
          </cell>
          <cell r="AN272" t="str">
            <v>N/A</v>
          </cell>
          <cell r="AO272" t="str">
            <v>Unknown</v>
          </cell>
          <cell r="AP272" t="str">
            <v>N/A</v>
          </cell>
          <cell r="AS272" t="str">
            <v>Barcode Label (Disp)</v>
          </cell>
          <cell r="AT272" t="str">
            <v>N/A</v>
          </cell>
          <cell r="AU272" t="str">
            <v>N/A</v>
          </cell>
          <cell r="AV272" t="str">
            <v>3751,3736A,3752A,3/372B,3706</v>
          </cell>
        </row>
        <row r="273">
          <cell r="A273">
            <v>3720</v>
          </cell>
          <cell r="C273" t="str">
            <v>Sultan #20326 Mask/500</v>
          </cell>
          <cell r="E273">
            <v>36038</v>
          </cell>
          <cell r="F273" t="str">
            <v>N/A</v>
          </cell>
          <cell r="Q273" t="str">
            <v>N/A</v>
          </cell>
          <cell r="V273">
            <v>500</v>
          </cell>
          <cell r="X273" t="str">
            <v>Manufacturing</v>
          </cell>
          <cell r="Y273" t="str">
            <v>N/A</v>
          </cell>
          <cell r="Z273" t="str">
            <v>N/A</v>
          </cell>
          <cell r="AA273" t="str">
            <v>Mask Machine</v>
          </cell>
          <cell r="AB273" t="str">
            <v>Non-Sterile</v>
          </cell>
          <cell r="AC273" t="str">
            <v>N/A</v>
          </cell>
          <cell r="AG273" t="str">
            <v>N/A</v>
          </cell>
          <cell r="AH273" t="str">
            <v>N/A</v>
          </cell>
          <cell r="AI273" t="str">
            <v>LATEX FREE</v>
          </cell>
          <cell r="AJ273" t="str">
            <v>Discontinued</v>
          </cell>
          <cell r="AK273" t="str">
            <v>N/A</v>
          </cell>
          <cell r="AL273" t="str">
            <v>N/A</v>
          </cell>
          <cell r="AM273" t="str">
            <v>N/A</v>
          </cell>
          <cell r="AN273" t="str">
            <v>N/A</v>
          </cell>
        </row>
        <row r="274">
          <cell r="A274">
            <v>3721</v>
          </cell>
          <cell r="B274" t="str">
            <v>Comp #</v>
          </cell>
          <cell r="C274" t="str">
            <v>Assm Fluid Resist Mask1pc</v>
          </cell>
          <cell r="D274" t="str">
            <v>3711 ETAL</v>
          </cell>
          <cell r="E274">
            <v>37433</v>
          </cell>
          <cell r="F274" t="str">
            <v>N/A</v>
          </cell>
          <cell r="K274" t="str">
            <v>S-4</v>
          </cell>
          <cell r="L274" t="str">
            <v>32</v>
          </cell>
          <cell r="P274" t="str">
            <v>32</v>
          </cell>
          <cell r="Q274" t="str">
            <v>N/A</v>
          </cell>
          <cell r="R274" t="str">
            <v>16</v>
          </cell>
          <cell r="S274" t="str">
            <v>0</v>
          </cell>
          <cell r="T274" t="str">
            <v>1.5</v>
          </cell>
          <cell r="U274" t="str">
            <v>2.5</v>
          </cell>
          <cell r="W274" t="str">
            <v>S-4</v>
          </cell>
          <cell r="X274" t="str">
            <v>Manufacturing</v>
          </cell>
          <cell r="Y274" t="str">
            <v>N/A</v>
          </cell>
          <cell r="Z274" t="str">
            <v>N/A</v>
          </cell>
          <cell r="AA274" t="str">
            <v>Mask Machine</v>
          </cell>
          <cell r="AB274" t="str">
            <v>Non-Sterile</v>
          </cell>
          <cell r="AC274" t="str">
            <v>N/A</v>
          </cell>
          <cell r="AG274" t="str">
            <v>N/A</v>
          </cell>
          <cell r="AH274" t="str">
            <v>N/A</v>
          </cell>
          <cell r="AI274" t="str">
            <v>LATEX FREE</v>
          </cell>
          <cell r="AJ274" t="str">
            <v>Current</v>
          </cell>
          <cell r="AK274" t="str">
            <v>N/A</v>
          </cell>
          <cell r="AL274" t="str">
            <v>N/A</v>
          </cell>
          <cell r="AM274" t="str">
            <v>N/A</v>
          </cell>
          <cell r="AN274" t="str">
            <v>N/A</v>
          </cell>
          <cell r="AO274" t="str">
            <v>N/A</v>
          </cell>
          <cell r="AP274" t="str">
            <v>N/A</v>
          </cell>
          <cell r="AS274" t="str">
            <v>Identification Label</v>
          </cell>
          <cell r="AT274" t="str">
            <v>N/A</v>
          </cell>
          <cell r="AU274" t="str">
            <v>N/A</v>
          </cell>
          <cell r="AV274" t="str">
            <v>3722,3723A,3736A,3752A,3/372B,3706,3728FS</v>
          </cell>
        </row>
        <row r="275">
          <cell r="A275">
            <v>3725</v>
          </cell>
          <cell r="C275" t="str">
            <v>Folded Blue Fluid Resistance Mask M/CK-11117/400</v>
          </cell>
          <cell r="D275" t="str">
            <v>370 ETAL</v>
          </cell>
          <cell r="E275">
            <v>36620</v>
          </cell>
          <cell r="P275" t="str">
            <v>S-3</v>
          </cell>
          <cell r="R275" t="str">
            <v>2</v>
          </cell>
          <cell r="V275">
            <v>400</v>
          </cell>
          <cell r="W275" t="str">
            <v>S-4</v>
          </cell>
          <cell r="X275" t="str">
            <v>Manufacturing</v>
          </cell>
          <cell r="AB275" t="str">
            <v>Non-Sterile</v>
          </cell>
          <cell r="AC275" t="str">
            <v>N/A</v>
          </cell>
          <cell r="AG275" t="str">
            <v>N/A</v>
          </cell>
          <cell r="AH275" t="str">
            <v>N/A</v>
          </cell>
          <cell r="AI275" t="str">
            <v>LATEX FREE</v>
          </cell>
          <cell r="AJ275" t="str">
            <v>Discontinued</v>
          </cell>
          <cell r="AK275" t="str">
            <v>N/A</v>
          </cell>
          <cell r="AL275" t="str">
            <v>N/A</v>
          </cell>
          <cell r="AT275" t="str">
            <v>N/A</v>
          </cell>
          <cell r="AU275" t="str">
            <v>N/A</v>
          </cell>
        </row>
        <row r="276">
          <cell r="A276">
            <v>3730</v>
          </cell>
          <cell r="C276" t="str">
            <v>Sultan #20328 Mask/100</v>
          </cell>
          <cell r="D276" t="str">
            <v>3730</v>
          </cell>
          <cell r="E276">
            <v>35891</v>
          </cell>
          <cell r="F276" t="str">
            <v>N/A</v>
          </cell>
          <cell r="W276" t="str">
            <v>II</v>
          </cell>
          <cell r="X276" t="str">
            <v>Manufacturing</v>
          </cell>
          <cell r="AB276" t="str">
            <v>Non-Sterile</v>
          </cell>
          <cell r="AC276" t="str">
            <v>N/A</v>
          </cell>
          <cell r="AG276" t="str">
            <v>N/A</v>
          </cell>
          <cell r="AH276" t="str">
            <v>N/A</v>
          </cell>
          <cell r="AI276" t="str">
            <v>LATEX FREE</v>
          </cell>
          <cell r="AJ276" t="str">
            <v>Discontinued</v>
          </cell>
          <cell r="AK276" t="str">
            <v>N/A</v>
          </cell>
          <cell r="AL276" t="str">
            <v>N/A</v>
          </cell>
          <cell r="AT276" t="str">
            <v>N/A</v>
          </cell>
          <cell r="AU276" t="str">
            <v>N/A</v>
          </cell>
        </row>
        <row r="277">
          <cell r="A277">
            <v>3731</v>
          </cell>
          <cell r="B277" t="str">
            <v>Comp #</v>
          </cell>
          <cell r="C277" t="str">
            <v>Assembled Fluid Resistant Mask With Shield</v>
          </cell>
          <cell r="D277" t="str">
            <v>3731</v>
          </cell>
          <cell r="E277">
            <v>35891</v>
          </cell>
          <cell r="F277" t="str">
            <v>N/A</v>
          </cell>
          <cell r="Q277" t="str">
            <v>N/A</v>
          </cell>
          <cell r="V277">
            <v>500</v>
          </cell>
          <cell r="W277" t="str">
            <v>II</v>
          </cell>
          <cell r="X277" t="str">
            <v>Manufacturing</v>
          </cell>
          <cell r="Y277" t="str">
            <v>N/A</v>
          </cell>
          <cell r="Z277" t="str">
            <v>N/A</v>
          </cell>
          <cell r="AA277" t="str">
            <v>Mask Machine</v>
          </cell>
          <cell r="AB277" t="str">
            <v>Non-Sterile</v>
          </cell>
          <cell r="AC277" t="str">
            <v>N/A</v>
          </cell>
          <cell r="AG277" t="str">
            <v>N/A</v>
          </cell>
          <cell r="AH277" t="str">
            <v>N/A</v>
          </cell>
          <cell r="AI277" t="str">
            <v>LATEX FREE</v>
          </cell>
          <cell r="AJ277" t="str">
            <v>Current</v>
          </cell>
          <cell r="AK277" t="str">
            <v>N/A</v>
          </cell>
          <cell r="AL277" t="str">
            <v>N/A</v>
          </cell>
          <cell r="AM277" t="str">
            <v>N/A</v>
          </cell>
          <cell r="AN277" t="str">
            <v>N/A</v>
          </cell>
          <cell r="AO277" t="str">
            <v>N/A</v>
          </cell>
          <cell r="AP277" t="str">
            <v>N/A</v>
          </cell>
          <cell r="AS277" t="str">
            <v>Reuse 6669</v>
          </cell>
          <cell r="AT277" t="str">
            <v>N/A</v>
          </cell>
          <cell r="AU277" t="str">
            <v>N/A</v>
          </cell>
          <cell r="AV277" t="str">
            <v>3721,3732S-1,2963A</v>
          </cell>
        </row>
        <row r="278">
          <cell r="A278" t="str">
            <v>3732S</v>
          </cell>
          <cell r="B278" t="str">
            <v>Comp #</v>
          </cell>
          <cell r="C278" t="str">
            <v>Wraparound Face Shield/NF</v>
          </cell>
          <cell r="D278" t="str">
            <v>3732S</v>
          </cell>
          <cell r="E278">
            <v>36586</v>
          </cell>
          <cell r="F278" t="str">
            <v>N/A</v>
          </cell>
          <cell r="K278" t="str">
            <v>S-4</v>
          </cell>
          <cell r="L278" t="str">
            <v>N/A</v>
          </cell>
          <cell r="P278" t="str">
            <v>20</v>
          </cell>
          <cell r="Q278" t="str">
            <v>N/A</v>
          </cell>
          <cell r="R278" t="str">
            <v>8</v>
          </cell>
          <cell r="S278" t="str">
            <v>0</v>
          </cell>
          <cell r="T278" t="str">
            <v>1.5</v>
          </cell>
          <cell r="U278" t="str">
            <v>2.5</v>
          </cell>
          <cell r="V278">
            <v>1</v>
          </cell>
          <cell r="W278" t="str">
            <v>S-4</v>
          </cell>
          <cell r="X278" t="str">
            <v>Manufacturing</v>
          </cell>
          <cell r="Y278" t="str">
            <v>N/A</v>
          </cell>
          <cell r="Z278" t="str">
            <v>N/A</v>
          </cell>
          <cell r="AA278" t="str">
            <v>Process Room</v>
          </cell>
          <cell r="AB278" t="str">
            <v>Non-Sterile</v>
          </cell>
          <cell r="AC278" t="str">
            <v>N/A</v>
          </cell>
          <cell r="AG278" t="str">
            <v>N/A</v>
          </cell>
          <cell r="AH278" t="str">
            <v>N/A</v>
          </cell>
          <cell r="AI278" t="str">
            <v>LATEX FREE</v>
          </cell>
          <cell r="AJ278" t="str">
            <v>Current</v>
          </cell>
          <cell r="AK278" t="str">
            <v>N/A</v>
          </cell>
          <cell r="AL278" t="str">
            <v>N/A</v>
          </cell>
          <cell r="AM278" t="str">
            <v>N/A</v>
          </cell>
          <cell r="AN278" t="str">
            <v>N/A</v>
          </cell>
          <cell r="AO278" t="str">
            <v>N/A</v>
          </cell>
          <cell r="AP278" t="str">
            <v>N/A</v>
          </cell>
          <cell r="AS278" t="str">
            <v>Identification Label</v>
          </cell>
          <cell r="AT278" t="str">
            <v>N/A</v>
          </cell>
          <cell r="AU278" t="str">
            <v>N/A</v>
          </cell>
          <cell r="AV278" t="str">
            <v>3732B</v>
          </cell>
        </row>
        <row r="279">
          <cell r="A279" t="str">
            <v>3732S-1</v>
          </cell>
          <cell r="B279" t="str">
            <v>Cat #</v>
          </cell>
          <cell r="C279" t="str">
            <v>Wraparound Face Shield With Notch</v>
          </cell>
          <cell r="D279" t="str">
            <v>3732S-1</v>
          </cell>
          <cell r="E279">
            <v>37208</v>
          </cell>
          <cell r="F279" t="str">
            <v>N/A</v>
          </cell>
          <cell r="K279" t="str">
            <v>S-4</v>
          </cell>
          <cell r="L279" t="str">
            <v>N/A</v>
          </cell>
          <cell r="P279" t="str">
            <v>20</v>
          </cell>
          <cell r="Q279" t="str">
            <v>N/A</v>
          </cell>
          <cell r="R279" t="str">
            <v>8</v>
          </cell>
          <cell r="S279" t="str">
            <v>0</v>
          </cell>
          <cell r="T279" t="str">
            <v>1.5</v>
          </cell>
          <cell r="U279" t="str">
            <v>2.5</v>
          </cell>
          <cell r="V279">
            <v>2000</v>
          </cell>
          <cell r="X279" t="str">
            <v>Manufacturing</v>
          </cell>
          <cell r="Y279" t="str">
            <v>N/A</v>
          </cell>
          <cell r="Z279" t="str">
            <v>N/A</v>
          </cell>
          <cell r="AA279" t="str">
            <v>Process Room</v>
          </cell>
          <cell r="AB279" t="str">
            <v>Non-Sterile</v>
          </cell>
          <cell r="AC279" t="str">
            <v>N/A</v>
          </cell>
          <cell r="AG279" t="str">
            <v>N/A</v>
          </cell>
          <cell r="AH279" t="str">
            <v>N/A</v>
          </cell>
          <cell r="AI279" t="str">
            <v>LATEX FREE</v>
          </cell>
          <cell r="AJ279" t="str">
            <v>Discontinued</v>
          </cell>
          <cell r="AK279" t="str">
            <v>N/A</v>
          </cell>
          <cell r="AL279" t="str">
            <v>N/A</v>
          </cell>
          <cell r="AM279" t="str">
            <v>N/A</v>
          </cell>
          <cell r="AN279" t="str">
            <v>N/A</v>
          </cell>
          <cell r="AO279" t="str">
            <v>N/A</v>
          </cell>
          <cell r="AP279" t="str">
            <v>N/A</v>
          </cell>
          <cell r="AS279" t="str">
            <v>Identification Label</v>
          </cell>
          <cell r="AT279" t="str">
            <v>N/A</v>
          </cell>
          <cell r="AU279" t="str">
            <v>N/A</v>
          </cell>
          <cell r="AV279" t="str">
            <v>3732B</v>
          </cell>
        </row>
        <row r="280">
          <cell r="A280">
            <v>3735</v>
          </cell>
          <cell r="B280" t="str">
            <v>Cat #</v>
          </cell>
          <cell r="C280" t="str">
            <v>Blue Hi-Filtration Fluid Resistant Mask W/ Face Shield/100</v>
          </cell>
          <cell r="E280">
            <v>37167</v>
          </cell>
          <cell r="F280" t="str">
            <v>N/A</v>
          </cell>
          <cell r="Q280" t="str">
            <v>N/A</v>
          </cell>
          <cell r="V280">
            <v>100</v>
          </cell>
          <cell r="X280" t="str">
            <v>Manufacturing</v>
          </cell>
          <cell r="Y280" t="str">
            <v>N/A</v>
          </cell>
          <cell r="Z280" t="str">
            <v>N/A</v>
          </cell>
          <cell r="AA280" t="str">
            <v>Procedure Mask</v>
          </cell>
          <cell r="AB280" t="str">
            <v>Non-Sterile</v>
          </cell>
          <cell r="AC280" t="str">
            <v>N/A</v>
          </cell>
          <cell r="AG280" t="str">
            <v>N/A</v>
          </cell>
          <cell r="AH280" t="str">
            <v>N/A</v>
          </cell>
          <cell r="AI280" t="str">
            <v>LATEX FREE</v>
          </cell>
          <cell r="AJ280" t="str">
            <v>Current</v>
          </cell>
          <cell r="AK280" t="str">
            <v>N/A</v>
          </cell>
          <cell r="AL280" t="str">
            <v>N/A</v>
          </cell>
          <cell r="AM280" t="str">
            <v>N/A</v>
          </cell>
          <cell r="AN280" t="str">
            <v>N/A</v>
          </cell>
          <cell r="AO280" t="str">
            <v>LF3735CSL</v>
          </cell>
          <cell r="AP280" t="str">
            <v>N/A</v>
          </cell>
          <cell r="AS280" t="str">
            <v>N/A</v>
          </cell>
          <cell r="AT280" t="str">
            <v>N/A</v>
          </cell>
          <cell r="AU280" t="str">
            <v>N/A</v>
          </cell>
          <cell r="AV280" t="str">
            <v>3721,3732S-1,2963A</v>
          </cell>
        </row>
        <row r="281">
          <cell r="A281">
            <v>3737</v>
          </cell>
          <cell r="B281" t="str">
            <v>Cat #</v>
          </cell>
          <cell r="C281" t="str">
            <v>Blue Fluid Resistant Mask W/ Face Shield/ Mydent #MK1010 /100</v>
          </cell>
          <cell r="D281" t="str">
            <v>373 ETAL</v>
          </cell>
          <cell r="E281">
            <v>36538</v>
          </cell>
          <cell r="F281" t="str">
            <v>MK-1010</v>
          </cell>
          <cell r="K281" t="str">
            <v>S-4</v>
          </cell>
          <cell r="L281" t="str">
            <v>20</v>
          </cell>
          <cell r="P281" t="str">
            <v>N/A</v>
          </cell>
          <cell r="Q281" t="str">
            <v>32</v>
          </cell>
          <cell r="R281" t="str">
            <v>8</v>
          </cell>
          <cell r="S281" t="str">
            <v>0</v>
          </cell>
          <cell r="T281" t="str">
            <v>1.5</v>
          </cell>
          <cell r="U281" t="str">
            <v>2.5</v>
          </cell>
          <cell r="V281">
            <v>100</v>
          </cell>
          <cell r="W281" t="str">
            <v>S-4</v>
          </cell>
          <cell r="X281" t="str">
            <v>Manufacturing</v>
          </cell>
          <cell r="Y281" t="str">
            <v>N/A</v>
          </cell>
          <cell r="Z281" t="str">
            <v>N/A</v>
          </cell>
          <cell r="AA281" t="str">
            <v>Procedure Mask</v>
          </cell>
          <cell r="AB281" t="str">
            <v>Non-Sterile</v>
          </cell>
          <cell r="AC281" t="str">
            <v>N/A</v>
          </cell>
          <cell r="AG281" t="str">
            <v>N/A</v>
          </cell>
          <cell r="AH281" t="str">
            <v>N/A</v>
          </cell>
          <cell r="AI281" t="str">
            <v>LATEX FREE</v>
          </cell>
          <cell r="AJ281" t="str">
            <v>Current</v>
          </cell>
          <cell r="AK281" t="str">
            <v>N/A</v>
          </cell>
          <cell r="AL281" t="str">
            <v>N/A</v>
          </cell>
          <cell r="AM281" t="str">
            <v>N/A</v>
          </cell>
          <cell r="AN281" t="str">
            <v>N/A</v>
          </cell>
          <cell r="AO281" t="str">
            <v>3732SL-1</v>
          </cell>
          <cell r="AP281" t="str">
            <v>N/A</v>
          </cell>
          <cell r="AS281" t="str">
            <v>N/A</v>
          </cell>
          <cell r="AT281" t="str">
            <v>N/A</v>
          </cell>
          <cell r="AU281" t="str">
            <v>N/A</v>
          </cell>
          <cell r="AV281" t="str">
            <v>3721,3732S-1,2963A</v>
          </cell>
        </row>
        <row r="282">
          <cell r="A282">
            <v>3743</v>
          </cell>
          <cell r="C282" t="str">
            <v>Blue Pleated FaceMask#951-5102 /500</v>
          </cell>
          <cell r="D282" t="str">
            <v>370 ETAL</v>
          </cell>
          <cell r="E282">
            <v>36620</v>
          </cell>
          <cell r="F282" t="str">
            <v>951-5102</v>
          </cell>
          <cell r="P282" t="str">
            <v>S-3</v>
          </cell>
          <cell r="R282" t="str">
            <v>2</v>
          </cell>
          <cell r="V282">
            <v>500</v>
          </cell>
          <cell r="W282" t="str">
            <v>S-4</v>
          </cell>
          <cell r="X282" t="str">
            <v>Manufacturing</v>
          </cell>
          <cell r="AB282" t="str">
            <v>Non-Sterile</v>
          </cell>
          <cell r="AG282" t="str">
            <v>N/A</v>
          </cell>
          <cell r="AH282" t="str">
            <v>N/A</v>
          </cell>
          <cell r="AJ282" t="str">
            <v>Discontinued</v>
          </cell>
          <cell r="AK282" t="str">
            <v>N/A</v>
          </cell>
          <cell r="AL282" t="str">
            <v>N/A</v>
          </cell>
          <cell r="AT282" t="str">
            <v>N/A</v>
          </cell>
        </row>
        <row r="283">
          <cell r="A283">
            <v>3753</v>
          </cell>
          <cell r="C283" t="str">
            <v>Pink Pleated Face Mask #951-5104  /500</v>
          </cell>
          <cell r="D283" t="str">
            <v>370 ETAL</v>
          </cell>
          <cell r="E283">
            <v>36620</v>
          </cell>
          <cell r="F283" t="str">
            <v>951-5104</v>
          </cell>
          <cell r="P283" t="str">
            <v>S-3</v>
          </cell>
          <cell r="R283" t="str">
            <v>2</v>
          </cell>
          <cell r="V283">
            <v>500</v>
          </cell>
          <cell r="W283" t="str">
            <v>S-4</v>
          </cell>
          <cell r="X283" t="str">
            <v>Manufacturing</v>
          </cell>
          <cell r="AB283" t="str">
            <v>Non-Sterile</v>
          </cell>
          <cell r="AG283" t="str">
            <v>N/A</v>
          </cell>
          <cell r="AH283" t="str">
            <v>N/A</v>
          </cell>
          <cell r="AJ283" t="str">
            <v>Discontinued</v>
          </cell>
          <cell r="AK283" t="str">
            <v>N/A</v>
          </cell>
          <cell r="AL283" t="str">
            <v>N/A</v>
          </cell>
          <cell r="AT283" t="str">
            <v>N/A</v>
          </cell>
        </row>
        <row r="284">
          <cell r="A284">
            <v>3761</v>
          </cell>
          <cell r="B284" t="str">
            <v>Cat #</v>
          </cell>
          <cell r="C284" t="str">
            <v>Pink Procedure Mask W/8" Earloops/ Carlisle #9513232/1000</v>
          </cell>
          <cell r="D284" t="str">
            <v>370 ETAL</v>
          </cell>
          <cell r="E284">
            <v>37435</v>
          </cell>
          <cell r="F284" t="str">
            <v>9513232</v>
          </cell>
          <cell r="K284" t="str">
            <v>S-4</v>
          </cell>
          <cell r="L284" t="str">
            <v>32</v>
          </cell>
          <cell r="P284" t="str">
            <v>32</v>
          </cell>
          <cell r="Q284" t="str">
            <v>20</v>
          </cell>
          <cell r="R284" t="str">
            <v>16</v>
          </cell>
          <cell r="S284" t="str">
            <v>0</v>
          </cell>
          <cell r="T284" t="str">
            <v>1.5</v>
          </cell>
          <cell r="U284" t="str">
            <v>2.5</v>
          </cell>
          <cell r="V284">
            <v>1000</v>
          </cell>
          <cell r="W284" t="str">
            <v>S-4</v>
          </cell>
          <cell r="X284" t="str">
            <v>Manufacturing</v>
          </cell>
          <cell r="Y284" t="str">
            <v>N/A</v>
          </cell>
          <cell r="Z284" t="str">
            <v>N/A</v>
          </cell>
          <cell r="AA284" t="str">
            <v>Mask Machine</v>
          </cell>
          <cell r="AB284" t="str">
            <v>Non-Sterile</v>
          </cell>
          <cell r="AC284" t="str">
            <v>N/A</v>
          </cell>
          <cell r="AG284" t="str">
            <v>N/A</v>
          </cell>
          <cell r="AH284" t="str">
            <v>N/A</v>
          </cell>
          <cell r="AI284" t="str">
            <v>LATEX FREE</v>
          </cell>
          <cell r="AJ284" t="str">
            <v>Current</v>
          </cell>
          <cell r="AK284" t="str">
            <v>N/A</v>
          </cell>
          <cell r="AL284" t="str">
            <v>N/A</v>
          </cell>
          <cell r="AM284" t="str">
            <v>N/A</v>
          </cell>
          <cell r="AN284" t="str">
            <v>N/A</v>
          </cell>
          <cell r="AO284" t="str">
            <v>Unknown</v>
          </cell>
          <cell r="AP284" t="str">
            <v>N/A</v>
          </cell>
          <cell r="AS284" t="str">
            <v>Barcode Label (Disp)</v>
          </cell>
          <cell r="AT284" t="str">
            <v>N/A</v>
          </cell>
          <cell r="AU284" t="str">
            <v>N/A</v>
          </cell>
          <cell r="AV284" t="str">
            <v>3761P,3736A,3752A,3/372B,3706</v>
          </cell>
        </row>
        <row r="285">
          <cell r="A285">
            <v>3762</v>
          </cell>
          <cell r="C285" t="str">
            <v>Sultan#20323 Mask/500</v>
          </cell>
          <cell r="E285">
            <v>35999</v>
          </cell>
          <cell r="X285" t="str">
            <v>Manufacturing</v>
          </cell>
          <cell r="AB285" t="str">
            <v>Non-Sterile</v>
          </cell>
          <cell r="AC285" t="str">
            <v>N/A</v>
          </cell>
          <cell r="AG285" t="str">
            <v>N/A</v>
          </cell>
          <cell r="AH285" t="str">
            <v>N/A</v>
          </cell>
          <cell r="AJ285" t="str">
            <v>Discontinued</v>
          </cell>
          <cell r="AK285" t="str">
            <v>N/A</v>
          </cell>
          <cell r="AL285" t="str">
            <v>N/A</v>
          </cell>
        </row>
        <row r="286">
          <cell r="A286">
            <v>3763</v>
          </cell>
          <cell r="C286" t="str">
            <v>Protec-Top Pleated Face Mask #951-5100 /500</v>
          </cell>
          <cell r="D286" t="str">
            <v>370 ETAL</v>
          </cell>
          <cell r="E286">
            <v>36620</v>
          </cell>
          <cell r="F286" t="str">
            <v>951- 5100</v>
          </cell>
          <cell r="P286" t="str">
            <v>S-3</v>
          </cell>
          <cell r="R286" t="str">
            <v>2</v>
          </cell>
          <cell r="V286">
            <v>500</v>
          </cell>
          <cell r="W286" t="str">
            <v>S-4</v>
          </cell>
          <cell r="X286" t="str">
            <v>Manufacturing</v>
          </cell>
          <cell r="AB286" t="str">
            <v>Non-Sterile</v>
          </cell>
          <cell r="AC286" t="str">
            <v>N/A</v>
          </cell>
          <cell r="AG286" t="str">
            <v>N/A</v>
          </cell>
          <cell r="AH286" t="str">
            <v>N/A</v>
          </cell>
          <cell r="AJ286" t="str">
            <v>Discontinued</v>
          </cell>
          <cell r="AK286" t="str">
            <v>N/A</v>
          </cell>
          <cell r="AL286" t="str">
            <v>N/A</v>
          </cell>
        </row>
        <row r="287">
          <cell r="A287">
            <v>3778</v>
          </cell>
          <cell r="C287" t="str">
            <v>Clinipad Mask w/Shld/100</v>
          </cell>
          <cell r="D287" t="str">
            <v>373 ETAL</v>
          </cell>
          <cell r="E287">
            <v>36538</v>
          </cell>
          <cell r="F287" t="str">
            <v>N/A</v>
          </cell>
          <cell r="K287" t="str">
            <v>S-4</v>
          </cell>
          <cell r="L287" t="str">
            <v>20</v>
          </cell>
          <cell r="P287" t="str">
            <v>N/A</v>
          </cell>
          <cell r="Q287" t="str">
            <v>32</v>
          </cell>
          <cell r="R287" t="str">
            <v>8</v>
          </cell>
          <cell r="S287" t="str">
            <v>0</v>
          </cell>
          <cell r="T287" t="str">
            <v>1.5</v>
          </cell>
          <cell r="U287" t="str">
            <v>2.5</v>
          </cell>
          <cell r="V287">
            <v>100</v>
          </cell>
          <cell r="W287" t="str">
            <v>S-4</v>
          </cell>
          <cell r="X287" t="str">
            <v>Manufacturing</v>
          </cell>
          <cell r="AB287" t="str">
            <v>Non-Sterile</v>
          </cell>
          <cell r="AC287" t="str">
            <v>N/A</v>
          </cell>
          <cell r="AG287" t="str">
            <v>N/A</v>
          </cell>
          <cell r="AH287" t="str">
            <v>N/A</v>
          </cell>
          <cell r="AJ287" t="str">
            <v>Discontinued</v>
          </cell>
          <cell r="AK287" t="str">
            <v>N/A</v>
          </cell>
          <cell r="AL287" t="str">
            <v>N/A</v>
          </cell>
        </row>
        <row r="288">
          <cell r="A288">
            <v>3780</v>
          </cell>
          <cell r="C288" t="str">
            <v>Sultan# 20322 Mask/500</v>
          </cell>
          <cell r="E288">
            <v>35999</v>
          </cell>
          <cell r="X288" t="str">
            <v>Manufacturing</v>
          </cell>
          <cell r="AB288" t="str">
            <v>Non-Sterile</v>
          </cell>
          <cell r="AC288" t="str">
            <v>N/A</v>
          </cell>
          <cell r="AG288" t="str">
            <v>N/A</v>
          </cell>
          <cell r="AH288" t="str">
            <v>N/A</v>
          </cell>
          <cell r="AJ288" t="str">
            <v>Discontinued</v>
          </cell>
          <cell r="AK288" t="str">
            <v>N/A</v>
          </cell>
          <cell r="AL288" t="str">
            <v>N/A</v>
          </cell>
        </row>
        <row r="289">
          <cell r="A289">
            <v>3783</v>
          </cell>
          <cell r="B289" t="str">
            <v>Cat #</v>
          </cell>
          <cell r="C289" t="str">
            <v>Fluid Resistant Procedure Mask W/ Shield/ Medical Action #S6404/100cs</v>
          </cell>
          <cell r="D289" t="str">
            <v>373 ETAL</v>
          </cell>
          <cell r="E289">
            <v>36538</v>
          </cell>
          <cell r="F289" t="str">
            <v>S6404</v>
          </cell>
          <cell r="K289" t="str">
            <v>S-4</v>
          </cell>
          <cell r="L289" t="str">
            <v>20</v>
          </cell>
          <cell r="P289" t="str">
            <v>N/A</v>
          </cell>
          <cell r="Q289" t="str">
            <v>32</v>
          </cell>
          <cell r="R289" t="str">
            <v>8</v>
          </cell>
          <cell r="S289" t="str">
            <v>0.</v>
          </cell>
          <cell r="T289" t="str">
            <v>1.5</v>
          </cell>
          <cell r="U289" t="str">
            <v>2.5</v>
          </cell>
          <cell r="V289">
            <v>100</v>
          </cell>
          <cell r="W289" t="str">
            <v>S-4</v>
          </cell>
          <cell r="X289" t="str">
            <v>Manufacturing</v>
          </cell>
          <cell r="Y289" t="str">
            <v>N/A</v>
          </cell>
          <cell r="Z289" t="str">
            <v>N/A</v>
          </cell>
          <cell r="AA289" t="str">
            <v>Mask Machine</v>
          </cell>
          <cell r="AB289" t="str">
            <v>Non-Sterile</v>
          </cell>
          <cell r="AC289" t="str">
            <v>N/A</v>
          </cell>
          <cell r="AG289" t="str">
            <v>N/A</v>
          </cell>
          <cell r="AH289" t="str">
            <v>N/A</v>
          </cell>
          <cell r="AI289" t="str">
            <v>LATEX FREE</v>
          </cell>
          <cell r="AJ289" t="str">
            <v>Current</v>
          </cell>
          <cell r="AK289" t="str">
            <v>N/A</v>
          </cell>
          <cell r="AL289" t="str">
            <v>N/A</v>
          </cell>
          <cell r="AM289" t="str">
            <v>N/A</v>
          </cell>
          <cell r="AN289" t="str">
            <v>N/A</v>
          </cell>
          <cell r="AO289" t="str">
            <v>LF3783SL</v>
          </cell>
          <cell r="AP289" t="str">
            <v>N/A</v>
          </cell>
          <cell r="AS289" t="str">
            <v>N/A</v>
          </cell>
          <cell r="AT289" t="str">
            <v>N/A</v>
          </cell>
          <cell r="AU289" t="str">
            <v>N/A</v>
          </cell>
          <cell r="AV289" t="str">
            <v>3721,3732S-1,2963A</v>
          </cell>
        </row>
        <row r="290">
          <cell r="A290">
            <v>3784</v>
          </cell>
          <cell r="B290" t="str">
            <v>Cat #</v>
          </cell>
          <cell r="C290" t="str">
            <v>Yellow Isolation Mask W/ Earloops/ Medical Action #S6405/1000</v>
          </cell>
          <cell r="D290" t="str">
            <v>370 ETAL</v>
          </cell>
          <cell r="E290">
            <v>37435</v>
          </cell>
          <cell r="F290" t="str">
            <v>S6405</v>
          </cell>
          <cell r="K290" t="str">
            <v>S-4</v>
          </cell>
          <cell r="L290" t="str">
            <v>32</v>
          </cell>
          <cell r="P290" t="str">
            <v>32</v>
          </cell>
          <cell r="Q290" t="str">
            <v>20</v>
          </cell>
          <cell r="R290" t="str">
            <v>16</v>
          </cell>
          <cell r="S290" t="str">
            <v>0</v>
          </cell>
          <cell r="T290" t="str">
            <v>1.5</v>
          </cell>
          <cell r="U290" t="str">
            <v>2.5</v>
          </cell>
          <cell r="V290">
            <v>1000</v>
          </cell>
          <cell r="W290" t="str">
            <v>S-4</v>
          </cell>
          <cell r="X290" t="str">
            <v>Manufacturing</v>
          </cell>
          <cell r="Y290" t="str">
            <v>N/A</v>
          </cell>
          <cell r="Z290" t="str">
            <v>N/A</v>
          </cell>
          <cell r="AA290" t="str">
            <v>Mask Machine</v>
          </cell>
          <cell r="AB290" t="str">
            <v>Non-Sterile</v>
          </cell>
          <cell r="AC290" t="str">
            <v>N/A</v>
          </cell>
          <cell r="AG290" t="str">
            <v>N/A</v>
          </cell>
          <cell r="AH290" t="str">
            <v>N/A</v>
          </cell>
          <cell r="AI290" t="str">
            <v>LATEX FREE</v>
          </cell>
          <cell r="AJ290" t="str">
            <v>Current</v>
          </cell>
          <cell r="AK290" t="str">
            <v>N/A</v>
          </cell>
          <cell r="AL290" t="str">
            <v>N/A</v>
          </cell>
          <cell r="AM290" t="str">
            <v>N/A</v>
          </cell>
          <cell r="AN290" t="str">
            <v>N/A</v>
          </cell>
          <cell r="AO290" t="str">
            <v>LF3784SL</v>
          </cell>
          <cell r="AP290" t="str">
            <v>REV A</v>
          </cell>
          <cell r="AS290" t="str">
            <v>N/A</v>
          </cell>
          <cell r="AT290" t="str">
            <v>N/A</v>
          </cell>
          <cell r="AU290" t="str">
            <v>N/A</v>
          </cell>
          <cell r="AV290" t="str">
            <v>3750,3736A,3752A,3/372B,3706,3702S</v>
          </cell>
        </row>
        <row r="291">
          <cell r="A291">
            <v>3810</v>
          </cell>
          <cell r="C291" t="str">
            <v>Multi Ply Iso Mask/1000</v>
          </cell>
          <cell r="D291" t="str">
            <v>381 ETAL</v>
          </cell>
          <cell r="E291">
            <v>37455</v>
          </cell>
          <cell r="F291" t="str">
            <v>N/A</v>
          </cell>
          <cell r="K291" t="str">
            <v>S-4</v>
          </cell>
          <cell r="L291" t="str">
            <v>N/A</v>
          </cell>
          <cell r="P291" t="str">
            <v>32</v>
          </cell>
          <cell r="Q291" t="str">
            <v>10</v>
          </cell>
          <cell r="R291" t="str">
            <v>16</v>
          </cell>
          <cell r="S291" t="str">
            <v>0</v>
          </cell>
          <cell r="T291" t="str">
            <v>1.5</v>
          </cell>
          <cell r="U291" t="str">
            <v>2.5</v>
          </cell>
          <cell r="W291" t="str">
            <v>II</v>
          </cell>
          <cell r="X291" t="str">
            <v>Manufacturing</v>
          </cell>
          <cell r="AB291" t="str">
            <v>Non-Sterile</v>
          </cell>
          <cell r="AG291" t="str">
            <v>N/A</v>
          </cell>
          <cell r="AJ291" t="str">
            <v>Discontinued</v>
          </cell>
          <cell r="AK291" t="str">
            <v>N/A</v>
          </cell>
          <cell r="AL291" t="str">
            <v>N/A</v>
          </cell>
        </row>
        <row r="292">
          <cell r="A292" t="str">
            <v>3840</v>
          </cell>
          <cell r="B292" t="str">
            <v>Cat #</v>
          </cell>
          <cell r="C292" t="str">
            <v>Bulk Surgeon's Mask/ Non-Glass/ Manuf. For Sims W/ Busse Name On Label</v>
          </cell>
          <cell r="F292" t="str">
            <v>MX050</v>
          </cell>
          <cell r="V292" t="str">
            <v>300</v>
          </cell>
          <cell r="X292" t="str">
            <v>Manufacturing</v>
          </cell>
          <cell r="Y292" t="str">
            <v>N/A</v>
          </cell>
          <cell r="Z292" t="str">
            <v>N/A</v>
          </cell>
          <cell r="AA292" t="str">
            <v>Mask Machine</v>
          </cell>
          <cell r="AB292" t="str">
            <v>Non-Sterile</v>
          </cell>
          <cell r="AC292" t="str">
            <v>N/A</v>
          </cell>
          <cell r="AG292" t="str">
            <v>N/A</v>
          </cell>
          <cell r="AH292" t="str">
            <v>N/A</v>
          </cell>
          <cell r="AI292" t="str">
            <v>LATEX FREE</v>
          </cell>
          <cell r="AJ292" t="str">
            <v>Current</v>
          </cell>
          <cell r="AK292" t="str">
            <v>N/A</v>
          </cell>
          <cell r="AL292" t="str">
            <v>N/A</v>
          </cell>
          <cell r="AM292" t="str">
            <v>N/A</v>
          </cell>
          <cell r="AN292" t="str">
            <v>N/A</v>
          </cell>
          <cell r="AO292" t="str">
            <v>Unknown</v>
          </cell>
          <cell r="AP292" t="str">
            <v>N/A</v>
          </cell>
          <cell r="AS292" t="str">
            <v>N/A</v>
          </cell>
          <cell r="AT292" t="str">
            <v>N/A</v>
          </cell>
          <cell r="AU292" t="str">
            <v>N/A</v>
          </cell>
          <cell r="AV292" t="str">
            <v>N/A</v>
          </cell>
        </row>
        <row r="293">
          <cell r="A293">
            <v>4000</v>
          </cell>
          <cell r="B293" t="str">
            <v>Comp#</v>
          </cell>
          <cell r="C293" t="str">
            <v>16 oz Sponge Bowl</v>
          </cell>
          <cell r="D293" t="str">
            <v>1420A ETAL</v>
          </cell>
          <cell r="E293">
            <v>37602</v>
          </cell>
          <cell r="F293" t="str">
            <v>N/A</v>
          </cell>
          <cell r="K293" t="str">
            <v>S-4</v>
          </cell>
          <cell r="L293" t="str">
            <v>N/A</v>
          </cell>
          <cell r="P293" t="str">
            <v>N/A</v>
          </cell>
          <cell r="Q293" t="str">
            <v>N/A</v>
          </cell>
          <cell r="R293" t="str">
            <v>8</v>
          </cell>
          <cell r="S293" t="str">
            <v>0</v>
          </cell>
          <cell r="T293" t="str">
            <v>1.5</v>
          </cell>
          <cell r="U293" t="str">
            <v>2.5</v>
          </cell>
          <cell r="W293" t="str">
            <v>S-4</v>
          </cell>
          <cell r="X293" t="str">
            <v>Injection Molding</v>
          </cell>
          <cell r="Y293" t="str">
            <v>N/A</v>
          </cell>
          <cell r="AA293" t="str">
            <v>Arburg</v>
          </cell>
          <cell r="AB293" t="str">
            <v>Non-Sterile</v>
          </cell>
          <cell r="AC293" t="str">
            <v>N/A</v>
          </cell>
          <cell r="AG293" t="str">
            <v>N/A</v>
          </cell>
          <cell r="AH293" t="str">
            <v>Y</v>
          </cell>
          <cell r="AI293" t="str">
            <v>LATEX FREE</v>
          </cell>
          <cell r="AJ293" t="str">
            <v>Current</v>
          </cell>
          <cell r="AK293" t="str">
            <v>N/A</v>
          </cell>
          <cell r="AL293" t="str">
            <v>N/A</v>
          </cell>
          <cell r="AM293" t="str">
            <v>N/A</v>
          </cell>
          <cell r="AN293" t="str">
            <v>N/A</v>
          </cell>
          <cell r="AO293" t="str">
            <v>N/A</v>
          </cell>
          <cell r="AP293" t="str">
            <v>N/A</v>
          </cell>
          <cell r="AS293" t="str">
            <v>N/A</v>
          </cell>
          <cell r="AT293" t="str">
            <v>N/A</v>
          </cell>
          <cell r="AU293" t="str">
            <v>N/A</v>
          </cell>
          <cell r="AV293" t="str">
            <v>4019PP,4007B</v>
          </cell>
        </row>
        <row r="294">
          <cell r="A294">
            <v>4005</v>
          </cell>
          <cell r="C294" t="str">
            <v>Ster 16oz Sponge Bowl/75</v>
          </cell>
          <cell r="D294" t="str">
            <v>400 ETAL</v>
          </cell>
          <cell r="E294">
            <v>36647</v>
          </cell>
          <cell r="F294" t="str">
            <v>N/A</v>
          </cell>
          <cell r="K294" t="str">
            <v>S-4</v>
          </cell>
          <cell r="L294" t="str">
            <v>120</v>
          </cell>
          <cell r="P294" t="str">
            <v>20</v>
          </cell>
          <cell r="Q294" t="str">
            <v>N/A</v>
          </cell>
          <cell r="R294" t="str">
            <v>30</v>
          </cell>
          <cell r="W294" t="str">
            <v>S-4</v>
          </cell>
          <cell r="AB294" t="str">
            <v>Non-Sterile</v>
          </cell>
          <cell r="AJ294" t="str">
            <v>Discontinued</v>
          </cell>
          <cell r="AK294" t="str">
            <v>N/A</v>
          </cell>
          <cell r="AL294" t="str">
            <v>N/A</v>
          </cell>
        </row>
        <row r="295">
          <cell r="A295">
            <v>4010</v>
          </cell>
          <cell r="B295" t="str">
            <v>Comp#</v>
          </cell>
          <cell r="C295" t="str">
            <v>35 oz Sponge Bowl</v>
          </cell>
          <cell r="D295" t="str">
            <v>1420A ETAL</v>
          </cell>
          <cell r="E295">
            <v>37602</v>
          </cell>
          <cell r="F295" t="str">
            <v>N/A</v>
          </cell>
          <cell r="K295" t="str">
            <v>S-4</v>
          </cell>
          <cell r="L295" t="str">
            <v>N/A</v>
          </cell>
          <cell r="P295" t="str">
            <v>N/A</v>
          </cell>
          <cell r="Q295" t="str">
            <v>N/A</v>
          </cell>
          <cell r="R295" t="str">
            <v>8</v>
          </cell>
          <cell r="S295" t="str">
            <v>0</v>
          </cell>
          <cell r="T295" t="str">
            <v>1.5</v>
          </cell>
          <cell r="U295" t="str">
            <v>2.5</v>
          </cell>
          <cell r="W295" t="str">
            <v>S-4</v>
          </cell>
          <cell r="X295" t="str">
            <v>Injection Molding</v>
          </cell>
          <cell r="Y295" t="str">
            <v>N/A</v>
          </cell>
          <cell r="AA295" t="str">
            <v>Arburg</v>
          </cell>
          <cell r="AB295" t="str">
            <v>Non-Sterile</v>
          </cell>
          <cell r="AC295" t="str">
            <v>N/A</v>
          </cell>
          <cell r="AG295" t="str">
            <v>N/A</v>
          </cell>
          <cell r="AH295" t="str">
            <v>Y</v>
          </cell>
          <cell r="AI295" t="str">
            <v>LATEX FREE</v>
          </cell>
          <cell r="AJ295" t="str">
            <v>Current</v>
          </cell>
          <cell r="AK295" t="str">
            <v>N/A</v>
          </cell>
          <cell r="AL295" t="str">
            <v>N/A</v>
          </cell>
          <cell r="AM295" t="str">
            <v>N/A</v>
          </cell>
          <cell r="AN295" t="str">
            <v>N/A</v>
          </cell>
          <cell r="AO295" t="str">
            <v>N/A</v>
          </cell>
          <cell r="AP295" t="str">
            <v>N/A</v>
          </cell>
          <cell r="AS295" t="str">
            <v>N</v>
          </cell>
          <cell r="AT295" t="str">
            <v>N/A</v>
          </cell>
          <cell r="AU295" t="str">
            <v>N/A</v>
          </cell>
          <cell r="AV295" t="str">
            <v>4019PP,4007B</v>
          </cell>
        </row>
        <row r="296">
          <cell r="A296">
            <v>4015</v>
          </cell>
          <cell r="C296" t="str">
            <v>Ster 35oz Bowl #01232 /50</v>
          </cell>
          <cell r="D296" t="str">
            <v>400 ETAL</v>
          </cell>
          <cell r="E296">
            <v>36647</v>
          </cell>
          <cell r="F296" t="str">
            <v>N/A</v>
          </cell>
          <cell r="K296" t="str">
            <v>S-4</v>
          </cell>
          <cell r="L296" t="str">
            <v>120</v>
          </cell>
          <cell r="P296" t="str">
            <v>20</v>
          </cell>
          <cell r="Q296" t="str">
            <v>N/A</v>
          </cell>
          <cell r="R296" t="str">
            <v>30</v>
          </cell>
          <cell r="S296" t="str">
            <v>0</v>
          </cell>
          <cell r="T296" t="str">
            <v>1.5</v>
          </cell>
          <cell r="U296" t="str">
            <v>2.5</v>
          </cell>
          <cell r="W296" t="str">
            <v>S-4</v>
          </cell>
          <cell r="AB296" t="str">
            <v>Non-Sterile</v>
          </cell>
          <cell r="AJ296" t="str">
            <v>Discontinued</v>
          </cell>
          <cell r="AK296" t="str">
            <v>N/A</v>
          </cell>
          <cell r="AL296" t="str">
            <v>N/A</v>
          </cell>
        </row>
        <row r="297">
          <cell r="A297" t="str">
            <v>4021</v>
          </cell>
          <cell r="B297" t="str">
            <v>Comp #</v>
          </cell>
          <cell r="C297" t="str">
            <v>24" x 12" Poly-Wicketed Bag W/ 1.5" Flap for 8oz.Cups</v>
          </cell>
          <cell r="D297" t="str">
            <v>4021 ETAL</v>
          </cell>
          <cell r="E297">
            <v>36714</v>
          </cell>
          <cell r="F297" t="str">
            <v>N/A</v>
          </cell>
          <cell r="K297" t="str">
            <v>S-4</v>
          </cell>
          <cell r="L297" t="str">
            <v>20</v>
          </cell>
          <cell r="P297" t="str">
            <v>20</v>
          </cell>
          <cell r="Q297" t="str">
            <v>N/A</v>
          </cell>
          <cell r="R297" t="str">
            <v>8</v>
          </cell>
          <cell r="S297" t="str">
            <v>0</v>
          </cell>
          <cell r="T297" t="str">
            <v>1.5</v>
          </cell>
          <cell r="U297" t="str">
            <v>2.5</v>
          </cell>
          <cell r="V297" t="str">
            <v>1000</v>
          </cell>
          <cell r="W297" t="str">
            <v>S-3</v>
          </cell>
          <cell r="X297" t="str">
            <v>Manufacturing</v>
          </cell>
          <cell r="Y297" t="str">
            <v>N/A</v>
          </cell>
          <cell r="Z297" t="str">
            <v>N/A</v>
          </cell>
          <cell r="AA297" t="str">
            <v>Cutting Press</v>
          </cell>
          <cell r="AB297" t="str">
            <v>Non-Sterile</v>
          </cell>
          <cell r="AC297" t="str">
            <v>N/A</v>
          </cell>
          <cell r="AG297" t="str">
            <v>N/A</v>
          </cell>
          <cell r="AH297" t="str">
            <v>N/A</v>
          </cell>
          <cell r="AI297" t="str">
            <v>LATEX FREE</v>
          </cell>
          <cell r="AJ297" t="str">
            <v>Current</v>
          </cell>
          <cell r="AK297" t="str">
            <v>N/A</v>
          </cell>
          <cell r="AL297" t="str">
            <v>N/A</v>
          </cell>
          <cell r="AM297" t="str">
            <v>N/A</v>
          </cell>
          <cell r="AN297" t="str">
            <v>N/A</v>
          </cell>
          <cell r="AO297" t="str">
            <v>N/A</v>
          </cell>
          <cell r="AP297" t="str">
            <v>N/A</v>
          </cell>
          <cell r="AS297" t="str">
            <v>Reuse 1554-1 10x</v>
          </cell>
          <cell r="AT297" t="str">
            <v>N/A</v>
          </cell>
          <cell r="AU297" t="str">
            <v>N/A</v>
          </cell>
          <cell r="AV297" t="str">
            <v>4/016</v>
          </cell>
        </row>
        <row r="298">
          <cell r="A298" t="str">
            <v>4031</v>
          </cell>
          <cell r="B298" t="str">
            <v>Comp #</v>
          </cell>
          <cell r="C298" t="str">
            <v>35" x 15" Poly- Wicketed Bag W/2" Flap for 16/35oz. Bowls</v>
          </cell>
          <cell r="D298" t="str">
            <v>4021 ETAL</v>
          </cell>
          <cell r="E298">
            <v>36714</v>
          </cell>
          <cell r="F298" t="str">
            <v>N/A</v>
          </cell>
          <cell r="K298" t="str">
            <v>S-4</v>
          </cell>
          <cell r="L298" t="str">
            <v>20</v>
          </cell>
          <cell r="P298" t="str">
            <v>20</v>
          </cell>
          <cell r="Q298" t="str">
            <v>N/A</v>
          </cell>
          <cell r="R298" t="str">
            <v>8</v>
          </cell>
          <cell r="S298" t="str">
            <v>0</v>
          </cell>
          <cell r="T298" t="str">
            <v>1.5</v>
          </cell>
          <cell r="U298" t="str">
            <v>205</v>
          </cell>
          <cell r="V298" t="str">
            <v>1000</v>
          </cell>
          <cell r="W298" t="str">
            <v>S-3</v>
          </cell>
          <cell r="X298" t="str">
            <v>Manufacturing</v>
          </cell>
          <cell r="Y298" t="str">
            <v>N/A</v>
          </cell>
          <cell r="Z298" t="str">
            <v>N/A</v>
          </cell>
          <cell r="AA298" t="str">
            <v>Cutting Press</v>
          </cell>
          <cell r="AB298" t="str">
            <v>Non-Sterile</v>
          </cell>
          <cell r="AC298" t="str">
            <v>N/A</v>
          </cell>
          <cell r="AG298" t="str">
            <v>N/A</v>
          </cell>
          <cell r="AH298" t="str">
            <v>N/A</v>
          </cell>
          <cell r="AI298" t="str">
            <v>LATEX FREE</v>
          </cell>
          <cell r="AJ298" t="str">
            <v>Current</v>
          </cell>
          <cell r="AK298" t="str">
            <v>N/A</v>
          </cell>
          <cell r="AL298" t="str">
            <v>N/A</v>
          </cell>
          <cell r="AM298" t="str">
            <v>N/A</v>
          </cell>
          <cell r="AN298" t="str">
            <v>N/A</v>
          </cell>
          <cell r="AO298" t="str">
            <v>N/A</v>
          </cell>
          <cell r="AP298" t="str">
            <v>N/A</v>
          </cell>
          <cell r="AS298" t="str">
            <v>Reuse 6935S 10x</v>
          </cell>
          <cell r="AT298" t="str">
            <v>N/A</v>
          </cell>
          <cell r="AU298" t="str">
            <v>N/A</v>
          </cell>
          <cell r="AV298" t="str">
            <v>4/020</v>
          </cell>
        </row>
        <row r="299">
          <cell r="A299">
            <v>4064</v>
          </cell>
          <cell r="B299" t="str">
            <v>Comp #</v>
          </cell>
          <cell r="C299" t="str">
            <v>Adaptor for Trap Cap/4000</v>
          </cell>
          <cell r="D299" t="str">
            <v>1420A ETAL</v>
          </cell>
          <cell r="E299">
            <v>37602</v>
          </cell>
          <cell r="F299" t="str">
            <v>N/A</v>
          </cell>
          <cell r="K299" t="str">
            <v>S-4</v>
          </cell>
          <cell r="L299" t="str">
            <v>N/A</v>
          </cell>
          <cell r="P299" t="str">
            <v>N/A</v>
          </cell>
          <cell r="Q299" t="str">
            <v>N/A</v>
          </cell>
          <cell r="R299" t="str">
            <v>8</v>
          </cell>
          <cell r="S299" t="str">
            <v>0</v>
          </cell>
          <cell r="T299" t="str">
            <v>1.5</v>
          </cell>
          <cell r="U299" t="str">
            <v>2.5</v>
          </cell>
          <cell r="V299" t="str">
            <v>4000</v>
          </cell>
          <cell r="W299" t="str">
            <v>S-4</v>
          </cell>
          <cell r="X299" t="str">
            <v>Injection Molding</v>
          </cell>
          <cell r="Y299" t="str">
            <v>N/A</v>
          </cell>
          <cell r="AA299" t="str">
            <v>Arburg</v>
          </cell>
          <cell r="AB299" t="str">
            <v>Non-Sterile</v>
          </cell>
          <cell r="AC299" t="str">
            <v>N/A</v>
          </cell>
          <cell r="AG299" t="str">
            <v>N/A</v>
          </cell>
          <cell r="AH299" t="str">
            <v>Y</v>
          </cell>
          <cell r="AI299" t="str">
            <v>LATEX FREE</v>
          </cell>
          <cell r="AJ299" t="str">
            <v>Current</v>
          </cell>
          <cell r="AK299" t="str">
            <v>N/A</v>
          </cell>
          <cell r="AL299" t="str">
            <v>N/A</v>
          </cell>
          <cell r="AM299" t="str">
            <v>N/A</v>
          </cell>
          <cell r="AN299" t="str">
            <v>N/A</v>
          </cell>
          <cell r="AO299" t="str">
            <v>N/A</v>
          </cell>
          <cell r="AP299" t="str">
            <v>N/A</v>
          </cell>
          <cell r="AS299" t="str">
            <v>Reuse 1676 10x</v>
          </cell>
          <cell r="AT299" t="str">
            <v>N/A</v>
          </cell>
          <cell r="AU299" t="str">
            <v>N/A</v>
          </cell>
          <cell r="AV299" t="str">
            <v>4019PP,4067W,6934</v>
          </cell>
        </row>
        <row r="300">
          <cell r="A300">
            <v>4203</v>
          </cell>
          <cell r="B300" t="str">
            <v>Comp #</v>
          </cell>
          <cell r="C300" t="str">
            <v>8 oz White Specimen Lid/25</v>
          </cell>
          <cell r="D300" t="str">
            <v>1420A ETAL</v>
          </cell>
          <cell r="E300">
            <v>37602</v>
          </cell>
          <cell r="F300" t="str">
            <v>N/A</v>
          </cell>
          <cell r="K300" t="str">
            <v>S-4</v>
          </cell>
          <cell r="L300" t="str">
            <v>N/A</v>
          </cell>
          <cell r="P300" t="str">
            <v>N/A</v>
          </cell>
          <cell r="Q300" t="str">
            <v>N/A</v>
          </cell>
          <cell r="R300" t="str">
            <v>8</v>
          </cell>
          <cell r="S300" t="str">
            <v>0</v>
          </cell>
          <cell r="T300" t="str">
            <v>1.5</v>
          </cell>
          <cell r="U300" t="str">
            <v>2.5</v>
          </cell>
          <cell r="V300" t="str">
            <v>25</v>
          </cell>
          <cell r="W300" t="str">
            <v>S-4</v>
          </cell>
          <cell r="X300" t="str">
            <v>Injection Molding</v>
          </cell>
          <cell r="Y300" t="str">
            <v>N/A</v>
          </cell>
          <cell r="AA300" t="str">
            <v>Arburg</v>
          </cell>
          <cell r="AB300" t="str">
            <v>Non-Sterile</v>
          </cell>
          <cell r="AC300" t="str">
            <v>N/A</v>
          </cell>
          <cell r="AG300" t="str">
            <v>N/A</v>
          </cell>
          <cell r="AH300" t="str">
            <v>Y</v>
          </cell>
          <cell r="AI300" t="str">
            <v>LATEX FREE</v>
          </cell>
          <cell r="AJ300" t="str">
            <v>Current</v>
          </cell>
          <cell r="AK300" t="str">
            <v>N/A</v>
          </cell>
          <cell r="AL300" t="str">
            <v>N/A</v>
          </cell>
          <cell r="AM300" t="str">
            <v>N/A</v>
          </cell>
          <cell r="AN300" t="str">
            <v>N/A</v>
          </cell>
          <cell r="AO300" t="str">
            <v>N/A</v>
          </cell>
          <cell r="AP300" t="str">
            <v>N/A</v>
          </cell>
          <cell r="AS300" t="str">
            <v>N/A</v>
          </cell>
          <cell r="AT300" t="str">
            <v>N/A</v>
          </cell>
          <cell r="AU300" t="str">
            <v>N/A</v>
          </cell>
          <cell r="AV300" t="str">
            <v>4060PE,4067W,7257</v>
          </cell>
        </row>
        <row r="301">
          <cell r="A301">
            <v>4204</v>
          </cell>
          <cell r="B301" t="str">
            <v>Comp #</v>
          </cell>
          <cell r="C301" t="str">
            <v>8 oz Red Specimen Container</v>
          </cell>
          <cell r="D301" t="str">
            <v>1420A ETAL</v>
          </cell>
          <cell r="E301">
            <v>37602</v>
          </cell>
          <cell r="F301" t="str">
            <v>N/A</v>
          </cell>
          <cell r="K301" t="str">
            <v>S-4</v>
          </cell>
          <cell r="L301" t="str">
            <v>N/A</v>
          </cell>
          <cell r="P301" t="str">
            <v>N/A</v>
          </cell>
          <cell r="Q301" t="str">
            <v>N/A</v>
          </cell>
          <cell r="R301" t="str">
            <v>8</v>
          </cell>
          <cell r="S301" t="str">
            <v>0</v>
          </cell>
          <cell r="T301" t="str">
            <v>1.5</v>
          </cell>
          <cell r="U301" t="str">
            <v>2.5</v>
          </cell>
          <cell r="W301" t="str">
            <v>S-4</v>
          </cell>
          <cell r="X301" t="str">
            <v>Injection Molding</v>
          </cell>
          <cell r="Y301" t="str">
            <v>N/A</v>
          </cell>
          <cell r="AA301" t="str">
            <v>Arburg</v>
          </cell>
          <cell r="AB301" t="str">
            <v>Non-Sterile</v>
          </cell>
          <cell r="AC301" t="str">
            <v>N/A</v>
          </cell>
          <cell r="AG301" t="str">
            <v>N/A</v>
          </cell>
          <cell r="AH301" t="str">
            <v>Y</v>
          </cell>
          <cell r="AI301" t="str">
            <v>LATEX FREE</v>
          </cell>
          <cell r="AJ301" t="str">
            <v>Current</v>
          </cell>
          <cell r="AK301" t="str">
            <v>N/A</v>
          </cell>
          <cell r="AL301" t="str">
            <v>N/A</v>
          </cell>
          <cell r="AM301" t="str">
            <v>N/A</v>
          </cell>
          <cell r="AN301" t="str">
            <v>N/A</v>
          </cell>
          <cell r="AO301" t="str">
            <v>N/A</v>
          </cell>
          <cell r="AP301" t="str">
            <v>N/A</v>
          </cell>
          <cell r="AS301" t="str">
            <v>N/A</v>
          </cell>
          <cell r="AT301" t="str">
            <v>N/A</v>
          </cell>
          <cell r="AU301" t="str">
            <v>N/A</v>
          </cell>
          <cell r="AV301" t="str">
            <v>4019PP,4907R</v>
          </cell>
        </row>
        <row r="302">
          <cell r="A302" t="str">
            <v>4359</v>
          </cell>
          <cell r="B302" t="str">
            <v>Cat#</v>
          </cell>
          <cell r="C302" t="str">
            <v>Custom Post Mortem Kit/10</v>
          </cell>
          <cell r="D302" t="str">
            <v>901 ETAL</v>
          </cell>
          <cell r="E302">
            <v>37574</v>
          </cell>
          <cell r="F302" t="str">
            <v>N/A</v>
          </cell>
          <cell r="K302" t="str">
            <v>S-4</v>
          </cell>
          <cell r="L302" t="str">
            <v>N/A</v>
          </cell>
          <cell r="P302" t="str">
            <v>N/A</v>
          </cell>
          <cell r="Q302" t="str">
            <v>N/A</v>
          </cell>
          <cell r="R302" t="str">
            <v>8</v>
          </cell>
          <cell r="S302" t="str">
            <v>0</v>
          </cell>
          <cell r="T302" t="str">
            <v>1.5</v>
          </cell>
          <cell r="U302" t="str">
            <v>2.5</v>
          </cell>
          <cell r="V302" t="str">
            <v>10</v>
          </cell>
          <cell r="X302" t="str">
            <v>Manufacturing</v>
          </cell>
          <cell r="Y302" t="str">
            <v>N/A</v>
          </cell>
          <cell r="Z302" t="str">
            <v>N/A</v>
          </cell>
          <cell r="AA302" t="str">
            <v>Shroud Area</v>
          </cell>
          <cell r="AB302" t="str">
            <v>Non-Sterile</v>
          </cell>
          <cell r="AC302" t="str">
            <v>N/A</v>
          </cell>
          <cell r="AG302" t="str">
            <v>N/A</v>
          </cell>
          <cell r="AH302" t="str">
            <v>N</v>
          </cell>
          <cell r="AI302" t="str">
            <v>LATEX FREE</v>
          </cell>
          <cell r="AJ302" t="str">
            <v>Current</v>
          </cell>
          <cell r="AK302" t="str">
            <v>N/A</v>
          </cell>
          <cell r="AL302" t="str">
            <v>N/A</v>
          </cell>
          <cell r="AM302" t="str">
            <v>LF4359CC</v>
          </cell>
          <cell r="AN302" t="str">
            <v>N/A</v>
          </cell>
          <cell r="AO302" t="str">
            <v>LF4359CSL</v>
          </cell>
          <cell r="AP302" t="str">
            <v>N/A</v>
          </cell>
          <cell r="AS302" t="str">
            <v>N/A</v>
          </cell>
          <cell r="AT302" t="str">
            <v>N/A</v>
          </cell>
          <cell r="AU302" t="str">
            <v>N/A</v>
          </cell>
          <cell r="AV302" t="str">
            <v>907D,4359A,4359B,4359C</v>
          </cell>
        </row>
        <row r="303">
          <cell r="A303" t="str">
            <v>4389</v>
          </cell>
          <cell r="B303" t="str">
            <v>Cat#</v>
          </cell>
          <cell r="C303" t="str">
            <v>Post Mortem Kit/10</v>
          </cell>
          <cell r="F303" t="str">
            <v>N/A</v>
          </cell>
          <cell r="V303" t="str">
            <v>10</v>
          </cell>
          <cell r="X303" t="str">
            <v>Manufacturing</v>
          </cell>
          <cell r="Y303" t="str">
            <v>N/A</v>
          </cell>
          <cell r="Z303" t="str">
            <v>N/A</v>
          </cell>
          <cell r="AA303" t="str">
            <v>Shroud Area</v>
          </cell>
          <cell r="AB303" t="str">
            <v>Non-Sterile</v>
          </cell>
          <cell r="AC303" t="str">
            <v>N/A</v>
          </cell>
          <cell r="AG303" t="str">
            <v>N/A</v>
          </cell>
          <cell r="AH303" t="str">
            <v>N</v>
          </cell>
          <cell r="AI303" t="str">
            <v>LATEX FREE</v>
          </cell>
          <cell r="AJ303" t="str">
            <v>Current</v>
          </cell>
          <cell r="AK303" t="str">
            <v>N/A</v>
          </cell>
          <cell r="AL303" t="str">
            <v>N/A</v>
          </cell>
          <cell r="AM303" t="str">
            <v>LF4389CC</v>
          </cell>
          <cell r="AN303" t="str">
            <v>N/A</v>
          </cell>
          <cell r="AO303" t="str">
            <v>LF4389CSL</v>
          </cell>
          <cell r="AP303" t="str">
            <v>N/A</v>
          </cell>
          <cell r="AS303" t="str">
            <v>N/A</v>
          </cell>
          <cell r="AT303" t="str">
            <v>N/A</v>
          </cell>
          <cell r="AU303" t="str">
            <v>N/A</v>
          </cell>
          <cell r="AV303" t="str">
            <v>901D,3377A,7003A,7254,4389A,9013A-1</v>
          </cell>
        </row>
        <row r="304">
          <cell r="A304">
            <v>4903</v>
          </cell>
          <cell r="B304" t="str">
            <v>Comp#</v>
          </cell>
          <cell r="C304" t="str">
            <v>8 oz Translucent Denture Cup Lid/25</v>
          </cell>
          <cell r="D304" t="str">
            <v>1420A ETAL</v>
          </cell>
          <cell r="E304">
            <v>37602</v>
          </cell>
          <cell r="F304" t="str">
            <v>N/A</v>
          </cell>
          <cell r="K304" t="str">
            <v>S-4</v>
          </cell>
          <cell r="L304" t="str">
            <v>N/A</v>
          </cell>
          <cell r="P304" t="str">
            <v>N/A</v>
          </cell>
          <cell r="Q304" t="str">
            <v>N/A</v>
          </cell>
          <cell r="R304" t="str">
            <v>8</v>
          </cell>
          <cell r="S304" t="str">
            <v>0</v>
          </cell>
          <cell r="T304" t="str">
            <v>1.5</v>
          </cell>
          <cell r="U304" t="str">
            <v>2.5</v>
          </cell>
          <cell r="V304" t="str">
            <v>25</v>
          </cell>
          <cell r="W304" t="str">
            <v>S-4</v>
          </cell>
          <cell r="X304" t="str">
            <v>Injection Molding</v>
          </cell>
          <cell r="Y304" t="str">
            <v>N/A</v>
          </cell>
          <cell r="Z304" t="str">
            <v>N/A</v>
          </cell>
          <cell r="AA304" t="str">
            <v>Arburg</v>
          </cell>
          <cell r="AB304" t="str">
            <v>Non-Sterile</v>
          </cell>
          <cell r="AC304" t="str">
            <v>N/A</v>
          </cell>
          <cell r="AG304" t="str">
            <v>N/A</v>
          </cell>
          <cell r="AH304" t="str">
            <v>Y</v>
          </cell>
          <cell r="AI304" t="str">
            <v>LATEX FREE</v>
          </cell>
          <cell r="AJ304" t="str">
            <v>Current</v>
          </cell>
          <cell r="AK304" t="str">
            <v>N/A</v>
          </cell>
          <cell r="AL304" t="str">
            <v>N/A</v>
          </cell>
          <cell r="AM304" t="str">
            <v>N/A</v>
          </cell>
          <cell r="AN304" t="str">
            <v>N/A</v>
          </cell>
          <cell r="AO304" t="str">
            <v>N/A</v>
          </cell>
          <cell r="AP304" t="str">
            <v>N/A</v>
          </cell>
          <cell r="AS304" t="str">
            <v>N/A</v>
          </cell>
          <cell r="AT304" t="str">
            <v>N/A</v>
          </cell>
          <cell r="AU304" t="str">
            <v>N/A</v>
          </cell>
          <cell r="AV304" t="str">
            <v>4060PE,7257</v>
          </cell>
        </row>
        <row r="305">
          <cell r="A305">
            <v>4904</v>
          </cell>
          <cell r="B305" t="str">
            <v>Comp#</v>
          </cell>
          <cell r="C305" t="str">
            <v>8 oz Denture Cup - Aqua</v>
          </cell>
          <cell r="D305" t="str">
            <v>1420A ETAL</v>
          </cell>
          <cell r="E305">
            <v>37602</v>
          </cell>
          <cell r="F305" t="str">
            <v>N/A</v>
          </cell>
          <cell r="K305" t="str">
            <v>S-4</v>
          </cell>
          <cell r="L305" t="str">
            <v>N/A</v>
          </cell>
          <cell r="P305" t="str">
            <v>N/A</v>
          </cell>
          <cell r="Q305" t="str">
            <v>N/A</v>
          </cell>
          <cell r="R305" t="str">
            <v>8</v>
          </cell>
          <cell r="S305" t="str">
            <v>0</v>
          </cell>
          <cell r="T305" t="str">
            <v>1.5</v>
          </cell>
          <cell r="U305" t="str">
            <v>2.5</v>
          </cell>
          <cell r="W305" t="str">
            <v>S-4</v>
          </cell>
          <cell r="X305" t="str">
            <v>Injection Molding</v>
          </cell>
          <cell r="Y305" t="str">
            <v>N/A</v>
          </cell>
          <cell r="AA305" t="str">
            <v>Arburg</v>
          </cell>
          <cell r="AB305" t="str">
            <v>Non-Sterile</v>
          </cell>
          <cell r="AC305" t="str">
            <v>N/A</v>
          </cell>
          <cell r="AG305" t="str">
            <v>N/A</v>
          </cell>
          <cell r="AH305" t="str">
            <v>Y</v>
          </cell>
          <cell r="AI305" t="str">
            <v>LATEX FREE</v>
          </cell>
          <cell r="AJ305" t="str">
            <v>Current</v>
          </cell>
          <cell r="AK305" t="str">
            <v>N/A</v>
          </cell>
          <cell r="AL305" t="str">
            <v>N/A</v>
          </cell>
          <cell r="AM305" t="str">
            <v>N/A</v>
          </cell>
          <cell r="AN305" t="str">
            <v>N/A</v>
          </cell>
          <cell r="AO305" t="str">
            <v>N/A</v>
          </cell>
          <cell r="AP305" t="str">
            <v>N/A</v>
          </cell>
          <cell r="AS305" t="str">
            <v>N/A</v>
          </cell>
          <cell r="AT305" t="str">
            <v>N/A</v>
          </cell>
          <cell r="AU305" t="str">
            <v>N/A</v>
          </cell>
          <cell r="AV305" t="str">
            <v>4019PP,4908A</v>
          </cell>
        </row>
        <row r="306">
          <cell r="A306" t="str">
            <v>5010B</v>
          </cell>
          <cell r="B306" t="str">
            <v>Comp #</v>
          </cell>
          <cell r="C306" t="str">
            <v>Assembled 5 in 1 Connector</v>
          </cell>
          <cell r="D306" t="str">
            <v>5010B</v>
          </cell>
          <cell r="E306">
            <v>36668</v>
          </cell>
          <cell r="F306" t="str">
            <v>N/A</v>
          </cell>
          <cell r="K306" t="str">
            <v>S-4</v>
          </cell>
          <cell r="L306" t="str">
            <v>32</v>
          </cell>
          <cell r="P306" t="str">
            <v>N/A</v>
          </cell>
          <cell r="Q306" t="str">
            <v>N/A</v>
          </cell>
          <cell r="R306" t="str">
            <v>8</v>
          </cell>
          <cell r="S306" t="str">
            <v>0</v>
          </cell>
          <cell r="T306" t="str">
            <v>1.5</v>
          </cell>
          <cell r="U306" t="str">
            <v>2.5</v>
          </cell>
          <cell r="V306">
            <v>1</v>
          </cell>
          <cell r="W306" t="str">
            <v>S-4</v>
          </cell>
          <cell r="X306" t="str">
            <v>Process Room</v>
          </cell>
          <cell r="Y306" t="str">
            <v>N/A</v>
          </cell>
          <cell r="Z306" t="str">
            <v>N/A</v>
          </cell>
          <cell r="AA306" t="str">
            <v>Process Room</v>
          </cell>
          <cell r="AB306" t="str">
            <v>Non-Sterile</v>
          </cell>
          <cell r="AC306" t="str">
            <v>N/A</v>
          </cell>
          <cell r="AG306" t="str">
            <v>N/A</v>
          </cell>
          <cell r="AH306" t="str">
            <v>N</v>
          </cell>
          <cell r="AI306" t="str">
            <v>LATEX FREE</v>
          </cell>
          <cell r="AJ306" t="str">
            <v>Current</v>
          </cell>
          <cell r="AK306" t="str">
            <v>N/A</v>
          </cell>
          <cell r="AL306" t="str">
            <v>N/A</v>
          </cell>
          <cell r="AM306" t="str">
            <v>N/A</v>
          </cell>
          <cell r="AN306" t="str">
            <v>N/A</v>
          </cell>
          <cell r="AO306" t="str">
            <v>N/A</v>
          </cell>
          <cell r="AP306" t="str">
            <v>N/A</v>
          </cell>
          <cell r="AS306" t="str">
            <v>Identification Label</v>
          </cell>
          <cell r="AT306" t="str">
            <v>N/A</v>
          </cell>
          <cell r="AU306" t="str">
            <v>5010M/5010F</v>
          </cell>
          <cell r="AV306" t="str">
            <v>N/A</v>
          </cell>
        </row>
        <row r="307">
          <cell r="A307" t="str">
            <v>5030B</v>
          </cell>
          <cell r="B307" t="str">
            <v>Comp #</v>
          </cell>
          <cell r="C307" t="str">
            <v>"T" Connector</v>
          </cell>
          <cell r="D307" t="str">
            <v>5030B</v>
          </cell>
          <cell r="E307">
            <v>24878</v>
          </cell>
          <cell r="F307" t="str">
            <v>N/A</v>
          </cell>
          <cell r="K307" t="str">
            <v>S-4</v>
          </cell>
          <cell r="L307" t="str">
            <v>32</v>
          </cell>
          <cell r="P307" t="str">
            <v>N/A</v>
          </cell>
          <cell r="Q307" t="str">
            <v>N/A</v>
          </cell>
          <cell r="R307" t="str">
            <v>8</v>
          </cell>
          <cell r="S307" t="str">
            <v>0</v>
          </cell>
          <cell r="T307" t="str">
            <v>1.5</v>
          </cell>
          <cell r="U307" t="str">
            <v>2.5</v>
          </cell>
          <cell r="V307">
            <v>1</v>
          </cell>
          <cell r="X307" t="str">
            <v>Process Room</v>
          </cell>
          <cell r="Y307" t="str">
            <v>N/A</v>
          </cell>
          <cell r="Z307" t="str">
            <v>N/A</v>
          </cell>
          <cell r="AA307" t="str">
            <v>Process Room</v>
          </cell>
          <cell r="AB307" t="str">
            <v>Non-Sterile</v>
          </cell>
          <cell r="AC307" t="str">
            <v>N/A</v>
          </cell>
          <cell r="AG307" t="str">
            <v>N/A</v>
          </cell>
          <cell r="AH307" t="str">
            <v>N</v>
          </cell>
          <cell r="AI307" t="str">
            <v>LATEX FREE</v>
          </cell>
          <cell r="AJ307" t="str">
            <v>Current</v>
          </cell>
          <cell r="AK307" t="str">
            <v>N/A</v>
          </cell>
          <cell r="AL307" t="str">
            <v>N/A</v>
          </cell>
          <cell r="AM307" t="str">
            <v>N/A</v>
          </cell>
          <cell r="AN307" t="str">
            <v>N/A</v>
          </cell>
          <cell r="AO307" t="str">
            <v>N/A</v>
          </cell>
          <cell r="AP307" t="str">
            <v>N/A</v>
          </cell>
          <cell r="AS307" t="str">
            <v>Identification Label</v>
          </cell>
          <cell r="AT307" t="str">
            <v>N/A</v>
          </cell>
          <cell r="AU307" t="str">
            <v>5030T/5010M/5010F</v>
          </cell>
          <cell r="AV307" t="str">
            <v>N/A</v>
          </cell>
        </row>
        <row r="308">
          <cell r="A308">
            <v>5100</v>
          </cell>
          <cell r="B308" t="str">
            <v>Cat#</v>
          </cell>
          <cell r="C308" t="str">
            <v>Clean 5 in 1 Connector/2500</v>
          </cell>
          <cell r="D308" t="str">
            <v>511 ETAL</v>
          </cell>
          <cell r="E308">
            <v>37306</v>
          </cell>
          <cell r="F308" t="str">
            <v>N/A</v>
          </cell>
          <cell r="K308" t="str">
            <v>S-4</v>
          </cell>
          <cell r="L308" t="str">
            <v>N/A</v>
          </cell>
          <cell r="P308" t="str">
            <v>N/A</v>
          </cell>
          <cell r="Q308" t="str">
            <v>N/A</v>
          </cell>
          <cell r="R308" t="str">
            <v>8</v>
          </cell>
          <cell r="S308" t="str">
            <v>0</v>
          </cell>
          <cell r="T308" t="str">
            <v>1.5</v>
          </cell>
          <cell r="U308" t="str">
            <v>2.5</v>
          </cell>
          <cell r="V308">
            <v>2500</v>
          </cell>
          <cell r="W308" t="str">
            <v>S-4</v>
          </cell>
          <cell r="X308" t="str">
            <v>Process Room</v>
          </cell>
          <cell r="Y308" t="str">
            <v>N/A</v>
          </cell>
          <cell r="Z308" t="str">
            <v>N/A</v>
          </cell>
          <cell r="AA308" t="str">
            <v>Process Room</v>
          </cell>
          <cell r="AB308" t="str">
            <v>Non-Sterile</v>
          </cell>
          <cell r="AC308" t="str">
            <v>N/A</v>
          </cell>
          <cell r="AG308" t="str">
            <v>N/A</v>
          </cell>
          <cell r="AH308" t="str">
            <v>N</v>
          </cell>
          <cell r="AI308" t="str">
            <v>LATEX FREE</v>
          </cell>
          <cell r="AJ308" t="str">
            <v>Current</v>
          </cell>
          <cell r="AK308" t="str">
            <v>N/A</v>
          </cell>
          <cell r="AL308" t="str">
            <v>N/A</v>
          </cell>
          <cell r="AM308" t="str">
            <v>N/A</v>
          </cell>
          <cell r="AN308" t="str">
            <v>N/A</v>
          </cell>
          <cell r="AO308" t="str">
            <v>LF5100SL</v>
          </cell>
          <cell r="AP308" t="str">
            <v>N/A</v>
          </cell>
          <cell r="AS308" t="str">
            <v>N/A</v>
          </cell>
          <cell r="AT308" t="str">
            <v>N/A</v>
          </cell>
          <cell r="AU308" t="str">
            <v>5010B,2963A</v>
          </cell>
          <cell r="AV308" t="str">
            <v>N/A</v>
          </cell>
        </row>
        <row r="309">
          <cell r="A309">
            <v>5116</v>
          </cell>
          <cell r="B309" t="str">
            <v>Comp #</v>
          </cell>
          <cell r="C309" t="str">
            <v>18" x 26" White/White Towel/500</v>
          </cell>
          <cell r="D309" t="str">
            <v>5116 ETAL</v>
          </cell>
          <cell r="E309">
            <v>36690</v>
          </cell>
          <cell r="F309" t="str">
            <v>N/A</v>
          </cell>
          <cell r="K309" t="str">
            <v>S-4</v>
          </cell>
          <cell r="L309" t="str">
            <v>32</v>
          </cell>
          <cell r="P309" t="str">
            <v>32</v>
          </cell>
          <cell r="Q309" t="str">
            <v>N/A</v>
          </cell>
          <cell r="R309" t="str">
            <v>8</v>
          </cell>
          <cell r="S309" t="str">
            <v>0</v>
          </cell>
          <cell r="T309" t="str">
            <v>1.5</v>
          </cell>
          <cell r="U309" t="str">
            <v>2.5</v>
          </cell>
          <cell r="V309">
            <v>500</v>
          </cell>
          <cell r="W309" t="str">
            <v>S-4</v>
          </cell>
          <cell r="X309" t="str">
            <v>Manufacturing</v>
          </cell>
          <cell r="Y309" t="str">
            <v>N/A</v>
          </cell>
          <cell r="Z309" t="str">
            <v>N/A</v>
          </cell>
          <cell r="AA309" t="str">
            <v>Towel Machine</v>
          </cell>
          <cell r="AB309" t="str">
            <v>Non-Sterile</v>
          </cell>
          <cell r="AC309" t="str">
            <v>N/A</v>
          </cell>
          <cell r="AG309" t="str">
            <v>N/A</v>
          </cell>
          <cell r="AH309" t="str">
            <v>N</v>
          </cell>
          <cell r="AI309" t="str">
            <v>LATEX FREE</v>
          </cell>
          <cell r="AJ309" t="str">
            <v>Current</v>
          </cell>
          <cell r="AK309" t="str">
            <v>N/A</v>
          </cell>
          <cell r="AL309" t="str">
            <v>N/A</v>
          </cell>
          <cell r="AM309" t="str">
            <v>N/A</v>
          </cell>
          <cell r="AN309" t="str">
            <v>N/A</v>
          </cell>
          <cell r="AO309" t="str">
            <v>N/A</v>
          </cell>
          <cell r="AP309" t="str">
            <v>N/A</v>
          </cell>
          <cell r="AS309" t="str">
            <v>Reuse 6669</v>
          </cell>
          <cell r="AT309" t="str">
            <v>N/A</v>
          </cell>
          <cell r="AU309" t="str">
            <v>N/A</v>
          </cell>
          <cell r="AV309" t="str">
            <v>6961/6966A/2963A</v>
          </cell>
        </row>
        <row r="310">
          <cell r="A310">
            <v>5117</v>
          </cell>
          <cell r="B310" t="str">
            <v>Comp #</v>
          </cell>
          <cell r="C310" t="str">
            <v>18"x 26" White/White Towel W/3" Fen./500</v>
          </cell>
          <cell r="D310" t="str">
            <v>5117 ETAL</v>
          </cell>
          <cell r="E310">
            <v>37357</v>
          </cell>
          <cell r="F310" t="str">
            <v>N/A</v>
          </cell>
          <cell r="K310" t="str">
            <v>S-4</v>
          </cell>
          <cell r="L310" t="str">
            <v>32</v>
          </cell>
          <cell r="P310" t="str">
            <v>32</v>
          </cell>
          <cell r="Q310" t="str">
            <v>N/A</v>
          </cell>
          <cell r="R310" t="str">
            <v>8</v>
          </cell>
          <cell r="S310" t="str">
            <v>0</v>
          </cell>
          <cell r="T310" t="str">
            <v>1.5</v>
          </cell>
          <cell r="U310" t="str">
            <v>2.5</v>
          </cell>
          <cell r="V310">
            <v>500</v>
          </cell>
          <cell r="W310" t="str">
            <v>S-4</v>
          </cell>
          <cell r="X310" t="str">
            <v>Manufacturing</v>
          </cell>
          <cell r="Y310" t="str">
            <v>N/A</v>
          </cell>
          <cell r="Z310" t="str">
            <v>N/A</v>
          </cell>
          <cell r="AA310" t="str">
            <v>Towel Machine</v>
          </cell>
          <cell r="AB310" t="str">
            <v>Non-Sterile</v>
          </cell>
          <cell r="AC310" t="str">
            <v>N/A</v>
          </cell>
          <cell r="AG310" t="str">
            <v>N/A</v>
          </cell>
          <cell r="AH310" t="str">
            <v>N</v>
          </cell>
          <cell r="AI310" t="str">
            <v>LATEX FREE</v>
          </cell>
          <cell r="AJ310" t="str">
            <v>Current</v>
          </cell>
          <cell r="AK310" t="str">
            <v>N/A</v>
          </cell>
          <cell r="AL310" t="str">
            <v>N/A</v>
          </cell>
          <cell r="AM310" t="str">
            <v>N/A</v>
          </cell>
          <cell r="AN310" t="str">
            <v>N/A</v>
          </cell>
          <cell r="AO310" t="str">
            <v>N/A</v>
          </cell>
          <cell r="AP310" t="str">
            <v>N/A</v>
          </cell>
          <cell r="AS310" t="str">
            <v>Reuse 6669</v>
          </cell>
          <cell r="AT310" t="str">
            <v>N/A</v>
          </cell>
          <cell r="AU310" t="str">
            <v>N/A</v>
          </cell>
          <cell r="AV310" t="str">
            <v>6961/6966A,2963A</v>
          </cell>
        </row>
        <row r="311">
          <cell r="A311">
            <v>5120</v>
          </cell>
          <cell r="B311" t="str">
            <v>Cat#</v>
          </cell>
          <cell r="C311" t="str">
            <v>Clean Sims Connector/5000</v>
          </cell>
          <cell r="D311" t="str">
            <v>511 ETAL</v>
          </cell>
          <cell r="E311">
            <v>37306</v>
          </cell>
          <cell r="F311" t="str">
            <v>N/A</v>
          </cell>
          <cell r="K311" t="str">
            <v>S-4</v>
          </cell>
          <cell r="L311" t="str">
            <v>N/A</v>
          </cell>
          <cell r="Q311" t="str">
            <v>N/A</v>
          </cell>
          <cell r="R311" t="str">
            <v>8</v>
          </cell>
          <cell r="S311" t="str">
            <v>0</v>
          </cell>
          <cell r="T311" t="str">
            <v>1.5</v>
          </cell>
          <cell r="U311" t="str">
            <v>2.5</v>
          </cell>
          <cell r="V311">
            <v>5000</v>
          </cell>
          <cell r="W311" t="str">
            <v>S-4</v>
          </cell>
          <cell r="X311" t="str">
            <v>Process Room</v>
          </cell>
          <cell r="Y311" t="str">
            <v>N/A</v>
          </cell>
          <cell r="Z311" t="str">
            <v>N/A</v>
          </cell>
          <cell r="AA311" t="str">
            <v>Process Room</v>
          </cell>
          <cell r="AB311" t="str">
            <v>Non-Sterile</v>
          </cell>
          <cell r="AC311" t="str">
            <v>N/A</v>
          </cell>
          <cell r="AG311" t="str">
            <v>N/A</v>
          </cell>
          <cell r="AH311" t="str">
            <v>N</v>
          </cell>
          <cell r="AI311" t="str">
            <v>LATEX FREE</v>
          </cell>
          <cell r="AJ311" t="str">
            <v>Current</v>
          </cell>
          <cell r="AK311" t="str">
            <v>N/A</v>
          </cell>
          <cell r="AL311" t="str">
            <v>N/A</v>
          </cell>
          <cell r="AM311" t="str">
            <v>N/A</v>
          </cell>
          <cell r="AN311" t="str">
            <v>N/A</v>
          </cell>
          <cell r="AO311" t="str">
            <v>LF5120SL</v>
          </cell>
          <cell r="AP311" t="str">
            <v>N/A</v>
          </cell>
          <cell r="AS311" t="str">
            <v>N/A</v>
          </cell>
          <cell r="AT311" t="str">
            <v>N/A</v>
          </cell>
          <cell r="AU311" t="str">
            <v>5020B,2963A</v>
          </cell>
          <cell r="AV311" t="str">
            <v>N/A</v>
          </cell>
        </row>
        <row r="312">
          <cell r="A312" t="str">
            <v>5130</v>
          </cell>
          <cell r="B312" t="str">
            <v>Cat#</v>
          </cell>
          <cell r="C312" t="str">
            <v>Clean "T" Connector/1000</v>
          </cell>
          <cell r="D312" t="str">
            <v>511 ETAL</v>
          </cell>
          <cell r="E312">
            <v>37306</v>
          </cell>
          <cell r="F312" t="str">
            <v>N/A</v>
          </cell>
          <cell r="K312" t="str">
            <v>S-4</v>
          </cell>
          <cell r="L312" t="str">
            <v>N/A</v>
          </cell>
          <cell r="Q312" t="str">
            <v>N/A</v>
          </cell>
          <cell r="R312" t="str">
            <v>8</v>
          </cell>
          <cell r="S312" t="str">
            <v>0</v>
          </cell>
          <cell r="T312" t="str">
            <v>1.5</v>
          </cell>
          <cell r="U312" t="str">
            <v>2.5</v>
          </cell>
          <cell r="V312">
            <v>1000</v>
          </cell>
          <cell r="W312" t="str">
            <v>S-4</v>
          </cell>
          <cell r="X312" t="str">
            <v>Process Room</v>
          </cell>
          <cell r="Y312" t="str">
            <v>N/A</v>
          </cell>
          <cell r="Z312" t="str">
            <v>N/A</v>
          </cell>
          <cell r="AA312" t="str">
            <v>Process Room</v>
          </cell>
          <cell r="AB312" t="str">
            <v>Non-Sterile</v>
          </cell>
          <cell r="AC312" t="str">
            <v>N/A</v>
          </cell>
          <cell r="AG312" t="str">
            <v>N/A</v>
          </cell>
          <cell r="AH312" t="str">
            <v>N</v>
          </cell>
          <cell r="AI312" t="str">
            <v>LATEX FREE</v>
          </cell>
          <cell r="AJ312" t="str">
            <v>Current</v>
          </cell>
          <cell r="AK312" t="str">
            <v>N/A</v>
          </cell>
          <cell r="AL312" t="str">
            <v>N/A</v>
          </cell>
          <cell r="AM312" t="str">
            <v>N/A</v>
          </cell>
          <cell r="AN312" t="str">
            <v>N/A</v>
          </cell>
          <cell r="AO312" t="str">
            <v>LF5130SL</v>
          </cell>
          <cell r="AP312" t="str">
            <v>N/A</v>
          </cell>
          <cell r="AS312" t="str">
            <v>N/A</v>
          </cell>
          <cell r="AT312" t="str">
            <v>N/A</v>
          </cell>
          <cell r="AU312" t="str">
            <v>5030B,6934</v>
          </cell>
          <cell r="AV312" t="str">
            <v>N/A</v>
          </cell>
        </row>
        <row r="313">
          <cell r="A313">
            <v>5140</v>
          </cell>
          <cell r="B313" t="str">
            <v>Cat#</v>
          </cell>
          <cell r="C313" t="str">
            <v>Clean 6mm 1/4" Straight Connector/5000</v>
          </cell>
          <cell r="D313" t="str">
            <v>511 ETAL</v>
          </cell>
          <cell r="E313">
            <v>37306</v>
          </cell>
          <cell r="F313" t="str">
            <v>N/A</v>
          </cell>
          <cell r="K313" t="str">
            <v>S-4</v>
          </cell>
          <cell r="L313" t="str">
            <v>N/A</v>
          </cell>
          <cell r="Q313" t="str">
            <v>N/A</v>
          </cell>
          <cell r="R313" t="str">
            <v>8</v>
          </cell>
          <cell r="S313" t="str">
            <v>0</v>
          </cell>
          <cell r="T313" t="str">
            <v>1.5</v>
          </cell>
          <cell r="U313" t="str">
            <v>2.5</v>
          </cell>
          <cell r="V313">
            <v>5000</v>
          </cell>
          <cell r="W313" t="str">
            <v>S-4</v>
          </cell>
          <cell r="X313" t="str">
            <v>Process Room</v>
          </cell>
          <cell r="Y313" t="str">
            <v>N/A</v>
          </cell>
          <cell r="Z313" t="str">
            <v>N/A</v>
          </cell>
          <cell r="AA313" t="str">
            <v>Process Room</v>
          </cell>
          <cell r="AB313" t="str">
            <v>Non-Sterile</v>
          </cell>
          <cell r="AC313" t="str">
            <v>N/A</v>
          </cell>
          <cell r="AG313" t="str">
            <v>N/A</v>
          </cell>
          <cell r="AH313" t="str">
            <v>N</v>
          </cell>
          <cell r="AI313" t="str">
            <v>LATEX FREE</v>
          </cell>
          <cell r="AJ313" t="str">
            <v>Current</v>
          </cell>
          <cell r="AK313" t="str">
            <v>N/A</v>
          </cell>
          <cell r="AL313" t="str">
            <v>N/A</v>
          </cell>
          <cell r="AM313" t="str">
            <v>N/A</v>
          </cell>
          <cell r="AN313" t="str">
            <v>N/A</v>
          </cell>
          <cell r="AO313" t="str">
            <v>LF5140SL</v>
          </cell>
          <cell r="AP313" t="str">
            <v>N/A</v>
          </cell>
          <cell r="AS313" t="str">
            <v>N/A</v>
          </cell>
          <cell r="AT313" t="str">
            <v>N/A</v>
          </cell>
          <cell r="AU313" t="str">
            <v>5040B,2963A</v>
          </cell>
          <cell r="AV313" t="str">
            <v>N/A</v>
          </cell>
        </row>
        <row r="314">
          <cell r="A314">
            <v>5150</v>
          </cell>
          <cell r="B314" t="str">
            <v>Cat#</v>
          </cell>
          <cell r="C314" t="str">
            <v>Clean 8mm 5/16" Straight Connector/5000</v>
          </cell>
          <cell r="D314" t="str">
            <v>511 ETAL</v>
          </cell>
          <cell r="E314">
            <v>37306</v>
          </cell>
          <cell r="F314" t="str">
            <v>N/A</v>
          </cell>
          <cell r="K314" t="str">
            <v>S-4</v>
          </cell>
          <cell r="L314" t="str">
            <v>N/A</v>
          </cell>
          <cell r="Q314" t="str">
            <v>N/A</v>
          </cell>
          <cell r="R314" t="str">
            <v>8</v>
          </cell>
          <cell r="S314" t="str">
            <v>0</v>
          </cell>
          <cell r="T314" t="str">
            <v>1.5</v>
          </cell>
          <cell r="U314" t="str">
            <v>2.5</v>
          </cell>
          <cell r="V314">
            <v>5000</v>
          </cell>
          <cell r="W314" t="str">
            <v>II</v>
          </cell>
          <cell r="X314" t="str">
            <v>Process Room</v>
          </cell>
          <cell r="Y314" t="str">
            <v>N/A</v>
          </cell>
          <cell r="Z314" t="str">
            <v>N/A</v>
          </cell>
          <cell r="AA314" t="str">
            <v>Process Room</v>
          </cell>
          <cell r="AB314" t="str">
            <v>Non-Sterile</v>
          </cell>
          <cell r="AC314" t="str">
            <v>N/A</v>
          </cell>
          <cell r="AG314" t="str">
            <v>N/A</v>
          </cell>
          <cell r="AH314" t="str">
            <v>N</v>
          </cell>
          <cell r="AI314" t="str">
            <v>LATEX FREE</v>
          </cell>
          <cell r="AJ314" t="str">
            <v>Current</v>
          </cell>
          <cell r="AK314" t="str">
            <v>N/A</v>
          </cell>
          <cell r="AL314" t="str">
            <v>N/A</v>
          </cell>
          <cell r="AM314" t="str">
            <v>N/A</v>
          </cell>
          <cell r="AN314" t="str">
            <v>N/A</v>
          </cell>
          <cell r="AO314" t="str">
            <v>LF5150SL</v>
          </cell>
          <cell r="AP314" t="str">
            <v>N/A</v>
          </cell>
          <cell r="AS314" t="str">
            <v>N/A</v>
          </cell>
          <cell r="AT314" t="str">
            <v>N/A</v>
          </cell>
          <cell r="AU314" t="str">
            <v>5050B,2963A</v>
          </cell>
          <cell r="AV314" t="str">
            <v>N/A</v>
          </cell>
        </row>
        <row r="315">
          <cell r="A315">
            <v>5155</v>
          </cell>
          <cell r="B315" t="str">
            <v>Cat#</v>
          </cell>
          <cell r="C315" t="str">
            <v>Clean 8mm 5/16"Straight Connector/10000</v>
          </cell>
          <cell r="D315" t="str">
            <v>511 ETAL</v>
          </cell>
          <cell r="E315">
            <v>37306</v>
          </cell>
          <cell r="F315" t="str">
            <v>N/A</v>
          </cell>
          <cell r="K315" t="str">
            <v>S-4</v>
          </cell>
          <cell r="L315" t="str">
            <v>N/A</v>
          </cell>
          <cell r="Q315" t="str">
            <v>N/A</v>
          </cell>
          <cell r="R315" t="str">
            <v>8</v>
          </cell>
          <cell r="S315" t="str">
            <v>0</v>
          </cell>
          <cell r="T315" t="str">
            <v>1.5</v>
          </cell>
          <cell r="U315" t="str">
            <v>2.5</v>
          </cell>
          <cell r="V315">
            <v>10000</v>
          </cell>
          <cell r="X315" t="str">
            <v>Process Room</v>
          </cell>
          <cell r="Y315" t="str">
            <v>N/A</v>
          </cell>
          <cell r="Z315" t="str">
            <v>N/A</v>
          </cell>
          <cell r="AA315" t="str">
            <v>Process Room</v>
          </cell>
          <cell r="AB315" t="str">
            <v>Non-Sterile</v>
          </cell>
          <cell r="AC315" t="str">
            <v>N/A</v>
          </cell>
          <cell r="AG315" t="str">
            <v>N/A</v>
          </cell>
          <cell r="AH315" t="str">
            <v>N</v>
          </cell>
          <cell r="AI315" t="str">
            <v>LATEX FREE</v>
          </cell>
          <cell r="AJ315" t="str">
            <v>Current</v>
          </cell>
          <cell r="AK315" t="str">
            <v>N/A</v>
          </cell>
          <cell r="AL315" t="str">
            <v>N/A</v>
          </cell>
          <cell r="AM315" t="str">
            <v>N/A</v>
          </cell>
          <cell r="AN315" t="str">
            <v>N/A</v>
          </cell>
          <cell r="AO315" t="str">
            <v>LF5155SL</v>
          </cell>
          <cell r="AP315" t="str">
            <v>N/A</v>
          </cell>
          <cell r="AS315" t="str">
            <v>N/A</v>
          </cell>
          <cell r="AT315" t="str">
            <v>N/A</v>
          </cell>
          <cell r="AU315" t="str">
            <v>5050B,4031,2963A</v>
          </cell>
          <cell r="AV315" t="str">
            <v>N/A</v>
          </cell>
        </row>
        <row r="316">
          <cell r="A316">
            <v>5160</v>
          </cell>
          <cell r="C316" t="str">
            <v>Clean 3/8IN Str</v>
          </cell>
          <cell r="AB316" t="str">
            <v>Non-Sterile</v>
          </cell>
          <cell r="AK316" t="str">
            <v>N/A</v>
          </cell>
          <cell r="AL316" t="str">
            <v>N/A</v>
          </cell>
        </row>
        <row r="317">
          <cell r="A317">
            <v>5170</v>
          </cell>
          <cell r="B317" t="str">
            <v>Cat#</v>
          </cell>
          <cell r="C317" t="str">
            <v>Clean 6mm 1/4" Y Connector/5000</v>
          </cell>
          <cell r="D317" t="str">
            <v>511 ETAL</v>
          </cell>
          <cell r="E317">
            <v>37306</v>
          </cell>
          <cell r="F317" t="str">
            <v>N/A</v>
          </cell>
          <cell r="K317" t="str">
            <v>S-4</v>
          </cell>
          <cell r="L317" t="str">
            <v>N/A</v>
          </cell>
          <cell r="Q317" t="str">
            <v>N/A</v>
          </cell>
          <cell r="R317" t="str">
            <v>8</v>
          </cell>
          <cell r="S317" t="str">
            <v>0</v>
          </cell>
          <cell r="T317" t="str">
            <v>1.5</v>
          </cell>
          <cell r="U317" t="str">
            <v>2.5</v>
          </cell>
          <cell r="V317">
            <v>5000</v>
          </cell>
          <cell r="W317" t="str">
            <v>II</v>
          </cell>
          <cell r="X317" t="str">
            <v>Process Room</v>
          </cell>
          <cell r="Y317" t="str">
            <v>N/A</v>
          </cell>
          <cell r="Z317" t="str">
            <v>N/A</v>
          </cell>
          <cell r="AA317" t="str">
            <v>Process Room</v>
          </cell>
          <cell r="AB317" t="str">
            <v>Non-Sterile</v>
          </cell>
          <cell r="AC317" t="str">
            <v>N/A</v>
          </cell>
          <cell r="AG317" t="str">
            <v>N/A</v>
          </cell>
          <cell r="AH317" t="str">
            <v>N</v>
          </cell>
          <cell r="AI317" t="str">
            <v>LATEX FREE</v>
          </cell>
          <cell r="AJ317" t="str">
            <v>Current</v>
          </cell>
          <cell r="AK317" t="str">
            <v>N/A</v>
          </cell>
          <cell r="AL317" t="str">
            <v>N/A</v>
          </cell>
          <cell r="AM317" t="str">
            <v>N/A</v>
          </cell>
          <cell r="AN317" t="str">
            <v>N/A</v>
          </cell>
          <cell r="AO317" t="str">
            <v>LF5170SL</v>
          </cell>
          <cell r="AP317" t="str">
            <v>N/A</v>
          </cell>
          <cell r="AS317" t="str">
            <v>N/A</v>
          </cell>
          <cell r="AT317" t="str">
            <v>N/A</v>
          </cell>
          <cell r="AU317" t="str">
            <v>5070B,2963A</v>
          </cell>
          <cell r="AV317" t="str">
            <v>N/A</v>
          </cell>
        </row>
        <row r="318">
          <cell r="A318">
            <v>5180</v>
          </cell>
          <cell r="C318" t="str">
            <v>Clean 3/8IN Y Conn</v>
          </cell>
          <cell r="AB318" t="str">
            <v>Non-Sterile</v>
          </cell>
          <cell r="AJ318" t="str">
            <v>Discontinued</v>
          </cell>
          <cell r="AK318" t="str">
            <v>N/A</v>
          </cell>
          <cell r="AL318" t="str">
            <v>N/A</v>
          </cell>
        </row>
        <row r="319">
          <cell r="A319">
            <v>5190</v>
          </cell>
          <cell r="B319" t="str">
            <v>Cat#</v>
          </cell>
          <cell r="C319" t="str">
            <v>Clean 6 in 1 Y Connector/2500</v>
          </cell>
          <cell r="D319" t="str">
            <v>511 ETAL</v>
          </cell>
          <cell r="E319">
            <v>37306</v>
          </cell>
          <cell r="F319" t="str">
            <v>N/A</v>
          </cell>
          <cell r="K319" t="str">
            <v>S-4</v>
          </cell>
          <cell r="L319" t="str">
            <v>N/A</v>
          </cell>
          <cell r="Q319" t="str">
            <v>N/A</v>
          </cell>
          <cell r="R319" t="str">
            <v>8</v>
          </cell>
          <cell r="S319" t="str">
            <v>0</v>
          </cell>
          <cell r="T319" t="str">
            <v>1.5</v>
          </cell>
          <cell r="U319" t="str">
            <v>2.5</v>
          </cell>
          <cell r="V319">
            <v>2500</v>
          </cell>
          <cell r="W319" t="str">
            <v>S-4</v>
          </cell>
          <cell r="X319" t="str">
            <v>Process Room</v>
          </cell>
          <cell r="Y319" t="str">
            <v>N/A</v>
          </cell>
          <cell r="Z319" t="str">
            <v>N/A</v>
          </cell>
          <cell r="AA319" t="str">
            <v>Process Room</v>
          </cell>
          <cell r="AB319" t="str">
            <v>Non-Sterile</v>
          </cell>
          <cell r="AC319" t="str">
            <v>N/A</v>
          </cell>
          <cell r="AG319" t="str">
            <v>N/A</v>
          </cell>
          <cell r="AH319" t="str">
            <v>N</v>
          </cell>
          <cell r="AI319" t="str">
            <v>LATEX FREE</v>
          </cell>
          <cell r="AJ319" t="str">
            <v>Current</v>
          </cell>
          <cell r="AK319" t="str">
            <v>N/A</v>
          </cell>
          <cell r="AL319" t="str">
            <v>N/A</v>
          </cell>
          <cell r="AM319" t="str">
            <v>N/A</v>
          </cell>
          <cell r="AN319" t="str">
            <v>N/A</v>
          </cell>
          <cell r="AO319" t="str">
            <v>LF5190SL</v>
          </cell>
          <cell r="AP319" t="str">
            <v>N/A</v>
          </cell>
          <cell r="AS319" t="str">
            <v>N/A</v>
          </cell>
          <cell r="AT319" t="str">
            <v>N/A</v>
          </cell>
          <cell r="AU319" t="str">
            <v>5090B,6934</v>
          </cell>
          <cell r="AV319" t="str">
            <v>N/A</v>
          </cell>
        </row>
        <row r="320">
          <cell r="A320">
            <v>5712</v>
          </cell>
          <cell r="B320" t="str">
            <v>Cat#</v>
          </cell>
          <cell r="C320" t="str">
            <v>HS#100-3347 12X12 CSR/100</v>
          </cell>
          <cell r="D320" t="str">
            <v>843 ETAL</v>
          </cell>
          <cell r="E320">
            <v>36563</v>
          </cell>
          <cell r="F320" t="str">
            <v>100-3347</v>
          </cell>
          <cell r="K320" t="str">
            <v>S-4</v>
          </cell>
          <cell r="L320" t="str">
            <v>N/A</v>
          </cell>
          <cell r="Q320" t="str">
            <v>N/A</v>
          </cell>
          <cell r="R320" t="str">
            <v>8</v>
          </cell>
          <cell r="S320" t="str">
            <v>0</v>
          </cell>
          <cell r="T320" t="str">
            <v>1.5</v>
          </cell>
          <cell r="U320" t="str">
            <v>2.5</v>
          </cell>
          <cell r="V320" t="str">
            <v>100</v>
          </cell>
          <cell r="W320" t="str">
            <v>S-4</v>
          </cell>
          <cell r="X320" t="str">
            <v>Manufacturing</v>
          </cell>
          <cell r="Y320" t="str">
            <v>N/A</v>
          </cell>
          <cell r="Z320" t="str">
            <v>N/A</v>
          </cell>
          <cell r="AA320" t="str">
            <v>Manufacturing</v>
          </cell>
          <cell r="AB320" t="str">
            <v>Non-Sterile</v>
          </cell>
          <cell r="AC320" t="str">
            <v>N/A</v>
          </cell>
          <cell r="AG320" t="str">
            <v>N/A</v>
          </cell>
          <cell r="AH320" t="str">
            <v>N</v>
          </cell>
          <cell r="AI320" t="str">
            <v>LATEX FREE</v>
          </cell>
          <cell r="AJ320" t="str">
            <v>Discontinued</v>
          </cell>
          <cell r="AK320" t="str">
            <v>N/A</v>
          </cell>
          <cell r="AL320" t="str">
            <v>N/A</v>
          </cell>
          <cell r="AM320" t="str">
            <v>N/A</v>
          </cell>
          <cell r="AN320" t="str">
            <v>N/A</v>
          </cell>
          <cell r="AO320" t="str">
            <v>5710</v>
          </cell>
          <cell r="AP320" t="str">
            <v>N/A</v>
          </cell>
          <cell r="AS320" t="str">
            <v>N/A</v>
          </cell>
          <cell r="AT320" t="str">
            <v>N/A</v>
          </cell>
          <cell r="AU320" t="str">
            <v>N/A</v>
          </cell>
          <cell r="AV320" t="str">
            <v>8412D</v>
          </cell>
        </row>
        <row r="321">
          <cell r="A321">
            <v>5718</v>
          </cell>
          <cell r="B321" t="str">
            <v>Cat#</v>
          </cell>
          <cell r="C321" t="str">
            <v>HS#100-4683 18X18 CSR/100</v>
          </cell>
          <cell r="D321" t="str">
            <v>843 ETAL</v>
          </cell>
          <cell r="E321">
            <v>36563</v>
          </cell>
          <cell r="F321" t="str">
            <v>100-4683</v>
          </cell>
          <cell r="K321" t="str">
            <v>S-4</v>
          </cell>
          <cell r="L321" t="str">
            <v>N/A</v>
          </cell>
          <cell r="Q321" t="str">
            <v>N/A</v>
          </cell>
          <cell r="R321" t="str">
            <v>8</v>
          </cell>
          <cell r="S321" t="str">
            <v>0</v>
          </cell>
          <cell r="T321" t="str">
            <v>1.5</v>
          </cell>
          <cell r="U321" t="str">
            <v>2.5</v>
          </cell>
          <cell r="V321" t="str">
            <v>100</v>
          </cell>
          <cell r="W321" t="str">
            <v>S-4</v>
          </cell>
          <cell r="X321" t="str">
            <v>Manufacturing</v>
          </cell>
          <cell r="Y321" t="str">
            <v>N/A</v>
          </cell>
          <cell r="Z321" t="str">
            <v>N/A</v>
          </cell>
          <cell r="AA321" t="str">
            <v>Manufacturing</v>
          </cell>
          <cell r="AB321" t="str">
            <v>Non-Sterile</v>
          </cell>
          <cell r="AC321" t="str">
            <v>N/A</v>
          </cell>
          <cell r="AG321" t="str">
            <v>N/A</v>
          </cell>
          <cell r="AH321" t="str">
            <v>N</v>
          </cell>
          <cell r="AI321" t="str">
            <v>LATEX FREE</v>
          </cell>
          <cell r="AJ321" t="str">
            <v>Discontinued</v>
          </cell>
          <cell r="AK321" t="str">
            <v>N/A</v>
          </cell>
          <cell r="AL321" t="str">
            <v>N/A</v>
          </cell>
          <cell r="AM321" t="str">
            <v>N/A</v>
          </cell>
          <cell r="AN321" t="str">
            <v>N/A</v>
          </cell>
          <cell r="AO321" t="str">
            <v>5716</v>
          </cell>
          <cell r="AP321" t="str">
            <v>N/A</v>
          </cell>
          <cell r="AS321" t="str">
            <v>N/A</v>
          </cell>
          <cell r="AT321" t="str">
            <v>N/A</v>
          </cell>
          <cell r="AU321" t="str">
            <v>N/A</v>
          </cell>
          <cell r="AV321" t="str">
            <v>8418D</v>
          </cell>
        </row>
        <row r="322">
          <cell r="A322">
            <v>5724</v>
          </cell>
          <cell r="B322" t="str">
            <v>Cat#</v>
          </cell>
          <cell r="C322" t="str">
            <v>HS#100-6950 24X24 CSR/100</v>
          </cell>
          <cell r="D322" t="str">
            <v>843 ETAL</v>
          </cell>
          <cell r="E322">
            <v>36563</v>
          </cell>
          <cell r="F322" t="str">
            <v>100-6950</v>
          </cell>
          <cell r="K322" t="str">
            <v>S-4</v>
          </cell>
          <cell r="L322" t="str">
            <v>N/A</v>
          </cell>
          <cell r="Q322" t="str">
            <v>N/A</v>
          </cell>
          <cell r="R322" t="str">
            <v>8</v>
          </cell>
          <cell r="S322" t="str">
            <v>0</v>
          </cell>
          <cell r="T322" t="str">
            <v>1.5</v>
          </cell>
          <cell r="U322" t="str">
            <v>2.5</v>
          </cell>
          <cell r="V322" t="str">
            <v>100</v>
          </cell>
          <cell r="W322" t="str">
            <v>S-4</v>
          </cell>
          <cell r="X322" t="str">
            <v>Manufacturing</v>
          </cell>
          <cell r="Y322" t="str">
            <v>N/A</v>
          </cell>
          <cell r="Z322" t="str">
            <v>N/A</v>
          </cell>
          <cell r="AA322" t="str">
            <v>Manufacturing</v>
          </cell>
          <cell r="AB322" t="str">
            <v>Non-Sterile</v>
          </cell>
          <cell r="AC322" t="str">
            <v>N/A</v>
          </cell>
          <cell r="AG322" t="str">
            <v>N/A</v>
          </cell>
          <cell r="AH322" t="str">
            <v>N</v>
          </cell>
          <cell r="AI322" t="str">
            <v>LATEX FREE</v>
          </cell>
          <cell r="AJ322" t="str">
            <v>Discontinued</v>
          </cell>
          <cell r="AK322" t="str">
            <v>N/A</v>
          </cell>
          <cell r="AL322" t="str">
            <v>N/A</v>
          </cell>
          <cell r="AM322" t="str">
            <v>N/A</v>
          </cell>
          <cell r="AN322" t="str">
            <v>N/A</v>
          </cell>
          <cell r="AO322" t="str">
            <v>5724S</v>
          </cell>
          <cell r="AP322" t="str">
            <v>N/A</v>
          </cell>
          <cell r="AS322" t="str">
            <v>N/A</v>
          </cell>
          <cell r="AT322" t="str">
            <v>N/A</v>
          </cell>
          <cell r="AU322" t="str">
            <v>N/A</v>
          </cell>
          <cell r="AV322" t="str">
            <v>8424D</v>
          </cell>
        </row>
        <row r="323">
          <cell r="A323">
            <v>5730</v>
          </cell>
          <cell r="B323" t="str">
            <v>Cat#</v>
          </cell>
          <cell r="C323" t="str">
            <v>HS#100-8187 30X30 CSR/100</v>
          </cell>
          <cell r="D323" t="str">
            <v>843 ETAL</v>
          </cell>
          <cell r="E323">
            <v>36563</v>
          </cell>
          <cell r="F323" t="str">
            <v>100-8187</v>
          </cell>
          <cell r="K323" t="str">
            <v>S-4</v>
          </cell>
          <cell r="L323" t="str">
            <v>N/A</v>
          </cell>
          <cell r="Q323" t="str">
            <v>N/A</v>
          </cell>
          <cell r="R323" t="str">
            <v>8</v>
          </cell>
          <cell r="S323" t="str">
            <v>0</v>
          </cell>
          <cell r="T323" t="str">
            <v>1.5</v>
          </cell>
          <cell r="U323" t="str">
            <v>2.5</v>
          </cell>
          <cell r="V323" t="str">
            <v>100</v>
          </cell>
          <cell r="W323" t="str">
            <v>S-4</v>
          </cell>
          <cell r="X323" t="str">
            <v>Manufacturing</v>
          </cell>
          <cell r="Y323" t="str">
            <v>N/A</v>
          </cell>
          <cell r="Z323" t="str">
            <v>N/A</v>
          </cell>
          <cell r="AA323" t="str">
            <v>Manufacturing</v>
          </cell>
          <cell r="AB323" t="str">
            <v>Non-Sterile</v>
          </cell>
          <cell r="AC323" t="str">
            <v>N/A</v>
          </cell>
          <cell r="AG323" t="str">
            <v>N/A</v>
          </cell>
          <cell r="AH323" t="str">
            <v>N</v>
          </cell>
          <cell r="AI323" t="str">
            <v>LATEX FREE</v>
          </cell>
          <cell r="AJ323" t="str">
            <v>Discontinued</v>
          </cell>
          <cell r="AK323" t="str">
            <v>N/A</v>
          </cell>
          <cell r="AL323" t="str">
            <v>N/A</v>
          </cell>
          <cell r="AM323" t="str">
            <v>N/A</v>
          </cell>
          <cell r="AN323" t="str">
            <v>N/A</v>
          </cell>
          <cell r="AO323" t="str">
            <v>5730S</v>
          </cell>
          <cell r="AP323" t="str">
            <v>N/A</v>
          </cell>
          <cell r="AS323" t="str">
            <v>N/A</v>
          </cell>
          <cell r="AT323" t="str">
            <v>N/A</v>
          </cell>
          <cell r="AU323" t="str">
            <v>N/A</v>
          </cell>
          <cell r="AV323" t="str">
            <v>8430D</v>
          </cell>
        </row>
        <row r="324">
          <cell r="A324">
            <v>5736</v>
          </cell>
          <cell r="B324" t="str">
            <v>Cat#</v>
          </cell>
          <cell r="C324" t="str">
            <v>HS#100-2016 36X36 CSR/100</v>
          </cell>
          <cell r="D324" t="str">
            <v>843 ETAL</v>
          </cell>
          <cell r="E324">
            <v>36563</v>
          </cell>
          <cell r="F324" t="str">
            <v>100-2016</v>
          </cell>
          <cell r="K324" t="str">
            <v>S-4</v>
          </cell>
          <cell r="L324" t="str">
            <v>N/A</v>
          </cell>
          <cell r="Q324" t="str">
            <v>N/A</v>
          </cell>
          <cell r="R324" t="str">
            <v>8</v>
          </cell>
          <cell r="S324" t="str">
            <v>0</v>
          </cell>
          <cell r="T324" t="str">
            <v>1.5</v>
          </cell>
          <cell r="U324" t="str">
            <v>2.5</v>
          </cell>
          <cell r="V324" t="str">
            <v>100</v>
          </cell>
          <cell r="W324" t="str">
            <v>S-4</v>
          </cell>
          <cell r="X324" t="str">
            <v>Manufacturing</v>
          </cell>
          <cell r="Y324" t="str">
            <v>N/A</v>
          </cell>
          <cell r="Z324" t="str">
            <v>N/A</v>
          </cell>
          <cell r="AA324" t="str">
            <v>Manufacturing</v>
          </cell>
          <cell r="AB324" t="str">
            <v>Non-Sterile</v>
          </cell>
          <cell r="AC324" t="str">
            <v>N/A</v>
          </cell>
          <cell r="AG324" t="str">
            <v>N/A</v>
          </cell>
          <cell r="AH324" t="str">
            <v>N</v>
          </cell>
          <cell r="AI324" t="str">
            <v>LATEX FREE</v>
          </cell>
          <cell r="AJ324" t="str">
            <v>Discontinued</v>
          </cell>
          <cell r="AK324" t="str">
            <v>N/A</v>
          </cell>
          <cell r="AL324" t="str">
            <v>N/A</v>
          </cell>
          <cell r="AM324" t="str">
            <v>N/A</v>
          </cell>
          <cell r="AN324" t="str">
            <v>N/A</v>
          </cell>
          <cell r="AO324" t="str">
            <v>5731</v>
          </cell>
          <cell r="AP324" t="str">
            <v>N/A</v>
          </cell>
          <cell r="AS324" t="str">
            <v>N/A</v>
          </cell>
          <cell r="AT324" t="str">
            <v>N/A</v>
          </cell>
          <cell r="AU324" t="str">
            <v>N/A</v>
          </cell>
          <cell r="AV324" t="str">
            <v>8436D</v>
          </cell>
        </row>
        <row r="325">
          <cell r="A325">
            <v>5760</v>
          </cell>
          <cell r="C325" t="str">
            <v>HS/DE97/93347 12X12 C/100</v>
          </cell>
          <cell r="U325" t="str">
            <v>2.5</v>
          </cell>
          <cell r="AB325" t="str">
            <v>Non-Sterile</v>
          </cell>
          <cell r="AJ325" t="str">
            <v>Discontinued</v>
          </cell>
          <cell r="AK325" t="str">
            <v>N/A</v>
          </cell>
          <cell r="AL325" t="str">
            <v>N/A</v>
          </cell>
        </row>
        <row r="326">
          <cell r="A326">
            <v>5761</v>
          </cell>
          <cell r="C326" t="str">
            <v>HS/DE97/94683 18X18 C/100</v>
          </cell>
          <cell r="AB326" t="str">
            <v>Non-Sterile</v>
          </cell>
          <cell r="AJ326" t="str">
            <v>Discontinued</v>
          </cell>
          <cell r="AK326" t="str">
            <v>N/A</v>
          </cell>
          <cell r="AL326" t="str">
            <v>N/A</v>
          </cell>
        </row>
        <row r="327">
          <cell r="A327">
            <v>5762</v>
          </cell>
          <cell r="C327" t="str">
            <v>HS/DE97/96950 24X24 C/100</v>
          </cell>
          <cell r="AB327" t="str">
            <v>Non-Sterile</v>
          </cell>
          <cell r="AJ327" t="str">
            <v>Discontinued</v>
          </cell>
          <cell r="AK327" t="str">
            <v>N/A</v>
          </cell>
          <cell r="AL327" t="str">
            <v>N/A</v>
          </cell>
        </row>
        <row r="328">
          <cell r="A328">
            <v>5763</v>
          </cell>
          <cell r="C328" t="str">
            <v>HS/DE97/98187 30X30 C/100</v>
          </cell>
          <cell r="AB328" t="str">
            <v>Non-Sterile</v>
          </cell>
          <cell r="AJ328" t="str">
            <v>Discontinued</v>
          </cell>
          <cell r="AK328" t="str">
            <v>N/A</v>
          </cell>
          <cell r="AL328" t="str">
            <v>N/A</v>
          </cell>
        </row>
        <row r="329">
          <cell r="A329">
            <v>5764</v>
          </cell>
          <cell r="C329" t="str">
            <v>HS/DE97/92016 36X36 C/100</v>
          </cell>
          <cell r="AB329" t="str">
            <v>Non-Sterile</v>
          </cell>
          <cell r="AJ329" t="str">
            <v>Discontinued</v>
          </cell>
          <cell r="AK329" t="str">
            <v>N/A</v>
          </cell>
          <cell r="AL329" t="str">
            <v>N/A</v>
          </cell>
        </row>
        <row r="330">
          <cell r="A330">
            <v>6108</v>
          </cell>
          <cell r="B330" t="str">
            <v>Cat#</v>
          </cell>
          <cell r="C330" t="str">
            <v xml:space="preserve"> White Post Mortem Bag/ Wrap Around Zipper/ Allegiance/10</v>
          </cell>
          <cell r="D330" t="str">
            <v>901 ETAL</v>
          </cell>
          <cell r="E330">
            <v>37574</v>
          </cell>
          <cell r="F330" t="str">
            <v>N/A</v>
          </cell>
          <cell r="K330" t="str">
            <v>S-4</v>
          </cell>
          <cell r="L330" t="str">
            <v>N/A</v>
          </cell>
          <cell r="P330" t="str">
            <v>N/A</v>
          </cell>
          <cell r="Q330" t="str">
            <v>N/A</v>
          </cell>
          <cell r="R330" t="str">
            <v>8</v>
          </cell>
          <cell r="S330" t="str">
            <v>0</v>
          </cell>
          <cell r="T330" t="str">
            <v>1.5</v>
          </cell>
          <cell r="U330" t="str">
            <v>2.5</v>
          </cell>
          <cell r="V330">
            <v>10</v>
          </cell>
          <cell r="W330" t="str">
            <v>S-4</v>
          </cell>
          <cell r="X330" t="str">
            <v>Manufacturing</v>
          </cell>
          <cell r="Y330" t="str">
            <v>N/A</v>
          </cell>
          <cell r="Z330" t="str">
            <v>N/A</v>
          </cell>
          <cell r="AA330" t="str">
            <v>Manufacturing</v>
          </cell>
          <cell r="AB330" t="str">
            <v>Non-Sterile</v>
          </cell>
          <cell r="AC330" t="str">
            <v>N/A</v>
          </cell>
          <cell r="AG330" t="str">
            <v>N/A</v>
          </cell>
          <cell r="AH330" t="str">
            <v>N</v>
          </cell>
          <cell r="AI330" t="str">
            <v>LATEX FREE</v>
          </cell>
          <cell r="AJ330" t="str">
            <v>Current</v>
          </cell>
          <cell r="AK330" t="str">
            <v>N/A</v>
          </cell>
          <cell r="AL330" t="str">
            <v>N/A</v>
          </cell>
          <cell r="AM330" t="str">
            <v>N/A</v>
          </cell>
          <cell r="AN330" t="str">
            <v>N/A</v>
          </cell>
          <cell r="AO330" t="str">
            <v>LF6108SL</v>
          </cell>
          <cell r="AP330" t="str">
            <v>N/A</v>
          </cell>
          <cell r="AS330" t="str">
            <v>N/A</v>
          </cell>
          <cell r="AT330" t="str">
            <v>N/A</v>
          </cell>
          <cell r="AU330" t="str">
            <v>N/A</v>
          </cell>
          <cell r="AV330" t="str">
            <v>911D-1,9013A-1</v>
          </cell>
        </row>
        <row r="331">
          <cell r="A331">
            <v>6340</v>
          </cell>
          <cell r="B331" t="str">
            <v>Cat#</v>
          </cell>
          <cell r="C331" t="str">
            <v>Bulk 21"x36" Clear Polyeth. Fen. Drape W/ Adh. Patch, 3" Kaycel Borders/250</v>
          </cell>
          <cell r="D331" t="str">
            <v>6340</v>
          </cell>
          <cell r="E331">
            <v>37420</v>
          </cell>
          <cell r="F331" t="str">
            <v>N/A</v>
          </cell>
          <cell r="K331" t="str">
            <v>S-4</v>
          </cell>
          <cell r="L331" t="str">
            <v>32</v>
          </cell>
          <cell r="P331" t="str">
            <v>32</v>
          </cell>
          <cell r="Q331" t="str">
            <v>N/A</v>
          </cell>
          <cell r="R331" t="str">
            <v>8</v>
          </cell>
          <cell r="S331" t="str">
            <v>0</v>
          </cell>
          <cell r="T331" t="str">
            <v>1.5</v>
          </cell>
          <cell r="U331" t="str">
            <v>2.5</v>
          </cell>
          <cell r="V331">
            <v>250</v>
          </cell>
          <cell r="W331" t="str">
            <v>S-4</v>
          </cell>
          <cell r="X331" t="str">
            <v>Manufacturing</v>
          </cell>
          <cell r="Y331" t="str">
            <v>N/A</v>
          </cell>
          <cell r="Z331" t="str">
            <v>N/A</v>
          </cell>
          <cell r="AA331" t="str">
            <v>Towel Machine</v>
          </cell>
          <cell r="AB331" t="str">
            <v>Non-Sterile</v>
          </cell>
          <cell r="AC331" t="str">
            <v>N/A</v>
          </cell>
          <cell r="AG331" t="str">
            <v>N/A</v>
          </cell>
          <cell r="AH331" t="str">
            <v>N</v>
          </cell>
          <cell r="AI331" t="str">
            <v>LATEX FREE</v>
          </cell>
          <cell r="AJ331" t="str">
            <v>Current</v>
          </cell>
          <cell r="AK331" t="str">
            <v>N/A</v>
          </cell>
          <cell r="AL331" t="str">
            <v>N/A</v>
          </cell>
          <cell r="AM331" t="str">
            <v>N/A</v>
          </cell>
          <cell r="AN331" t="str">
            <v>N/A</v>
          </cell>
          <cell r="AO331" t="str">
            <v>LF6340SL</v>
          </cell>
          <cell r="AP331" t="str">
            <v>N/A</v>
          </cell>
          <cell r="AS331" t="str">
            <v>N/A</v>
          </cell>
          <cell r="AT331" t="str">
            <v>N/A</v>
          </cell>
          <cell r="AU331" t="str">
            <v>N/A</v>
          </cell>
          <cell r="AV331" t="str">
            <v>6341,6/667,6843D,6342,6934</v>
          </cell>
        </row>
        <row r="332">
          <cell r="A332">
            <v>6598</v>
          </cell>
          <cell r="B332" t="str">
            <v>Cat#</v>
          </cell>
          <cell r="C332" t="str">
            <v>18" x 26" White/White Drape W/ Adhesive Patch &amp; 3" Fen./500</v>
          </cell>
          <cell r="D332" t="str">
            <v>6598</v>
          </cell>
          <cell r="E332">
            <v>37420</v>
          </cell>
          <cell r="F332" t="str">
            <v>N/A</v>
          </cell>
          <cell r="K332" t="str">
            <v>S-4</v>
          </cell>
          <cell r="L332" t="str">
            <v>32</v>
          </cell>
          <cell r="P332" t="str">
            <v>32</v>
          </cell>
          <cell r="Q332" t="str">
            <v>N/A</v>
          </cell>
          <cell r="R332" t="str">
            <v>8</v>
          </cell>
          <cell r="S332" t="str">
            <v>0</v>
          </cell>
          <cell r="T332" t="str">
            <v>1.5</v>
          </cell>
          <cell r="U332" t="str">
            <v>2.5</v>
          </cell>
          <cell r="V332">
            <v>500</v>
          </cell>
          <cell r="X332" t="str">
            <v>Manufacturing</v>
          </cell>
          <cell r="Y332" t="str">
            <v>N/A</v>
          </cell>
          <cell r="Z332" t="str">
            <v>N/A</v>
          </cell>
          <cell r="AA332" t="str">
            <v>Towel Machine</v>
          </cell>
          <cell r="AB332" t="str">
            <v>Non-Sterile</v>
          </cell>
          <cell r="AC332" t="str">
            <v>N/A</v>
          </cell>
          <cell r="AG332" t="str">
            <v>N/A</v>
          </cell>
          <cell r="AH332" t="str">
            <v>N</v>
          </cell>
          <cell r="AI332" t="str">
            <v>LATEX FREE</v>
          </cell>
          <cell r="AJ332" t="str">
            <v>Current</v>
          </cell>
          <cell r="AK332" t="str">
            <v>N/A</v>
          </cell>
          <cell r="AL332" t="str">
            <v>N/A</v>
          </cell>
          <cell r="AM332" t="str">
            <v>N/A</v>
          </cell>
          <cell r="AN332" t="str">
            <v>N/A</v>
          </cell>
          <cell r="AO332" t="str">
            <v>LF6598CSL</v>
          </cell>
          <cell r="AP332" t="str">
            <v>N/A</v>
          </cell>
          <cell r="AS332" t="str">
            <v>N/A</v>
          </cell>
          <cell r="AT332" t="str">
            <v>N/A</v>
          </cell>
          <cell r="AU332" t="str">
            <v>N/A</v>
          </cell>
          <cell r="AV332" t="str">
            <v>6961,6966A, 6841C,6934</v>
          </cell>
        </row>
        <row r="333">
          <cell r="A333">
            <v>6710</v>
          </cell>
          <cell r="B333" t="str">
            <v>Cat#</v>
          </cell>
          <cell r="C333" t="str">
            <v>Bulk 19.5" x 23" Blue Absorbent Kaycel Towel/200</v>
          </cell>
          <cell r="D333" t="str">
            <v>6710 ETAL</v>
          </cell>
          <cell r="E333">
            <v>37372</v>
          </cell>
          <cell r="F333" t="str">
            <v>N/A</v>
          </cell>
          <cell r="K333" t="str">
            <v>S-4</v>
          </cell>
          <cell r="L333" t="str">
            <v>32</v>
          </cell>
          <cell r="P333" t="str">
            <v>32</v>
          </cell>
          <cell r="Q333" t="str">
            <v>N/A</v>
          </cell>
          <cell r="R333" t="str">
            <v>8</v>
          </cell>
          <cell r="S333" t="str">
            <v>0</v>
          </cell>
          <cell r="T333" t="str">
            <v>1.5</v>
          </cell>
          <cell r="U333" t="str">
            <v>2.5</v>
          </cell>
          <cell r="V333">
            <v>200</v>
          </cell>
          <cell r="W333" t="str">
            <v>S-4</v>
          </cell>
          <cell r="X333" t="str">
            <v>Manufacturing</v>
          </cell>
          <cell r="Y333" t="str">
            <v>N/A</v>
          </cell>
          <cell r="Z333" t="str">
            <v>N/A</v>
          </cell>
          <cell r="AA333" t="str">
            <v>Towel Machine</v>
          </cell>
          <cell r="AB333" t="str">
            <v>Non-Sterile</v>
          </cell>
          <cell r="AC333" t="str">
            <v>N/A</v>
          </cell>
          <cell r="AG333" t="str">
            <v>N/A</v>
          </cell>
          <cell r="AH333" t="str">
            <v>N</v>
          </cell>
          <cell r="AI333" t="str">
            <v>LATEX FREE</v>
          </cell>
          <cell r="AJ333" t="str">
            <v>Current</v>
          </cell>
          <cell r="AK333" t="str">
            <v>N/A</v>
          </cell>
          <cell r="AL333" t="str">
            <v>N/A</v>
          </cell>
          <cell r="AM333" t="str">
            <v>N/A</v>
          </cell>
          <cell r="AN333" t="str">
            <v>N/A</v>
          </cell>
          <cell r="AO333" t="str">
            <v>LF6710SL</v>
          </cell>
          <cell r="AP333" t="str">
            <v>N/A</v>
          </cell>
          <cell r="AS333" t="str">
            <v>N/A</v>
          </cell>
          <cell r="AT333" t="str">
            <v>N/A</v>
          </cell>
          <cell r="AU333" t="str">
            <v>N/A</v>
          </cell>
          <cell r="AV333" t="str">
            <v>6930A,2963A</v>
          </cell>
        </row>
        <row r="334">
          <cell r="A334">
            <v>6711</v>
          </cell>
          <cell r="B334" t="str">
            <v>Cat#</v>
          </cell>
          <cell r="C334" t="str">
            <v>Bulk 19.5" x 23" Blue Absorbent Kaycel Towel/500</v>
          </cell>
          <cell r="D334" t="str">
            <v>6710 ETAL</v>
          </cell>
          <cell r="E334">
            <v>37372</v>
          </cell>
          <cell r="F334" t="str">
            <v>N/A</v>
          </cell>
          <cell r="K334" t="str">
            <v>S-4</v>
          </cell>
          <cell r="L334" t="str">
            <v>32</v>
          </cell>
          <cell r="P334" t="str">
            <v>32</v>
          </cell>
          <cell r="Q334" t="str">
            <v>N/A</v>
          </cell>
          <cell r="R334" t="str">
            <v>8</v>
          </cell>
          <cell r="S334" t="str">
            <v>0</v>
          </cell>
          <cell r="T334" t="str">
            <v>1.5</v>
          </cell>
          <cell r="U334" t="str">
            <v>2.5</v>
          </cell>
          <cell r="V334">
            <v>500</v>
          </cell>
          <cell r="W334" t="str">
            <v>II</v>
          </cell>
          <cell r="X334" t="str">
            <v>Manufacturing</v>
          </cell>
          <cell r="Y334" t="str">
            <v>N/A</v>
          </cell>
          <cell r="Z334" t="str">
            <v>N/A</v>
          </cell>
          <cell r="AA334" t="str">
            <v>Towel Machine</v>
          </cell>
          <cell r="AB334" t="str">
            <v>Non-Sterile</v>
          </cell>
          <cell r="AC334" t="str">
            <v>N/A</v>
          </cell>
          <cell r="AG334" t="str">
            <v>N/A</v>
          </cell>
          <cell r="AH334" t="str">
            <v>N</v>
          </cell>
          <cell r="AI334" t="str">
            <v>LATEX FREE</v>
          </cell>
          <cell r="AJ334" t="str">
            <v>Current</v>
          </cell>
          <cell r="AK334" t="str">
            <v>N/A</v>
          </cell>
          <cell r="AL334" t="str">
            <v>N/A</v>
          </cell>
          <cell r="AM334" t="str">
            <v>N/A</v>
          </cell>
          <cell r="AN334" t="str">
            <v>N/A</v>
          </cell>
          <cell r="AO334" t="str">
            <v>LF6711CSL</v>
          </cell>
          <cell r="AP334" t="str">
            <v>N/A</v>
          </cell>
          <cell r="AS334" t="str">
            <v>N/A</v>
          </cell>
          <cell r="AT334" t="str">
            <v>N/A</v>
          </cell>
          <cell r="AU334" t="str">
            <v>N/A</v>
          </cell>
          <cell r="AV334" t="str">
            <v>6930A,2963A</v>
          </cell>
        </row>
        <row r="335">
          <cell r="A335">
            <v>6802</v>
          </cell>
          <cell r="B335" t="str">
            <v>Comp #</v>
          </cell>
          <cell r="C335" t="str">
            <v>18" x 26" Non-Absorbent Blue Utility Drape W/ Tape/500</v>
          </cell>
          <cell r="D335" t="str">
            <v>6802</v>
          </cell>
          <cell r="E335">
            <v>37420</v>
          </cell>
          <cell r="F335" t="str">
            <v>N/A</v>
          </cell>
          <cell r="K335" t="str">
            <v>S-4</v>
          </cell>
          <cell r="L335" t="str">
            <v>32</v>
          </cell>
          <cell r="P335" t="str">
            <v>32</v>
          </cell>
          <cell r="Q335" t="str">
            <v>N/A</v>
          </cell>
          <cell r="R335" t="str">
            <v>8</v>
          </cell>
          <cell r="S335" t="str">
            <v>0</v>
          </cell>
          <cell r="T335" t="str">
            <v>1.5</v>
          </cell>
          <cell r="U335" t="str">
            <v>2.5</v>
          </cell>
          <cell r="V335">
            <v>500</v>
          </cell>
          <cell r="W335" t="str">
            <v>II</v>
          </cell>
          <cell r="X335" t="str">
            <v>Manufacturing</v>
          </cell>
          <cell r="Y335" t="str">
            <v>N/A</v>
          </cell>
          <cell r="Z335" t="str">
            <v>N/A</v>
          </cell>
          <cell r="AA335" t="str">
            <v>Towel Machine</v>
          </cell>
          <cell r="AB335" t="str">
            <v>Non-Sterile</v>
          </cell>
          <cell r="AC335" t="str">
            <v>N/A</v>
          </cell>
          <cell r="AG335" t="str">
            <v>N/A</v>
          </cell>
          <cell r="AH335" t="str">
            <v>N</v>
          </cell>
          <cell r="AI335" t="str">
            <v>LATEX FREE</v>
          </cell>
          <cell r="AJ335" t="str">
            <v>Current</v>
          </cell>
          <cell r="AK335" t="str">
            <v>N/A</v>
          </cell>
          <cell r="AL335" t="str">
            <v>N/A</v>
          </cell>
          <cell r="AM335" t="str">
            <v>N/A</v>
          </cell>
          <cell r="AN335" t="str">
            <v>N/A</v>
          </cell>
          <cell r="AO335" t="str">
            <v>N/A</v>
          </cell>
          <cell r="AP335" t="str">
            <v>N/A</v>
          </cell>
          <cell r="AS335" t="str">
            <v>Reuse 6669</v>
          </cell>
          <cell r="AT335" t="str">
            <v>N/A</v>
          </cell>
          <cell r="AU335" t="str">
            <v>N/A</v>
          </cell>
          <cell r="AV335" t="str">
            <v>6831,6809-1,6/667,2963A</v>
          </cell>
        </row>
        <row r="336">
          <cell r="A336">
            <v>6808</v>
          </cell>
          <cell r="B336" t="str">
            <v>Cat#</v>
          </cell>
          <cell r="C336" t="str">
            <v>Bulk 18" x 26" Non-Absorbent Utility Drape/500</v>
          </cell>
          <cell r="D336" t="str">
            <v>6808</v>
          </cell>
          <cell r="E336">
            <v>37372</v>
          </cell>
          <cell r="F336" t="str">
            <v>N/A</v>
          </cell>
          <cell r="K336" t="str">
            <v>S-4</v>
          </cell>
          <cell r="L336" t="str">
            <v>32</v>
          </cell>
          <cell r="P336" t="str">
            <v>32</v>
          </cell>
          <cell r="Q336" t="str">
            <v>N/A</v>
          </cell>
          <cell r="R336" t="str">
            <v>8</v>
          </cell>
          <cell r="S336" t="str">
            <v>0</v>
          </cell>
          <cell r="T336" t="str">
            <v>1.5</v>
          </cell>
          <cell r="U336" t="str">
            <v>2.5</v>
          </cell>
          <cell r="V336">
            <v>500</v>
          </cell>
          <cell r="W336" t="str">
            <v>S-4</v>
          </cell>
          <cell r="X336" t="str">
            <v>Manufacturing</v>
          </cell>
          <cell r="Y336" t="str">
            <v>N/A</v>
          </cell>
          <cell r="Z336" t="str">
            <v>N/A</v>
          </cell>
          <cell r="AA336" t="str">
            <v>Towel Machine</v>
          </cell>
          <cell r="AB336" t="str">
            <v>Non-Sterile</v>
          </cell>
          <cell r="AC336" t="str">
            <v>N/A</v>
          </cell>
          <cell r="AG336" t="str">
            <v>N/A</v>
          </cell>
          <cell r="AH336" t="str">
            <v>N</v>
          </cell>
          <cell r="AI336" t="str">
            <v>LATEX FREE</v>
          </cell>
          <cell r="AJ336" t="str">
            <v>Current</v>
          </cell>
          <cell r="AK336" t="str">
            <v>N/A</v>
          </cell>
          <cell r="AL336" t="str">
            <v>N/A</v>
          </cell>
          <cell r="AM336" t="str">
            <v>N/A</v>
          </cell>
          <cell r="AN336" t="str">
            <v>N/A</v>
          </cell>
          <cell r="AO336" t="str">
            <v>LF6808CSL</v>
          </cell>
          <cell r="AP336" t="str">
            <v>N/A</v>
          </cell>
          <cell r="AS336" t="str">
            <v>N/A</v>
          </cell>
          <cell r="AT336" t="str">
            <v>N/A</v>
          </cell>
          <cell r="AU336" t="str">
            <v>N/A</v>
          </cell>
          <cell r="AV336" t="str">
            <v>6831,2963A</v>
          </cell>
        </row>
        <row r="337">
          <cell r="A337">
            <v>6810</v>
          </cell>
          <cell r="B337" t="str">
            <v>Cat#</v>
          </cell>
          <cell r="C337" t="str">
            <v>Bulk 18" x 26" Blue Utility Drape Towel/500</v>
          </cell>
          <cell r="D337" t="str">
            <v>6810</v>
          </cell>
          <cell r="E337">
            <v>37372</v>
          </cell>
          <cell r="F337" t="str">
            <v>N/A</v>
          </cell>
          <cell r="K337" t="str">
            <v>S-4</v>
          </cell>
          <cell r="L337" t="str">
            <v>32</v>
          </cell>
          <cell r="P337" t="str">
            <v>32</v>
          </cell>
          <cell r="Q337" t="str">
            <v>N/A</v>
          </cell>
          <cell r="R337" t="str">
            <v>8</v>
          </cell>
          <cell r="S337" t="str">
            <v>0</v>
          </cell>
          <cell r="T337" t="str">
            <v>1.5</v>
          </cell>
          <cell r="U337" t="str">
            <v>2.5</v>
          </cell>
          <cell r="V337">
            <v>500</v>
          </cell>
          <cell r="X337" t="str">
            <v>Manufacturing</v>
          </cell>
          <cell r="Y337" t="str">
            <v>N/A</v>
          </cell>
          <cell r="Z337" t="str">
            <v>N/A</v>
          </cell>
          <cell r="AA337" t="str">
            <v>Towel Machine</v>
          </cell>
          <cell r="AB337" t="str">
            <v>Non-Sterile</v>
          </cell>
          <cell r="AC337" t="str">
            <v>N/A</v>
          </cell>
          <cell r="AG337" t="str">
            <v>N/A</v>
          </cell>
          <cell r="AH337" t="str">
            <v>N</v>
          </cell>
          <cell r="AI337" t="str">
            <v>LATEX FREE</v>
          </cell>
          <cell r="AJ337" t="str">
            <v>Current</v>
          </cell>
          <cell r="AK337" t="str">
            <v>N/A</v>
          </cell>
          <cell r="AL337" t="str">
            <v>N/A</v>
          </cell>
          <cell r="AM337" t="str">
            <v>N/A</v>
          </cell>
          <cell r="AN337" t="str">
            <v>N/A</v>
          </cell>
          <cell r="AO337" t="str">
            <v>LF6810CSL</v>
          </cell>
          <cell r="AP337" t="str">
            <v>N/A</v>
          </cell>
          <cell r="AS337" t="str">
            <v>N/A</v>
          </cell>
          <cell r="AT337" t="str">
            <v>N/A</v>
          </cell>
          <cell r="AU337" t="str">
            <v>N/A</v>
          </cell>
          <cell r="AV337" t="str">
            <v>6831,2963A</v>
          </cell>
        </row>
        <row r="338">
          <cell r="A338">
            <v>6811</v>
          </cell>
          <cell r="B338" t="str">
            <v>Cat#</v>
          </cell>
          <cell r="C338" t="str">
            <v>Bulk 18" x 26" Blue Utility Drape W/3" Fen./500</v>
          </cell>
          <cell r="D338" t="str">
            <v>6811</v>
          </cell>
          <cell r="E338">
            <v>37420</v>
          </cell>
          <cell r="F338" t="str">
            <v>N/A</v>
          </cell>
          <cell r="K338" t="str">
            <v>S-4</v>
          </cell>
          <cell r="L338" t="str">
            <v>32</v>
          </cell>
          <cell r="P338" t="str">
            <v>32</v>
          </cell>
          <cell r="Q338" t="str">
            <v>N/A</v>
          </cell>
          <cell r="R338" t="str">
            <v>8</v>
          </cell>
          <cell r="S338" t="str">
            <v>0</v>
          </cell>
          <cell r="T338" t="str">
            <v>1.5</v>
          </cell>
          <cell r="U338" t="str">
            <v>2.5</v>
          </cell>
          <cell r="V338">
            <v>500</v>
          </cell>
          <cell r="W338" t="str">
            <v>S-4</v>
          </cell>
          <cell r="X338" t="str">
            <v>Manufacturing</v>
          </cell>
          <cell r="Y338" t="str">
            <v>N/A</v>
          </cell>
          <cell r="Z338" t="str">
            <v>N/A</v>
          </cell>
          <cell r="AA338" t="str">
            <v>Towel Machine</v>
          </cell>
          <cell r="AB338" t="str">
            <v>Non-Sterile</v>
          </cell>
          <cell r="AC338" t="str">
            <v>N/A</v>
          </cell>
          <cell r="AG338" t="str">
            <v>N/A</v>
          </cell>
          <cell r="AH338" t="str">
            <v>N</v>
          </cell>
          <cell r="AI338" t="str">
            <v>LATEX FREE</v>
          </cell>
          <cell r="AJ338" t="str">
            <v>Current</v>
          </cell>
          <cell r="AK338" t="str">
            <v>N/A</v>
          </cell>
          <cell r="AL338" t="str">
            <v>N/A</v>
          </cell>
          <cell r="AM338" t="str">
            <v>N/A</v>
          </cell>
          <cell r="AN338" t="str">
            <v>N/A</v>
          </cell>
          <cell r="AO338" t="str">
            <v>LF6811CSL</v>
          </cell>
          <cell r="AP338" t="str">
            <v>N/A</v>
          </cell>
          <cell r="AS338" t="str">
            <v>N/A</v>
          </cell>
          <cell r="AT338" t="str">
            <v>N/A</v>
          </cell>
          <cell r="AU338" t="str">
            <v>N/A</v>
          </cell>
          <cell r="AV338" t="str">
            <v>6831,2963A</v>
          </cell>
        </row>
        <row r="339">
          <cell r="A339">
            <v>6820</v>
          </cell>
          <cell r="B339" t="str">
            <v>Cat#</v>
          </cell>
          <cell r="C339" t="str">
            <v>18" x 26" Blue Drape W/ Tape/500</v>
          </cell>
          <cell r="D339" t="str">
            <v>6820</v>
          </cell>
          <cell r="E339">
            <v>37420</v>
          </cell>
          <cell r="F339" t="str">
            <v>N/A</v>
          </cell>
          <cell r="K339" t="str">
            <v>S-4</v>
          </cell>
          <cell r="L339" t="str">
            <v>32</v>
          </cell>
          <cell r="P339" t="str">
            <v>32</v>
          </cell>
          <cell r="Q339" t="str">
            <v>N/A</v>
          </cell>
          <cell r="R339" t="str">
            <v>8</v>
          </cell>
          <cell r="S339" t="str">
            <v>0</v>
          </cell>
          <cell r="T339" t="str">
            <v>1.5</v>
          </cell>
          <cell r="U339" t="str">
            <v>2.5</v>
          </cell>
          <cell r="V339">
            <v>500</v>
          </cell>
          <cell r="W339" t="str">
            <v>II</v>
          </cell>
          <cell r="X339" t="str">
            <v>Manufacturing</v>
          </cell>
          <cell r="Y339" t="str">
            <v>N/A</v>
          </cell>
          <cell r="Z339" t="str">
            <v>N/A</v>
          </cell>
          <cell r="AA339" t="str">
            <v>Towel Machine</v>
          </cell>
          <cell r="AB339" t="str">
            <v>Non-Sterile</v>
          </cell>
          <cell r="AC339" t="str">
            <v>N/A</v>
          </cell>
          <cell r="AG339" t="str">
            <v>N/A</v>
          </cell>
          <cell r="AH339" t="str">
            <v>N</v>
          </cell>
          <cell r="AI339" t="str">
            <v>LATEX FREE</v>
          </cell>
          <cell r="AJ339" t="str">
            <v>Current</v>
          </cell>
          <cell r="AK339" t="str">
            <v>N/A</v>
          </cell>
          <cell r="AL339" t="str">
            <v>N/A</v>
          </cell>
          <cell r="AM339" t="str">
            <v>N/A</v>
          </cell>
          <cell r="AN339" t="str">
            <v>N/A</v>
          </cell>
          <cell r="AO339" t="str">
            <v>LF6820CSL</v>
          </cell>
          <cell r="AP339" t="str">
            <v>N/A</v>
          </cell>
          <cell r="AS339" t="str">
            <v>N/A</v>
          </cell>
          <cell r="AT339" t="str">
            <v>N/A</v>
          </cell>
          <cell r="AU339" t="str">
            <v>N/A</v>
          </cell>
          <cell r="AV339" t="str">
            <v>6/667,6831,6809-1,2963A</v>
          </cell>
        </row>
        <row r="340">
          <cell r="A340">
            <v>6822</v>
          </cell>
          <cell r="B340" t="str">
            <v>Comp #</v>
          </cell>
          <cell r="C340" t="str">
            <v>Bulk 19.5" x 23" Blue Absorbent Kaycel Towel</v>
          </cell>
          <cell r="D340" t="str">
            <v>6822</v>
          </cell>
          <cell r="E340">
            <v>37420</v>
          </cell>
          <cell r="F340" t="str">
            <v>N/A</v>
          </cell>
          <cell r="K340" t="str">
            <v>S-4</v>
          </cell>
          <cell r="L340" t="str">
            <v>32</v>
          </cell>
          <cell r="P340" t="str">
            <v>32</v>
          </cell>
          <cell r="Q340" t="str">
            <v>N/A</v>
          </cell>
          <cell r="R340" t="str">
            <v>8</v>
          </cell>
          <cell r="S340" t="str">
            <v>0</v>
          </cell>
          <cell r="T340" t="str">
            <v>1.5</v>
          </cell>
          <cell r="U340" t="str">
            <v>2.5</v>
          </cell>
          <cell r="V340">
            <v>500</v>
          </cell>
          <cell r="W340" t="str">
            <v>S-4</v>
          </cell>
          <cell r="X340" t="str">
            <v>Manufacturing</v>
          </cell>
          <cell r="Y340" t="str">
            <v>N/A</v>
          </cell>
          <cell r="Z340" t="str">
            <v>N/A</v>
          </cell>
          <cell r="AA340" t="str">
            <v>Towel Machine</v>
          </cell>
          <cell r="AB340" t="str">
            <v>Non-Sterile</v>
          </cell>
          <cell r="AC340" t="str">
            <v>N/A</v>
          </cell>
          <cell r="AG340" t="str">
            <v>N/A</v>
          </cell>
          <cell r="AH340" t="str">
            <v>N</v>
          </cell>
          <cell r="AI340" t="str">
            <v>LATEX FREE</v>
          </cell>
          <cell r="AJ340" t="str">
            <v>Current</v>
          </cell>
          <cell r="AK340" t="str">
            <v>N/A</v>
          </cell>
          <cell r="AL340" t="str">
            <v>N/A</v>
          </cell>
          <cell r="AM340" t="str">
            <v>N/A</v>
          </cell>
          <cell r="AN340" t="str">
            <v>N/A</v>
          </cell>
          <cell r="AO340" t="str">
            <v>N/A</v>
          </cell>
          <cell r="AP340" t="str">
            <v>N/A</v>
          </cell>
          <cell r="AS340" t="str">
            <v>Reuse 6669</v>
          </cell>
          <cell r="AT340" t="str">
            <v>N/A</v>
          </cell>
          <cell r="AU340" t="str">
            <v>N/A</v>
          </cell>
          <cell r="AV340" t="str">
            <v>6930A,2963A</v>
          </cell>
        </row>
        <row r="341">
          <cell r="A341">
            <v>6935</v>
          </cell>
          <cell r="B341" t="str">
            <v>Cat#</v>
          </cell>
          <cell r="C341" t="str">
            <v>Bulk 19.5" x 28" Blue Absorbent Kaycel Towel/500</v>
          </cell>
          <cell r="D341" t="str">
            <v>6935</v>
          </cell>
          <cell r="E341">
            <v>37372</v>
          </cell>
          <cell r="F341" t="str">
            <v>N/A</v>
          </cell>
          <cell r="K341" t="str">
            <v>S-4</v>
          </cell>
          <cell r="L341" t="str">
            <v>32</v>
          </cell>
          <cell r="P341" t="str">
            <v>32</v>
          </cell>
          <cell r="Q341" t="str">
            <v>N/A</v>
          </cell>
          <cell r="R341" t="str">
            <v>8</v>
          </cell>
          <cell r="S341" t="str">
            <v>0</v>
          </cell>
          <cell r="T341" t="str">
            <v>1.5</v>
          </cell>
          <cell r="U341" t="str">
            <v>2.5</v>
          </cell>
          <cell r="V341" t="str">
            <v>500</v>
          </cell>
          <cell r="W341" t="str">
            <v>S-4</v>
          </cell>
          <cell r="X341" t="str">
            <v>Manufacturing</v>
          </cell>
          <cell r="Y341" t="str">
            <v>N/A</v>
          </cell>
          <cell r="Z341" t="str">
            <v>N/A</v>
          </cell>
          <cell r="AA341" t="str">
            <v>Towel Machine</v>
          </cell>
          <cell r="AB341" t="str">
            <v>Non-Sterile</v>
          </cell>
          <cell r="AC341" t="str">
            <v>N/A</v>
          </cell>
          <cell r="AG341" t="str">
            <v>N/A</v>
          </cell>
          <cell r="AH341" t="str">
            <v>N</v>
          </cell>
          <cell r="AI341" t="str">
            <v>LATEX FREE</v>
          </cell>
          <cell r="AJ341" t="str">
            <v>Current</v>
          </cell>
          <cell r="AK341" t="str">
            <v>N/A</v>
          </cell>
          <cell r="AL341" t="str">
            <v>N/A</v>
          </cell>
          <cell r="AM341" t="str">
            <v>N/A</v>
          </cell>
          <cell r="AN341" t="str">
            <v>N/A</v>
          </cell>
          <cell r="AO341" t="str">
            <v>LF6935CSL</v>
          </cell>
          <cell r="AP341" t="str">
            <v>N/A</v>
          </cell>
          <cell r="AS341" t="str">
            <v>N/A</v>
          </cell>
          <cell r="AT341" t="str">
            <v>N/A</v>
          </cell>
          <cell r="AU341" t="str">
            <v>N/A</v>
          </cell>
          <cell r="AV341" t="str">
            <v>6930A,2963A</v>
          </cell>
        </row>
        <row r="342">
          <cell r="A342">
            <v>6960</v>
          </cell>
          <cell r="B342" t="str">
            <v>Cat#</v>
          </cell>
          <cell r="C342" t="str">
            <v>Bulk 18" x 26" White/ White Towel/500</v>
          </cell>
          <cell r="D342" t="str">
            <v>6960</v>
          </cell>
          <cell r="E342">
            <v>36173</v>
          </cell>
          <cell r="F342" t="str">
            <v>N/A</v>
          </cell>
          <cell r="Q342" t="str">
            <v>N/A</v>
          </cell>
          <cell r="V342" t="str">
            <v>500</v>
          </cell>
          <cell r="W342" t="str">
            <v>II</v>
          </cell>
          <cell r="X342" t="str">
            <v>Manufacturing</v>
          </cell>
          <cell r="Y342" t="str">
            <v>N/A</v>
          </cell>
          <cell r="Z342" t="str">
            <v>N/A</v>
          </cell>
          <cell r="AA342" t="str">
            <v>Towel Machine</v>
          </cell>
          <cell r="AB342" t="str">
            <v>Non-Sterile</v>
          </cell>
          <cell r="AC342" t="str">
            <v>N/A</v>
          </cell>
          <cell r="AG342" t="str">
            <v>N/A</v>
          </cell>
          <cell r="AH342" t="str">
            <v>N</v>
          </cell>
          <cell r="AI342" t="str">
            <v>LATEX FREE</v>
          </cell>
          <cell r="AJ342" t="str">
            <v>Current</v>
          </cell>
          <cell r="AK342" t="str">
            <v>N/A</v>
          </cell>
          <cell r="AL342" t="str">
            <v>N/A</v>
          </cell>
          <cell r="AM342" t="str">
            <v>N/A</v>
          </cell>
          <cell r="AN342" t="str">
            <v>N/A</v>
          </cell>
          <cell r="AO342" t="str">
            <v>LF6960CSL</v>
          </cell>
          <cell r="AP342" t="str">
            <v>N/A</v>
          </cell>
          <cell r="AS342" t="str">
            <v>N/A</v>
          </cell>
          <cell r="AT342" t="str">
            <v>N/A</v>
          </cell>
          <cell r="AU342" t="str">
            <v>N/A</v>
          </cell>
          <cell r="AV342" t="str">
            <v xml:space="preserve">6961,6966A,2963A </v>
          </cell>
        </row>
        <row r="343">
          <cell r="A343">
            <v>6970</v>
          </cell>
          <cell r="B343" t="str">
            <v>Cat#</v>
          </cell>
          <cell r="C343" t="str">
            <v>Bulk 18" x 26" White/ White Towel W/ 3" Fen./500</v>
          </cell>
          <cell r="D343" t="str">
            <v>6970</v>
          </cell>
          <cell r="E343">
            <v>36073</v>
          </cell>
          <cell r="F343" t="str">
            <v>N/A</v>
          </cell>
          <cell r="Q343" t="str">
            <v>N/A</v>
          </cell>
          <cell r="V343" t="str">
            <v>500</v>
          </cell>
          <cell r="W343" t="str">
            <v>II</v>
          </cell>
          <cell r="X343" t="str">
            <v>Manufacturing</v>
          </cell>
          <cell r="Y343" t="str">
            <v>N/A</v>
          </cell>
          <cell r="Z343" t="str">
            <v>N/A</v>
          </cell>
          <cell r="AA343" t="str">
            <v>Towel Machine</v>
          </cell>
          <cell r="AB343" t="str">
            <v>Non-Sterile</v>
          </cell>
          <cell r="AC343" t="str">
            <v>N/A</v>
          </cell>
          <cell r="AG343" t="str">
            <v>N/A</v>
          </cell>
          <cell r="AH343" t="str">
            <v>N</v>
          </cell>
          <cell r="AI343" t="str">
            <v>LATEX FREE</v>
          </cell>
          <cell r="AJ343" t="str">
            <v>Current</v>
          </cell>
          <cell r="AK343" t="str">
            <v>N/A</v>
          </cell>
          <cell r="AL343" t="str">
            <v>N/A</v>
          </cell>
          <cell r="AM343" t="str">
            <v>N/A</v>
          </cell>
          <cell r="AN343" t="str">
            <v>N/A</v>
          </cell>
          <cell r="AO343" t="str">
            <v>LF6970CSL</v>
          </cell>
          <cell r="AP343" t="str">
            <v>N/A</v>
          </cell>
          <cell r="AS343" t="str">
            <v>N/A</v>
          </cell>
          <cell r="AT343" t="str">
            <v>N/A</v>
          </cell>
          <cell r="AU343" t="str">
            <v>N/A</v>
          </cell>
          <cell r="AV343" t="str">
            <v>6961,6966A,2963A</v>
          </cell>
        </row>
        <row r="344">
          <cell r="A344">
            <v>6980</v>
          </cell>
          <cell r="B344" t="str">
            <v>Cat#</v>
          </cell>
          <cell r="C344" t="str">
            <v>Bulk 18" x 26" Polylined Blue/White Towel/500</v>
          </cell>
          <cell r="E344">
            <v>36042</v>
          </cell>
          <cell r="F344" t="str">
            <v>N/A</v>
          </cell>
          <cell r="Q344" t="str">
            <v>N/A</v>
          </cell>
          <cell r="V344" t="str">
            <v>500</v>
          </cell>
          <cell r="X344" t="str">
            <v>Manufacturing</v>
          </cell>
          <cell r="Y344" t="str">
            <v>N/A</v>
          </cell>
          <cell r="Z344" t="str">
            <v>N/A</v>
          </cell>
          <cell r="AA344" t="str">
            <v>Towel Machine</v>
          </cell>
          <cell r="AB344" t="str">
            <v>Non-Sterile</v>
          </cell>
          <cell r="AC344" t="str">
            <v>N/A</v>
          </cell>
          <cell r="AG344" t="str">
            <v>N/A</v>
          </cell>
          <cell r="AH344" t="str">
            <v>N</v>
          </cell>
          <cell r="AI344" t="str">
            <v>LATEX FREE</v>
          </cell>
          <cell r="AJ344" t="str">
            <v>Current</v>
          </cell>
          <cell r="AK344" t="str">
            <v>N/A</v>
          </cell>
          <cell r="AL344" t="str">
            <v>N/A</v>
          </cell>
          <cell r="AM344" t="str">
            <v>N/A</v>
          </cell>
          <cell r="AN344" t="str">
            <v>N/A</v>
          </cell>
          <cell r="AO344" t="str">
            <v>LF6980CSL</v>
          </cell>
          <cell r="AP344" t="str">
            <v>N/A</v>
          </cell>
          <cell r="AS344" t="str">
            <v>N/A</v>
          </cell>
          <cell r="AT344" t="str">
            <v>N/A</v>
          </cell>
          <cell r="AU344" t="str">
            <v>N/A</v>
          </cell>
          <cell r="AV344" t="str">
            <v>6961,6962,6966A,2963A</v>
          </cell>
        </row>
        <row r="345">
          <cell r="A345">
            <v>6988</v>
          </cell>
          <cell r="B345" t="str">
            <v>Comp #</v>
          </cell>
          <cell r="C345" t="str">
            <v>18" x 26" Polylined White/ White Towel W/ 3" Fen. &amp; Patch/500</v>
          </cell>
          <cell r="D345" t="str">
            <v>6988</v>
          </cell>
          <cell r="E345">
            <v>37420</v>
          </cell>
          <cell r="F345" t="str">
            <v>N/A</v>
          </cell>
          <cell r="K345" t="str">
            <v>S-4</v>
          </cell>
          <cell r="L345" t="str">
            <v>32</v>
          </cell>
          <cell r="P345" t="str">
            <v>32</v>
          </cell>
          <cell r="Q345" t="str">
            <v>N/A</v>
          </cell>
          <cell r="R345" t="str">
            <v>8</v>
          </cell>
          <cell r="S345" t="str">
            <v>0</v>
          </cell>
          <cell r="T345" t="str">
            <v>1.5</v>
          </cell>
          <cell r="U345" t="str">
            <v>2.5</v>
          </cell>
          <cell r="V345" t="str">
            <v>500</v>
          </cell>
          <cell r="X345" t="str">
            <v>Manufacturing</v>
          </cell>
          <cell r="Y345" t="str">
            <v>N/A</v>
          </cell>
          <cell r="Z345" t="str">
            <v>N/A</v>
          </cell>
          <cell r="AA345" t="str">
            <v>Towel Machine</v>
          </cell>
          <cell r="AB345" t="str">
            <v>Non-Sterile</v>
          </cell>
          <cell r="AC345" t="str">
            <v>N/A</v>
          </cell>
          <cell r="AG345" t="str">
            <v>N/A</v>
          </cell>
          <cell r="AH345" t="str">
            <v>N</v>
          </cell>
          <cell r="AI345" t="str">
            <v>LATEX FREE</v>
          </cell>
          <cell r="AJ345" t="str">
            <v>Current</v>
          </cell>
          <cell r="AK345" t="str">
            <v>N/A</v>
          </cell>
          <cell r="AL345" t="str">
            <v>N/A</v>
          </cell>
          <cell r="AM345" t="str">
            <v>N/A</v>
          </cell>
          <cell r="AN345" t="str">
            <v>N/A</v>
          </cell>
          <cell r="AO345" t="str">
            <v>N/A</v>
          </cell>
          <cell r="AP345" t="str">
            <v>N/A</v>
          </cell>
          <cell r="AS345" t="str">
            <v>Unprinted 6923A-1</v>
          </cell>
          <cell r="AT345" t="str">
            <v>N/A</v>
          </cell>
          <cell r="AU345" t="str">
            <v>N/A</v>
          </cell>
          <cell r="AV345" t="str">
            <v>6961,6841C,6966A,6934</v>
          </cell>
        </row>
        <row r="346">
          <cell r="A346" t="str">
            <v>6999</v>
          </cell>
          <cell r="B346" t="str">
            <v>Cat #</v>
          </cell>
          <cell r="C346" t="str">
            <v xml:space="preserve">19 1/2" x 23" Non-Sterile White Absorbent Kaycel Towel/500 </v>
          </cell>
          <cell r="D346" t="str">
            <v>6999</v>
          </cell>
          <cell r="E346">
            <v>35891</v>
          </cell>
          <cell r="F346" t="str">
            <v>N/A</v>
          </cell>
          <cell r="K346" t="str">
            <v>S-4</v>
          </cell>
          <cell r="L346" t="str">
            <v>32</v>
          </cell>
          <cell r="P346" t="str">
            <v>32</v>
          </cell>
          <cell r="Q346" t="str">
            <v>N/A</v>
          </cell>
          <cell r="R346" t="str">
            <v>8</v>
          </cell>
          <cell r="S346" t="str">
            <v>0</v>
          </cell>
          <cell r="T346" t="str">
            <v>1.5</v>
          </cell>
          <cell r="U346" t="str">
            <v>2.5</v>
          </cell>
        </row>
        <row r="347">
          <cell r="A347">
            <v>7006</v>
          </cell>
          <cell r="B347" t="str">
            <v>Cat#</v>
          </cell>
          <cell r="C347" t="str">
            <v>54" x 108" Adult Shroud Kit/ GM#25-700/10</v>
          </cell>
          <cell r="D347" t="str">
            <v>700 ETAL</v>
          </cell>
          <cell r="E347">
            <v>36563</v>
          </cell>
          <cell r="F347" t="str">
            <v>25-700</v>
          </cell>
          <cell r="K347" t="str">
            <v>S-4</v>
          </cell>
          <cell r="P347" t="str">
            <v>N/A</v>
          </cell>
          <cell r="Q347" t="str">
            <v>N/A</v>
          </cell>
          <cell r="R347" t="str">
            <v>8</v>
          </cell>
          <cell r="S347" t="str">
            <v>0</v>
          </cell>
          <cell r="T347" t="str">
            <v>1.5</v>
          </cell>
          <cell r="U347" t="str">
            <v>2.5</v>
          </cell>
          <cell r="V347">
            <v>10</v>
          </cell>
          <cell r="X347" t="str">
            <v>Manufacturing</v>
          </cell>
          <cell r="Y347" t="str">
            <v>N/A</v>
          </cell>
          <cell r="Z347" t="str">
            <v>N/A</v>
          </cell>
          <cell r="AA347" t="str">
            <v>Shroud Area</v>
          </cell>
          <cell r="AB347" t="str">
            <v>Non-Sterile</v>
          </cell>
          <cell r="AC347" t="str">
            <v>N/A</v>
          </cell>
          <cell r="AG347" t="str">
            <v>N/A</v>
          </cell>
          <cell r="AH347" t="str">
            <v>N</v>
          </cell>
          <cell r="AI347" t="str">
            <v>LATEX FREE</v>
          </cell>
          <cell r="AJ347" t="str">
            <v>Current</v>
          </cell>
          <cell r="AK347" t="str">
            <v>N/A</v>
          </cell>
          <cell r="AL347" t="str">
            <v>N/A</v>
          </cell>
          <cell r="AM347" t="str">
            <v>N/A</v>
          </cell>
          <cell r="AN347" t="str">
            <v>N/A</v>
          </cell>
          <cell r="AO347" t="str">
            <v>7004</v>
          </cell>
          <cell r="AP347" t="str">
            <v>N/A</v>
          </cell>
          <cell r="AS347" t="str">
            <v>7008</v>
          </cell>
          <cell r="AT347" t="str">
            <v>N/A</v>
          </cell>
          <cell r="AU347" t="str">
            <v>N/A</v>
          </cell>
          <cell r="AV347" t="str">
            <v>7251C,725GM</v>
          </cell>
        </row>
        <row r="348">
          <cell r="A348">
            <v>7009</v>
          </cell>
          <cell r="B348" t="str">
            <v>Cat#</v>
          </cell>
          <cell r="C348" t="str">
            <v>54" x 108" Adult Shroud Kit/ Ing&amp;Bell #5-222/10</v>
          </cell>
          <cell r="D348" t="str">
            <v>700 ETAL</v>
          </cell>
          <cell r="E348">
            <v>36563</v>
          </cell>
          <cell r="F348" t="str">
            <v>5-222</v>
          </cell>
          <cell r="K348" t="str">
            <v>S-4</v>
          </cell>
          <cell r="P348" t="str">
            <v>N/A</v>
          </cell>
          <cell r="Q348" t="str">
            <v>N/A</v>
          </cell>
          <cell r="R348" t="str">
            <v>8</v>
          </cell>
          <cell r="S348" t="str">
            <v>0</v>
          </cell>
          <cell r="T348" t="str">
            <v>1.5</v>
          </cell>
          <cell r="U348" t="str">
            <v>2.5</v>
          </cell>
          <cell r="V348">
            <v>10</v>
          </cell>
          <cell r="X348" t="str">
            <v>Manufacturing</v>
          </cell>
          <cell r="Y348" t="str">
            <v>N/A</v>
          </cell>
          <cell r="Z348" t="str">
            <v>N/A</v>
          </cell>
          <cell r="AA348" t="str">
            <v>Shroud Area</v>
          </cell>
          <cell r="AB348" t="str">
            <v>Non-Sterile</v>
          </cell>
          <cell r="AC348" t="str">
            <v>N/A</v>
          </cell>
          <cell r="AG348" t="str">
            <v>N/A</v>
          </cell>
          <cell r="AH348" t="str">
            <v>N</v>
          </cell>
          <cell r="AI348" t="str">
            <v>LATEX FREE</v>
          </cell>
          <cell r="AJ348" t="str">
            <v>Current</v>
          </cell>
          <cell r="AK348" t="str">
            <v>N/A</v>
          </cell>
          <cell r="AL348" t="str">
            <v>N/A</v>
          </cell>
          <cell r="AM348" t="str">
            <v>N/A</v>
          </cell>
          <cell r="AN348" t="str">
            <v>N/A</v>
          </cell>
          <cell r="AO348" t="str">
            <v>7009B</v>
          </cell>
          <cell r="AP348" t="str">
            <v>N/A</v>
          </cell>
          <cell r="AS348" t="str">
            <v>7009A</v>
          </cell>
          <cell r="AT348" t="str">
            <v>N/A</v>
          </cell>
          <cell r="AU348" t="str">
            <v>N/A</v>
          </cell>
          <cell r="AV348" t="str">
            <v>7251C,1744BH</v>
          </cell>
        </row>
        <row r="349">
          <cell r="A349">
            <v>7092</v>
          </cell>
          <cell r="B349" t="str">
            <v>Comp #</v>
          </cell>
          <cell r="C349" t="str">
            <v>18" x 26" Blue/White Polyined Towel</v>
          </cell>
          <cell r="D349" t="str">
            <v>5116 ETAL</v>
          </cell>
          <cell r="E349">
            <v>37420</v>
          </cell>
          <cell r="F349" t="str">
            <v>N/A</v>
          </cell>
          <cell r="K349" t="str">
            <v>S-4</v>
          </cell>
          <cell r="L349" t="str">
            <v>32</v>
          </cell>
          <cell r="P349" t="str">
            <v>32</v>
          </cell>
          <cell r="Q349" t="str">
            <v>N/A</v>
          </cell>
          <cell r="R349" t="str">
            <v>8</v>
          </cell>
          <cell r="S349" t="str">
            <v>0</v>
          </cell>
          <cell r="T349" t="str">
            <v>1.5</v>
          </cell>
          <cell r="U349" t="str">
            <v>2.5</v>
          </cell>
          <cell r="V349" t="str">
            <v>500</v>
          </cell>
          <cell r="W349" t="str">
            <v>S-4</v>
          </cell>
          <cell r="X349" t="str">
            <v>Manufacturing</v>
          </cell>
          <cell r="Y349" t="str">
            <v>N/A</v>
          </cell>
          <cell r="Z349" t="str">
            <v>N/A</v>
          </cell>
          <cell r="AA349" t="str">
            <v>Towel Machine</v>
          </cell>
          <cell r="AB349" t="str">
            <v>Non-Sterile</v>
          </cell>
          <cell r="AC349" t="str">
            <v>N/A</v>
          </cell>
          <cell r="AG349" t="str">
            <v>N/A</v>
          </cell>
          <cell r="AH349" t="str">
            <v>N</v>
          </cell>
          <cell r="AI349" t="str">
            <v>LATEX FREE</v>
          </cell>
          <cell r="AJ349" t="str">
            <v>Current</v>
          </cell>
          <cell r="AK349" t="str">
            <v>N/A</v>
          </cell>
          <cell r="AL349" t="str">
            <v>N/A</v>
          </cell>
          <cell r="AM349" t="str">
            <v>N/A</v>
          </cell>
          <cell r="AN349" t="str">
            <v>N/A</v>
          </cell>
          <cell r="AO349" t="str">
            <v>N/A</v>
          </cell>
          <cell r="AP349" t="str">
            <v>N/A</v>
          </cell>
          <cell r="AS349" t="str">
            <v>Reuse 6669</v>
          </cell>
          <cell r="AT349" t="str">
            <v>N/A</v>
          </cell>
          <cell r="AU349" t="str">
            <v>N/A</v>
          </cell>
          <cell r="AV349" t="str">
            <v>6961,6962,6966A,2963A</v>
          </cell>
        </row>
        <row r="350">
          <cell r="A350">
            <v>7114</v>
          </cell>
          <cell r="B350" t="str">
            <v>Comp #</v>
          </cell>
          <cell r="C350" t="str">
            <v>16" x 18" Blue/White Polylined Towel</v>
          </cell>
          <cell r="D350" t="str">
            <v>5116 ETAL</v>
          </cell>
          <cell r="E350">
            <v>37420</v>
          </cell>
          <cell r="F350" t="str">
            <v>N/A</v>
          </cell>
          <cell r="K350" t="str">
            <v>S-4</v>
          </cell>
          <cell r="L350" t="str">
            <v>32</v>
          </cell>
          <cell r="P350" t="str">
            <v>32</v>
          </cell>
          <cell r="Q350" t="str">
            <v>N/A</v>
          </cell>
          <cell r="R350" t="str">
            <v>8</v>
          </cell>
          <cell r="S350" t="str">
            <v>0</v>
          </cell>
          <cell r="T350" t="str">
            <v>1.5</v>
          </cell>
          <cell r="U350" t="str">
            <v>2.5</v>
          </cell>
          <cell r="V350" t="str">
            <v>750</v>
          </cell>
          <cell r="W350" t="str">
            <v>S-4</v>
          </cell>
          <cell r="X350" t="str">
            <v>Manufacturing</v>
          </cell>
          <cell r="Y350" t="str">
            <v>N/A</v>
          </cell>
          <cell r="Z350" t="str">
            <v>N/A</v>
          </cell>
          <cell r="AA350" t="str">
            <v>Towel Machine</v>
          </cell>
          <cell r="AB350" t="str">
            <v>Non-Sterile</v>
          </cell>
          <cell r="AC350" t="str">
            <v>N/A</v>
          </cell>
          <cell r="AG350" t="str">
            <v>N/A</v>
          </cell>
          <cell r="AH350" t="str">
            <v>N</v>
          </cell>
          <cell r="AI350" t="str">
            <v>LATEX FREE</v>
          </cell>
          <cell r="AJ350" t="str">
            <v>Current</v>
          </cell>
          <cell r="AK350" t="str">
            <v>N/A</v>
          </cell>
          <cell r="AL350" t="str">
            <v>N/A</v>
          </cell>
          <cell r="AM350" t="str">
            <v>N/A</v>
          </cell>
          <cell r="AN350" t="str">
            <v>N/A</v>
          </cell>
          <cell r="AO350" t="str">
            <v>N/A</v>
          </cell>
          <cell r="AP350" t="str">
            <v>N/A</v>
          </cell>
          <cell r="AS350" t="str">
            <v>Reuse 6669</v>
          </cell>
          <cell r="AT350" t="str">
            <v>N/A</v>
          </cell>
          <cell r="AU350" t="str">
            <v>N/A</v>
          </cell>
          <cell r="AV350" t="str">
            <v>6961,6962,6966A,2963A</v>
          </cell>
        </row>
        <row r="351">
          <cell r="A351">
            <v>7192</v>
          </cell>
          <cell r="B351" t="str">
            <v>Comp #</v>
          </cell>
          <cell r="C351" t="str">
            <v>Black Posi-Grip Forceps/2000</v>
          </cell>
          <cell r="D351" t="str">
            <v>1420A ETAL</v>
          </cell>
          <cell r="E351">
            <v>37602</v>
          </cell>
          <cell r="F351" t="str">
            <v>N/A</v>
          </cell>
          <cell r="K351" t="str">
            <v>S-4</v>
          </cell>
          <cell r="L351" t="str">
            <v>N/A</v>
          </cell>
          <cell r="P351" t="str">
            <v>N/A</v>
          </cell>
          <cell r="Q351" t="str">
            <v>N/A</v>
          </cell>
          <cell r="R351" t="str">
            <v>8</v>
          </cell>
          <cell r="S351" t="str">
            <v>0</v>
          </cell>
          <cell r="T351" t="str">
            <v>1.5</v>
          </cell>
          <cell r="U351" t="str">
            <v>2.5</v>
          </cell>
          <cell r="V351" t="str">
            <v>2000</v>
          </cell>
          <cell r="W351" t="str">
            <v>S-4</v>
          </cell>
          <cell r="X351" t="str">
            <v>Injection Molding</v>
          </cell>
          <cell r="Y351" t="str">
            <v>N/A</v>
          </cell>
          <cell r="Z351" t="str">
            <v>N/A</v>
          </cell>
          <cell r="AA351" t="str">
            <v>Arburg</v>
          </cell>
          <cell r="AB351" t="str">
            <v>Non-Sterile</v>
          </cell>
          <cell r="AC351" t="str">
            <v>N/A</v>
          </cell>
          <cell r="AG351" t="str">
            <v>N/A</v>
          </cell>
          <cell r="AH351" t="str">
            <v>Y</v>
          </cell>
          <cell r="AI351" t="str">
            <v>LATEX FREE</v>
          </cell>
          <cell r="AJ351" t="str">
            <v>Current</v>
          </cell>
          <cell r="AK351" t="str">
            <v>N/A</v>
          </cell>
          <cell r="AL351" t="str">
            <v>N/A</v>
          </cell>
          <cell r="AM351" t="str">
            <v>N/A</v>
          </cell>
          <cell r="AN351" t="str">
            <v>N/A</v>
          </cell>
          <cell r="AO351" t="str">
            <v>N/A</v>
          </cell>
          <cell r="AP351" t="str">
            <v>N/A</v>
          </cell>
          <cell r="AS351" t="str">
            <v>Reuse 7192DC 10x</v>
          </cell>
          <cell r="AT351" t="str">
            <v>N/A</v>
          </cell>
          <cell r="AU351" t="str">
            <v>N/A</v>
          </cell>
          <cell r="AV351" t="str">
            <v>7192GP,6934</v>
          </cell>
        </row>
        <row r="352">
          <cell r="A352" t="str">
            <v>7195</v>
          </cell>
          <cell r="B352" t="str">
            <v>Cat#</v>
          </cell>
          <cell r="C352" t="str">
            <v>Black Plastic Posi-Grip Forceps/200</v>
          </cell>
          <cell r="D352" t="str">
            <v>7195</v>
          </cell>
          <cell r="E352">
            <v>36171</v>
          </cell>
          <cell r="F352" t="str">
            <v>N/A</v>
          </cell>
          <cell r="K352" t="str">
            <v>S-4</v>
          </cell>
          <cell r="L352" t="str">
            <v>N/A</v>
          </cell>
          <cell r="P352" t="str">
            <v>N/A</v>
          </cell>
          <cell r="Q352" t="str">
            <v>N/A</v>
          </cell>
          <cell r="R352" t="str">
            <v>8</v>
          </cell>
          <cell r="S352" t="str">
            <v>0</v>
          </cell>
          <cell r="T352" t="str">
            <v>1.5</v>
          </cell>
          <cell r="U352" t="str">
            <v>2.5</v>
          </cell>
          <cell r="V352" t="str">
            <v>200</v>
          </cell>
          <cell r="W352" t="str">
            <v>II</v>
          </cell>
          <cell r="X352" t="str">
            <v>Injection Molding</v>
          </cell>
          <cell r="Y352" t="str">
            <v>N/A</v>
          </cell>
          <cell r="Z352" t="str">
            <v>N/A</v>
          </cell>
          <cell r="AA352" t="str">
            <v>Arburg</v>
          </cell>
          <cell r="AB352" t="str">
            <v>Non-Sterile</v>
          </cell>
          <cell r="AC352" t="str">
            <v>N/A</v>
          </cell>
          <cell r="AG352" t="str">
            <v>N/A</v>
          </cell>
          <cell r="AH352" t="str">
            <v>N</v>
          </cell>
          <cell r="AI352" t="str">
            <v>LATEX FREE</v>
          </cell>
          <cell r="AJ352" t="str">
            <v>Current</v>
          </cell>
          <cell r="AK352" t="str">
            <v>N/A</v>
          </cell>
          <cell r="AL352" t="str">
            <v>N/A</v>
          </cell>
          <cell r="AM352" t="str">
            <v>N/A</v>
          </cell>
          <cell r="AN352" t="str">
            <v>N/A</v>
          </cell>
          <cell r="AO352" t="str">
            <v>LF7195SL</v>
          </cell>
          <cell r="AP352" t="str">
            <v>N/A</v>
          </cell>
          <cell r="AS352" t="str">
            <v>N/A</v>
          </cell>
          <cell r="AT352" t="str">
            <v>N/A</v>
          </cell>
          <cell r="AU352" t="str">
            <v>7192,3173</v>
          </cell>
          <cell r="AV352" t="str">
            <v>N/A</v>
          </cell>
        </row>
        <row r="353">
          <cell r="A353">
            <v>7197</v>
          </cell>
          <cell r="B353" t="str">
            <v>Cat#</v>
          </cell>
          <cell r="C353" t="str">
            <v>Bulk Black Plastic Posi-Grip Forceps/2000</v>
          </cell>
          <cell r="D353" t="str">
            <v>402 ETAL</v>
          </cell>
          <cell r="E353">
            <v>37307</v>
          </cell>
          <cell r="F353" t="str">
            <v>N/A</v>
          </cell>
          <cell r="K353" t="str">
            <v>S-4</v>
          </cell>
          <cell r="L353" t="str">
            <v>N/A</v>
          </cell>
          <cell r="P353" t="str">
            <v>N/A</v>
          </cell>
          <cell r="Q353" t="str">
            <v>N/A</v>
          </cell>
          <cell r="R353" t="str">
            <v>8</v>
          </cell>
          <cell r="S353" t="str">
            <v>0</v>
          </cell>
          <cell r="T353" t="str">
            <v>1.5</v>
          </cell>
          <cell r="U353" t="str">
            <v>2.5</v>
          </cell>
          <cell r="V353" t="str">
            <v>2000</v>
          </cell>
          <cell r="W353" t="str">
            <v>II</v>
          </cell>
          <cell r="X353" t="str">
            <v>Injection Molding</v>
          </cell>
          <cell r="Y353" t="str">
            <v>N/A</v>
          </cell>
          <cell r="Z353" t="str">
            <v>N/A</v>
          </cell>
          <cell r="AA353" t="str">
            <v>Arburg</v>
          </cell>
          <cell r="AB353" t="str">
            <v>Non-Sterile</v>
          </cell>
          <cell r="AC353" t="str">
            <v>N/A</v>
          </cell>
          <cell r="AG353" t="str">
            <v>N/A</v>
          </cell>
          <cell r="AH353" t="str">
            <v>Y</v>
          </cell>
          <cell r="AI353" t="str">
            <v>LATEX FREE</v>
          </cell>
          <cell r="AJ353" t="str">
            <v>Current</v>
          </cell>
          <cell r="AK353" t="str">
            <v>N/A</v>
          </cell>
          <cell r="AL353" t="str">
            <v>N/A</v>
          </cell>
          <cell r="AM353" t="str">
            <v>N/A</v>
          </cell>
          <cell r="AN353" t="str">
            <v>N/A</v>
          </cell>
          <cell r="AO353" t="str">
            <v>LF7197SL</v>
          </cell>
          <cell r="AP353" t="str">
            <v>REV A</v>
          </cell>
          <cell r="AS353" t="str">
            <v>N/A</v>
          </cell>
          <cell r="AT353" t="str">
            <v>N/A</v>
          </cell>
          <cell r="AU353" t="str">
            <v>7192,6934</v>
          </cell>
          <cell r="AV353" t="str">
            <v>N/A</v>
          </cell>
        </row>
        <row r="354">
          <cell r="A354" t="str">
            <v>7250B</v>
          </cell>
          <cell r="B354" t="str">
            <v>Comp #</v>
          </cell>
          <cell r="C354" t="str">
            <v>Adult Shroud Sheet 54"x 108"</v>
          </cell>
          <cell r="D354" t="str">
            <v>700 ETAL</v>
          </cell>
          <cell r="E354">
            <v>36563</v>
          </cell>
          <cell r="F354" t="str">
            <v>N/A</v>
          </cell>
          <cell r="K354" t="str">
            <v>S-4</v>
          </cell>
          <cell r="L354" t="str">
            <v>N/A</v>
          </cell>
          <cell r="P354" t="str">
            <v>N/A</v>
          </cell>
          <cell r="Q354" t="str">
            <v>N/A</v>
          </cell>
          <cell r="R354" t="str">
            <v>8</v>
          </cell>
          <cell r="S354" t="str">
            <v>0</v>
          </cell>
          <cell r="T354" t="str">
            <v>1.5</v>
          </cell>
          <cell r="U354" t="str">
            <v>2.5</v>
          </cell>
          <cell r="X354" t="str">
            <v>Manufacturing</v>
          </cell>
          <cell r="Y354" t="str">
            <v>N/A</v>
          </cell>
          <cell r="Z354" t="str">
            <v>N/A</v>
          </cell>
          <cell r="AA354" t="str">
            <v>Shroud Area</v>
          </cell>
          <cell r="AB354" t="str">
            <v>Non-Sterile</v>
          </cell>
          <cell r="AC354" t="str">
            <v>N/A</v>
          </cell>
          <cell r="AG354" t="str">
            <v>N/A</v>
          </cell>
          <cell r="AH354" t="str">
            <v>N</v>
          </cell>
          <cell r="AI354" t="str">
            <v>LATEX FREE</v>
          </cell>
          <cell r="AJ354" t="str">
            <v>Discontinued</v>
          </cell>
          <cell r="AK354" t="str">
            <v>N/A</v>
          </cell>
          <cell r="AL354" t="str">
            <v>N/A</v>
          </cell>
          <cell r="AM354" t="str">
            <v>N/A</v>
          </cell>
          <cell r="AN354" t="str">
            <v>N/A</v>
          </cell>
          <cell r="AO354" t="str">
            <v>N/A</v>
          </cell>
          <cell r="AP354" t="str">
            <v>N/A</v>
          </cell>
          <cell r="AS354" t="str">
            <v>N/A</v>
          </cell>
          <cell r="AT354" t="str">
            <v>N/A</v>
          </cell>
          <cell r="AU354" t="str">
            <v>N/A</v>
          </cell>
          <cell r="AV354" t="str">
            <v>7250A</v>
          </cell>
        </row>
        <row r="355">
          <cell r="A355">
            <v>7286</v>
          </cell>
          <cell r="B355" t="str">
            <v>Cat#</v>
          </cell>
          <cell r="C355" t="str">
            <v>72"x 108" XL Shroud Kit/ GM# 25-727/10</v>
          </cell>
          <cell r="D355" t="str">
            <v>700 ETAL</v>
          </cell>
          <cell r="E355">
            <v>36563</v>
          </cell>
          <cell r="F355" t="str">
            <v>25-727</v>
          </cell>
          <cell r="K355" t="str">
            <v>S-4</v>
          </cell>
          <cell r="L355" t="str">
            <v>N/A</v>
          </cell>
          <cell r="P355" t="str">
            <v>N/A</v>
          </cell>
          <cell r="Q355" t="str">
            <v>N/A</v>
          </cell>
          <cell r="R355" t="str">
            <v>8</v>
          </cell>
          <cell r="S355" t="str">
            <v>0</v>
          </cell>
          <cell r="T355" t="str">
            <v>1.5</v>
          </cell>
          <cell r="U355" t="str">
            <v>2.5</v>
          </cell>
          <cell r="V355">
            <v>10</v>
          </cell>
          <cell r="X355" t="str">
            <v>Manufacturing</v>
          </cell>
          <cell r="Y355" t="str">
            <v>N/A</v>
          </cell>
          <cell r="Z355" t="str">
            <v>N/A</v>
          </cell>
          <cell r="AA355" t="str">
            <v>Shroud Area</v>
          </cell>
          <cell r="AB355" t="str">
            <v>Non-Sterile</v>
          </cell>
          <cell r="AC355" t="str">
            <v>N/A</v>
          </cell>
          <cell r="AG355" t="str">
            <v>N/A</v>
          </cell>
          <cell r="AH355" t="str">
            <v>N</v>
          </cell>
          <cell r="AI355" t="str">
            <v>LATEX FREE</v>
          </cell>
          <cell r="AJ355" t="str">
            <v>Current</v>
          </cell>
          <cell r="AK355" t="str">
            <v>N/A</v>
          </cell>
          <cell r="AL355" t="str">
            <v>N/A</v>
          </cell>
          <cell r="AM355" t="str">
            <v>N/A</v>
          </cell>
          <cell r="AN355" t="str">
            <v>N/A</v>
          </cell>
          <cell r="AO355" t="str">
            <v>7283</v>
          </cell>
          <cell r="AP355" t="str">
            <v>N/A</v>
          </cell>
          <cell r="AS355" t="str">
            <v>7281</v>
          </cell>
          <cell r="AT355" t="str">
            <v>N/A</v>
          </cell>
          <cell r="AU355" t="str">
            <v>7271C,725GM</v>
          </cell>
          <cell r="AV355" t="str">
            <v>N/A</v>
          </cell>
        </row>
        <row r="356">
          <cell r="A356">
            <v>7289</v>
          </cell>
          <cell r="B356" t="str">
            <v>Cat#</v>
          </cell>
          <cell r="C356" t="str">
            <v>72" x 108" XL Shroud Kit/ Ing&amp;Bell# 5-223/10</v>
          </cell>
          <cell r="D356" t="str">
            <v>700 ETAL</v>
          </cell>
          <cell r="E356">
            <v>36563</v>
          </cell>
          <cell r="F356" t="str">
            <v>5-223</v>
          </cell>
          <cell r="K356" t="str">
            <v>S-4</v>
          </cell>
          <cell r="L356" t="str">
            <v>N/A</v>
          </cell>
          <cell r="P356" t="str">
            <v>N/A</v>
          </cell>
          <cell r="Q356" t="str">
            <v>N/A</v>
          </cell>
          <cell r="R356" t="str">
            <v>8</v>
          </cell>
          <cell r="S356" t="str">
            <v>0</v>
          </cell>
          <cell r="T356" t="str">
            <v>1.5</v>
          </cell>
          <cell r="U356" t="str">
            <v>2.5</v>
          </cell>
          <cell r="V356">
            <v>10</v>
          </cell>
          <cell r="X356" t="str">
            <v>Manufacturing</v>
          </cell>
          <cell r="Y356" t="str">
            <v>N/A</v>
          </cell>
          <cell r="Z356" t="str">
            <v>N/A</v>
          </cell>
          <cell r="AA356" t="str">
            <v>Shroud Area</v>
          </cell>
          <cell r="AB356" t="str">
            <v>Non-Sterile</v>
          </cell>
          <cell r="AC356" t="str">
            <v>N/A</v>
          </cell>
          <cell r="AG356" t="str">
            <v>N/A</v>
          </cell>
          <cell r="AH356" t="str">
            <v>N</v>
          </cell>
          <cell r="AI356" t="str">
            <v>LATEX FREE</v>
          </cell>
          <cell r="AJ356" t="str">
            <v>Current</v>
          </cell>
          <cell r="AK356" t="str">
            <v>N/A</v>
          </cell>
          <cell r="AL356" t="str">
            <v>N/A</v>
          </cell>
          <cell r="AM356" t="str">
            <v>N/A</v>
          </cell>
          <cell r="AN356" t="str">
            <v>N/A</v>
          </cell>
          <cell r="AO356" t="str">
            <v>7289B</v>
          </cell>
          <cell r="AP356" t="str">
            <v>N/A</v>
          </cell>
          <cell r="AS356" t="str">
            <v>7289A</v>
          </cell>
          <cell r="AT356" t="str">
            <v>N/A</v>
          </cell>
          <cell r="AU356" t="str">
            <v>7271C,1744BH</v>
          </cell>
          <cell r="AV356" t="str">
            <v>N/A</v>
          </cell>
        </row>
        <row r="357">
          <cell r="A357">
            <v>7324</v>
          </cell>
          <cell r="B357" t="str">
            <v>Comp #</v>
          </cell>
          <cell r="C357" t="str">
            <v>Stitch Cutter W/ Grip</v>
          </cell>
          <cell r="D357" t="str">
            <v>7324</v>
          </cell>
          <cell r="E357">
            <v>36628</v>
          </cell>
          <cell r="F357" t="str">
            <v>N/A</v>
          </cell>
          <cell r="K357" t="str">
            <v>S-4</v>
          </cell>
          <cell r="L357" t="str">
            <v>N/A</v>
          </cell>
          <cell r="P357" t="str">
            <v>20</v>
          </cell>
          <cell r="Q357" t="str">
            <v>N/A</v>
          </cell>
          <cell r="V357">
            <v>1</v>
          </cell>
          <cell r="W357" t="str">
            <v>S-4</v>
          </cell>
          <cell r="X357" t="str">
            <v>Manufacturing</v>
          </cell>
          <cell r="Y357" t="str">
            <v>N/A</v>
          </cell>
          <cell r="Z357" t="str">
            <v>N/A</v>
          </cell>
          <cell r="AA357" t="str">
            <v>Process Room</v>
          </cell>
          <cell r="AB357" t="str">
            <v>Non-Sterile</v>
          </cell>
          <cell r="AC357" t="str">
            <v>N/A</v>
          </cell>
          <cell r="AG357" t="str">
            <v>N/A</v>
          </cell>
          <cell r="AH357" t="str">
            <v>N</v>
          </cell>
          <cell r="AI357" t="str">
            <v>LATEX FREE</v>
          </cell>
          <cell r="AJ357" t="str">
            <v>Current</v>
          </cell>
          <cell r="AK357" t="str">
            <v>N/A</v>
          </cell>
          <cell r="AL357" t="str">
            <v>N/A</v>
          </cell>
          <cell r="AM357" t="str">
            <v>N/A</v>
          </cell>
          <cell r="AN357" t="str">
            <v>N/A</v>
          </cell>
          <cell r="AO357" t="str">
            <v>N/A</v>
          </cell>
          <cell r="AP357" t="str">
            <v>N/A</v>
          </cell>
          <cell r="AS357" t="str">
            <v>Identification Label</v>
          </cell>
          <cell r="AT357" t="str">
            <v>N/A</v>
          </cell>
          <cell r="AU357" t="str">
            <v>N/A</v>
          </cell>
          <cell r="AV357" t="str">
            <v>7324BL,7324F,7324PS</v>
          </cell>
        </row>
        <row r="358">
          <cell r="A358">
            <v>7516</v>
          </cell>
          <cell r="B358" t="str">
            <v>Comp #</v>
          </cell>
          <cell r="C358" t="str">
            <v>18" x 26" Blue/White Polyined Towel Printed "Sterile Field Pick Up Here"</v>
          </cell>
          <cell r="D358" t="str">
            <v>5116 ETAL</v>
          </cell>
          <cell r="E358">
            <v>37420</v>
          </cell>
          <cell r="F358" t="str">
            <v>N/A</v>
          </cell>
          <cell r="K358" t="str">
            <v>S-4</v>
          </cell>
          <cell r="L358" t="str">
            <v>32</v>
          </cell>
          <cell r="P358" t="str">
            <v>32</v>
          </cell>
          <cell r="Q358" t="str">
            <v>N/A</v>
          </cell>
          <cell r="R358" t="str">
            <v>8</v>
          </cell>
          <cell r="S358" t="str">
            <v>0</v>
          </cell>
          <cell r="T358" t="str">
            <v>1.5</v>
          </cell>
          <cell r="U358" t="str">
            <v>2.5</v>
          </cell>
          <cell r="V358" t="str">
            <v>500</v>
          </cell>
          <cell r="W358" t="str">
            <v>S-4</v>
          </cell>
          <cell r="X358" t="str">
            <v>Manufacturing</v>
          </cell>
          <cell r="Y358" t="str">
            <v>N/A</v>
          </cell>
          <cell r="Z358" t="str">
            <v>N/A</v>
          </cell>
          <cell r="AA358" t="str">
            <v>Towel Machine</v>
          </cell>
          <cell r="AB358" t="str">
            <v>Non-Sterile</v>
          </cell>
          <cell r="AC358" t="str">
            <v>N/A</v>
          </cell>
          <cell r="AG358" t="str">
            <v>N/A</v>
          </cell>
          <cell r="AH358" t="str">
            <v>N</v>
          </cell>
          <cell r="AI358" t="str">
            <v>LATEX FREE</v>
          </cell>
          <cell r="AJ358" t="str">
            <v>Current</v>
          </cell>
          <cell r="AK358" t="str">
            <v>N/A</v>
          </cell>
          <cell r="AL358" t="str">
            <v>N/A</v>
          </cell>
          <cell r="AM358" t="str">
            <v>N/A</v>
          </cell>
          <cell r="AN358" t="str">
            <v>N/A</v>
          </cell>
          <cell r="AO358" t="str">
            <v>N/A</v>
          </cell>
          <cell r="AP358" t="str">
            <v>N/A</v>
          </cell>
          <cell r="AS358" t="str">
            <v>Reuse 6669</v>
          </cell>
          <cell r="AT358" t="str">
            <v>N/A</v>
          </cell>
          <cell r="AU358" t="str">
            <v>N/A</v>
          </cell>
          <cell r="AV358" t="str">
            <v>6961,6962,6966A,2963A</v>
          </cell>
        </row>
        <row r="359">
          <cell r="A359">
            <v>7519</v>
          </cell>
          <cell r="B359" t="str">
            <v>Comp #</v>
          </cell>
          <cell r="C359" t="str">
            <v>18" x 26" Blue/White Towel W/ 3" Fen./500</v>
          </cell>
          <cell r="D359" t="str">
            <v>5117 ETAL</v>
          </cell>
          <cell r="E359">
            <v>37357</v>
          </cell>
          <cell r="F359" t="str">
            <v>N/A</v>
          </cell>
          <cell r="K359" t="str">
            <v>S-4</v>
          </cell>
          <cell r="L359" t="str">
            <v>32</v>
          </cell>
          <cell r="P359" t="str">
            <v>32</v>
          </cell>
          <cell r="Q359" t="str">
            <v>N/A</v>
          </cell>
          <cell r="R359" t="str">
            <v>8</v>
          </cell>
          <cell r="S359" t="str">
            <v>0</v>
          </cell>
          <cell r="T359" t="str">
            <v>1.5</v>
          </cell>
          <cell r="U359" t="str">
            <v>2.5</v>
          </cell>
          <cell r="V359" t="str">
            <v>500</v>
          </cell>
          <cell r="W359" t="str">
            <v>S-4</v>
          </cell>
          <cell r="X359" t="str">
            <v>Manufacturing</v>
          </cell>
          <cell r="Y359" t="str">
            <v>N/A</v>
          </cell>
          <cell r="Z359" t="str">
            <v>N/A</v>
          </cell>
          <cell r="AA359" t="str">
            <v>Towel Machine</v>
          </cell>
          <cell r="AB359" t="str">
            <v>Non-Sterile</v>
          </cell>
          <cell r="AC359" t="str">
            <v>N/A</v>
          </cell>
          <cell r="AG359" t="str">
            <v>N/A</v>
          </cell>
          <cell r="AH359" t="str">
            <v>N</v>
          </cell>
          <cell r="AI359" t="str">
            <v>LATEX FREE</v>
          </cell>
          <cell r="AJ359" t="str">
            <v>Current</v>
          </cell>
          <cell r="AK359" t="str">
            <v>N/A</v>
          </cell>
          <cell r="AL359" t="str">
            <v>N/A</v>
          </cell>
          <cell r="AM359" t="str">
            <v>N/A</v>
          </cell>
          <cell r="AN359" t="str">
            <v>N/A</v>
          </cell>
          <cell r="AO359" t="str">
            <v>N/A</v>
          </cell>
          <cell r="AP359" t="str">
            <v>N/A</v>
          </cell>
          <cell r="AS359" t="str">
            <v>Reuse 6669</v>
          </cell>
          <cell r="AT359" t="str">
            <v>N/A</v>
          </cell>
          <cell r="AU359" t="str">
            <v>N/A</v>
          </cell>
          <cell r="AV359" t="str">
            <v>6961,6962,6966A,2963A</v>
          </cell>
        </row>
        <row r="360">
          <cell r="A360">
            <v>7590</v>
          </cell>
          <cell r="B360" t="str">
            <v>Cat#</v>
          </cell>
          <cell r="C360" t="str">
            <v>Bulk Aqua Transfer Forceps/1000</v>
          </cell>
          <cell r="D360" t="str">
            <v>402 ETAL</v>
          </cell>
          <cell r="E360">
            <v>37307</v>
          </cell>
          <cell r="F360" t="str">
            <v>N/A</v>
          </cell>
          <cell r="K360" t="str">
            <v>S-4</v>
          </cell>
          <cell r="L360" t="str">
            <v>N/A</v>
          </cell>
          <cell r="P360" t="str">
            <v>N/A</v>
          </cell>
          <cell r="Q360" t="str">
            <v>N/A</v>
          </cell>
          <cell r="R360" t="str">
            <v>8</v>
          </cell>
          <cell r="S360" t="str">
            <v>0</v>
          </cell>
          <cell r="T360" t="str">
            <v>1.5</v>
          </cell>
          <cell r="U360" t="str">
            <v>2.5</v>
          </cell>
          <cell r="V360" t="str">
            <v>1000</v>
          </cell>
          <cell r="W360" t="str">
            <v>II</v>
          </cell>
          <cell r="X360" t="str">
            <v>Injection Molding</v>
          </cell>
          <cell r="Y360" t="str">
            <v>N/A</v>
          </cell>
          <cell r="Z360" t="str">
            <v>N/A</v>
          </cell>
          <cell r="AA360" t="str">
            <v>Arburg</v>
          </cell>
          <cell r="AB360" t="str">
            <v>Non-Sterile</v>
          </cell>
          <cell r="AC360" t="str">
            <v>N/A</v>
          </cell>
          <cell r="AG360" t="str">
            <v>N/A</v>
          </cell>
          <cell r="AH360" t="str">
            <v>N</v>
          </cell>
          <cell r="AI360" t="str">
            <v>LATEX FREE</v>
          </cell>
          <cell r="AJ360" t="str">
            <v>Current</v>
          </cell>
          <cell r="AK360" t="str">
            <v>N/A</v>
          </cell>
          <cell r="AL360" t="str">
            <v>N/A</v>
          </cell>
          <cell r="AM360" t="str">
            <v>N/A</v>
          </cell>
          <cell r="AN360" t="str">
            <v>N/A</v>
          </cell>
          <cell r="AO360" t="str">
            <v>LF7590SL</v>
          </cell>
          <cell r="AP360" t="str">
            <v>N/A</v>
          </cell>
          <cell r="AS360" t="str">
            <v>N/A</v>
          </cell>
          <cell r="AT360" t="str">
            <v>N/A</v>
          </cell>
          <cell r="AU360" t="str">
            <v>7595B,6934</v>
          </cell>
          <cell r="AV360" t="str">
            <v>N/A</v>
          </cell>
        </row>
        <row r="361">
          <cell r="A361">
            <v>8203</v>
          </cell>
          <cell r="B361" t="str">
            <v>Cat#</v>
          </cell>
          <cell r="C361" t="str">
            <v>Post Mortem Bag White/ W/2 Sets ID Tags/ Curved Zipper/10</v>
          </cell>
          <cell r="D361" t="str">
            <v>901 ETAL</v>
          </cell>
          <cell r="E361">
            <v>37574</v>
          </cell>
          <cell r="F361" t="str">
            <v>N/A</v>
          </cell>
          <cell r="K361" t="str">
            <v>S-4</v>
          </cell>
          <cell r="L361" t="str">
            <v>N/A</v>
          </cell>
          <cell r="P361" t="str">
            <v>N/A</v>
          </cell>
          <cell r="Q361" t="str">
            <v>N/A</v>
          </cell>
          <cell r="R361" t="str">
            <v>8</v>
          </cell>
          <cell r="S361" t="str">
            <v>0</v>
          </cell>
          <cell r="T361" t="str">
            <v>1.5</v>
          </cell>
          <cell r="U361" t="str">
            <v>2.5</v>
          </cell>
          <cell r="V361">
            <v>10</v>
          </cell>
          <cell r="W361" t="str">
            <v>S-4</v>
          </cell>
          <cell r="X361" t="str">
            <v>Manufacturing</v>
          </cell>
          <cell r="Y361" t="str">
            <v>N/A</v>
          </cell>
          <cell r="Z361" t="str">
            <v>N/A</v>
          </cell>
          <cell r="AA361" t="str">
            <v>Shroud Area</v>
          </cell>
          <cell r="AB361" t="str">
            <v>Non-Sterile</v>
          </cell>
          <cell r="AC361" t="str">
            <v>N/A</v>
          </cell>
          <cell r="AG361" t="str">
            <v>N/A</v>
          </cell>
          <cell r="AH361" t="str">
            <v>N</v>
          </cell>
          <cell r="AI361" t="str">
            <v>LATEX FREE</v>
          </cell>
          <cell r="AJ361" t="str">
            <v>Current</v>
          </cell>
          <cell r="AK361" t="str">
            <v>N/A</v>
          </cell>
          <cell r="AL361" t="str">
            <v>N/A</v>
          </cell>
          <cell r="AM361" t="str">
            <v>LF8203CC</v>
          </cell>
          <cell r="AN361" t="str">
            <v>N/A</v>
          </cell>
          <cell r="AO361" t="str">
            <v>LF8203SL</v>
          </cell>
          <cell r="AP361" t="str">
            <v>N/A</v>
          </cell>
          <cell r="AS361" t="str">
            <v>N/A</v>
          </cell>
          <cell r="AT361" t="str">
            <v>N/A</v>
          </cell>
          <cell r="AU361" t="str">
            <v>N/A</v>
          </cell>
          <cell r="AV361" t="str">
            <v>907D,9013A-1,9023</v>
          </cell>
        </row>
        <row r="362">
          <cell r="A362" t="str">
            <v>8331A</v>
          </cell>
          <cell r="B362" t="str">
            <v>Comp #</v>
          </cell>
          <cell r="C362" t="str">
            <v>18" x 36" White/White Towel W/ 3" Fen./500</v>
          </cell>
          <cell r="D362" t="str">
            <v>8331A</v>
          </cell>
          <cell r="E362">
            <v>37420</v>
          </cell>
          <cell r="F362" t="str">
            <v>N/A</v>
          </cell>
          <cell r="K362" t="str">
            <v>S-4</v>
          </cell>
          <cell r="L362" t="str">
            <v>32</v>
          </cell>
          <cell r="P362" t="str">
            <v>32</v>
          </cell>
          <cell r="Q362" t="str">
            <v>N/A</v>
          </cell>
          <cell r="R362" t="str">
            <v>8</v>
          </cell>
          <cell r="S362" t="str">
            <v>0</v>
          </cell>
          <cell r="T362" t="str">
            <v>1.5</v>
          </cell>
          <cell r="U362" t="str">
            <v>2.5</v>
          </cell>
          <cell r="V362">
            <v>500</v>
          </cell>
          <cell r="W362" t="str">
            <v>S-4</v>
          </cell>
          <cell r="X362" t="str">
            <v>Manufacturing</v>
          </cell>
          <cell r="Y362" t="str">
            <v>N/A</v>
          </cell>
          <cell r="Z362" t="str">
            <v>N/A</v>
          </cell>
          <cell r="AA362" t="str">
            <v>Towel Machine</v>
          </cell>
          <cell r="AB362" t="str">
            <v>Non-Sterile</v>
          </cell>
          <cell r="AC362" t="str">
            <v>N/A</v>
          </cell>
          <cell r="AG362" t="str">
            <v>N/A</v>
          </cell>
          <cell r="AH362" t="str">
            <v>N</v>
          </cell>
          <cell r="AI362" t="str">
            <v>LATEX FREE</v>
          </cell>
          <cell r="AJ362" t="str">
            <v>Current</v>
          </cell>
          <cell r="AK362" t="str">
            <v>N/A</v>
          </cell>
          <cell r="AL362" t="str">
            <v>N/A</v>
          </cell>
          <cell r="AM362" t="str">
            <v>N/A</v>
          </cell>
          <cell r="AN362" t="str">
            <v>N/A</v>
          </cell>
          <cell r="AO362" t="str">
            <v>N/A</v>
          </cell>
          <cell r="AP362" t="str">
            <v>N/A</v>
          </cell>
          <cell r="AS362" t="str">
            <v>Reuse 6669</v>
          </cell>
          <cell r="AT362" t="str">
            <v>N/A</v>
          </cell>
          <cell r="AU362" t="str">
            <v>N/A</v>
          </cell>
          <cell r="AV362" t="str">
            <v>6961,6966A,2963A</v>
          </cell>
        </row>
        <row r="363">
          <cell r="A363">
            <v>8435</v>
          </cell>
          <cell r="C363" t="str">
            <v>Cida#12-0515 15x15CSR/100</v>
          </cell>
          <cell r="D363" t="str">
            <v>843 ETAL</v>
          </cell>
          <cell r="E363">
            <v>36563</v>
          </cell>
          <cell r="K363" t="str">
            <v>S-4</v>
          </cell>
          <cell r="L363" t="str">
            <v>N/A</v>
          </cell>
          <cell r="P363" t="str">
            <v>N/A</v>
          </cell>
          <cell r="Q363" t="str">
            <v>N/A</v>
          </cell>
          <cell r="R363" t="str">
            <v>8</v>
          </cell>
          <cell r="S363" t="str">
            <v>0</v>
          </cell>
          <cell r="T363" t="str">
            <v>1.5</v>
          </cell>
          <cell r="U363" t="str">
            <v>2.5</v>
          </cell>
          <cell r="W363" t="str">
            <v>S-4</v>
          </cell>
          <cell r="AB363" t="str">
            <v>Non-Sterile</v>
          </cell>
          <cell r="AJ363" t="str">
            <v>Discontinued</v>
          </cell>
          <cell r="AK363" t="str">
            <v>N/A</v>
          </cell>
          <cell r="AL363" t="str">
            <v>N/A</v>
          </cell>
        </row>
        <row r="364">
          <cell r="A364">
            <v>8455</v>
          </cell>
          <cell r="C364" t="str">
            <v>Cida#12-0512 12x12CSR/100</v>
          </cell>
          <cell r="D364" t="str">
            <v>843 ETAL</v>
          </cell>
          <cell r="E364">
            <v>36563</v>
          </cell>
          <cell r="K364" t="str">
            <v>S-4</v>
          </cell>
          <cell r="L364" t="str">
            <v>N/A</v>
          </cell>
          <cell r="P364" t="str">
            <v>N/A</v>
          </cell>
          <cell r="Q364" t="str">
            <v>N/A</v>
          </cell>
          <cell r="R364" t="str">
            <v>8</v>
          </cell>
          <cell r="S364" t="str">
            <v>0</v>
          </cell>
          <cell r="T364" t="str">
            <v>1.5</v>
          </cell>
          <cell r="U364" t="str">
            <v>2.5</v>
          </cell>
          <cell r="W364" t="str">
            <v>S-4</v>
          </cell>
          <cell r="AB364" t="str">
            <v>Non-Sterile</v>
          </cell>
          <cell r="AJ364" t="str">
            <v>Discontinued</v>
          </cell>
          <cell r="AK364" t="str">
            <v>N/A</v>
          </cell>
          <cell r="AL364" t="str">
            <v>N/A</v>
          </cell>
        </row>
        <row r="365">
          <cell r="A365">
            <v>8465</v>
          </cell>
          <cell r="C365" t="str">
            <v>Cida#12-0518 18x18CSR/100</v>
          </cell>
          <cell r="D365" t="str">
            <v>843 ETAL</v>
          </cell>
          <cell r="E365">
            <v>36563</v>
          </cell>
          <cell r="K365" t="str">
            <v>S-4</v>
          </cell>
          <cell r="L365" t="str">
            <v>N/A</v>
          </cell>
          <cell r="P365" t="str">
            <v>N/A</v>
          </cell>
          <cell r="Q365" t="str">
            <v>N/A</v>
          </cell>
          <cell r="R365" t="str">
            <v>8</v>
          </cell>
          <cell r="S365" t="str">
            <v>0</v>
          </cell>
          <cell r="T365" t="str">
            <v>1.5</v>
          </cell>
          <cell r="U365" t="str">
            <v>2.5</v>
          </cell>
          <cell r="W365" t="str">
            <v>S-4</v>
          </cell>
          <cell r="AB365" t="str">
            <v>Non-Sterile</v>
          </cell>
          <cell r="AJ365" t="str">
            <v>Discontinued</v>
          </cell>
          <cell r="AK365" t="str">
            <v>N/A</v>
          </cell>
          <cell r="AL365" t="str">
            <v>N/A</v>
          </cell>
        </row>
        <row r="366">
          <cell r="A366">
            <v>8475</v>
          </cell>
          <cell r="C366" t="str">
            <v>Cida#12-0524 24x24CSR/100</v>
          </cell>
          <cell r="D366" t="str">
            <v>843 ETAL</v>
          </cell>
          <cell r="E366">
            <v>36563</v>
          </cell>
          <cell r="K366" t="str">
            <v>S-4</v>
          </cell>
          <cell r="L366" t="str">
            <v>N/A</v>
          </cell>
          <cell r="P366" t="str">
            <v>N/A</v>
          </cell>
          <cell r="Q366" t="str">
            <v>N/A</v>
          </cell>
          <cell r="R366" t="str">
            <v>8</v>
          </cell>
          <cell r="S366" t="str">
            <v>0</v>
          </cell>
          <cell r="T366" t="str">
            <v>1.5</v>
          </cell>
          <cell r="U366" t="str">
            <v>2.5</v>
          </cell>
          <cell r="W366" t="str">
            <v>S-4</v>
          </cell>
          <cell r="AB366" t="str">
            <v>Non-Sterile</v>
          </cell>
          <cell r="AJ366" t="str">
            <v>Discontinued</v>
          </cell>
          <cell r="AK366" t="str">
            <v>N/A</v>
          </cell>
          <cell r="AL366" t="str">
            <v>N/A</v>
          </cell>
        </row>
        <row r="367">
          <cell r="A367">
            <v>8485</v>
          </cell>
          <cell r="C367" t="str">
            <v>Cida 30X30 Csr</v>
          </cell>
          <cell r="D367" t="str">
            <v>843 ETAL</v>
          </cell>
          <cell r="E367">
            <v>36563</v>
          </cell>
          <cell r="K367" t="str">
            <v>S-4</v>
          </cell>
          <cell r="L367" t="str">
            <v>N/A</v>
          </cell>
          <cell r="P367" t="str">
            <v>N/A</v>
          </cell>
          <cell r="Q367" t="str">
            <v>N/A</v>
          </cell>
          <cell r="R367" t="str">
            <v>8</v>
          </cell>
          <cell r="S367" t="str">
            <v>0</v>
          </cell>
          <cell r="T367" t="str">
            <v>1.5</v>
          </cell>
          <cell r="U367" t="str">
            <v>2.5</v>
          </cell>
          <cell r="W367" t="str">
            <v>S-4</v>
          </cell>
          <cell r="AB367" t="str">
            <v>Non-Sterile</v>
          </cell>
          <cell r="AJ367" t="str">
            <v>Discontinued</v>
          </cell>
          <cell r="AK367" t="str">
            <v>N/A</v>
          </cell>
          <cell r="AL367" t="str">
            <v>N/A</v>
          </cell>
        </row>
        <row r="368">
          <cell r="A368">
            <v>8495</v>
          </cell>
          <cell r="C368" t="str">
            <v>Cida#12-0536 36x36CSR/100</v>
          </cell>
          <cell r="D368" t="str">
            <v>843 ETAL</v>
          </cell>
          <cell r="E368">
            <v>36563</v>
          </cell>
          <cell r="K368" t="str">
            <v>S-4</v>
          </cell>
          <cell r="L368" t="str">
            <v>N/A</v>
          </cell>
          <cell r="P368" t="str">
            <v>N/A</v>
          </cell>
          <cell r="Q368" t="str">
            <v>N/A</v>
          </cell>
          <cell r="R368" t="str">
            <v>8</v>
          </cell>
          <cell r="S368" t="str">
            <v>0</v>
          </cell>
          <cell r="T368" t="str">
            <v>1.5</v>
          </cell>
          <cell r="U368" t="str">
            <v>2.5</v>
          </cell>
          <cell r="W368" t="str">
            <v>S-4</v>
          </cell>
          <cell r="AB368" t="str">
            <v>Non-Sterile</v>
          </cell>
          <cell r="AJ368" t="str">
            <v>Discontinued</v>
          </cell>
          <cell r="AK368" t="str">
            <v>N/A</v>
          </cell>
          <cell r="AL368" t="str">
            <v>N/A</v>
          </cell>
        </row>
        <row r="369">
          <cell r="A369">
            <v>8503</v>
          </cell>
          <cell r="B369" t="str">
            <v>Cat#</v>
          </cell>
          <cell r="C369" t="str">
            <v>10" x 10" Standard CSR Wrap/1000</v>
          </cell>
          <cell r="D369" t="str">
            <v>843 ETAL</v>
          </cell>
          <cell r="E369">
            <v>36563</v>
          </cell>
          <cell r="F369" t="str">
            <v>N/A</v>
          </cell>
          <cell r="K369" t="str">
            <v>S-4</v>
          </cell>
          <cell r="L369" t="str">
            <v>N/A</v>
          </cell>
          <cell r="P369" t="str">
            <v>N/A</v>
          </cell>
          <cell r="Q369" t="str">
            <v>N/A</v>
          </cell>
          <cell r="R369" t="str">
            <v>8</v>
          </cell>
          <cell r="S369" t="str">
            <v>0</v>
          </cell>
          <cell r="T369" t="str">
            <v>1.5</v>
          </cell>
          <cell r="U369" t="str">
            <v>2.5</v>
          </cell>
          <cell r="V369" t="str">
            <v>1000</v>
          </cell>
          <cell r="W369" t="str">
            <v>S-4</v>
          </cell>
          <cell r="X369" t="str">
            <v>Manufacturing</v>
          </cell>
          <cell r="Y369" t="str">
            <v>N/A</v>
          </cell>
          <cell r="Z369" t="str">
            <v>N/A</v>
          </cell>
          <cell r="AA369" t="str">
            <v>Manufacturing</v>
          </cell>
          <cell r="AB369" t="str">
            <v>Non-Sterile</v>
          </cell>
          <cell r="AC369" t="str">
            <v>N/A</v>
          </cell>
          <cell r="AG369" t="str">
            <v>N</v>
          </cell>
          <cell r="AH369" t="str">
            <v>N</v>
          </cell>
          <cell r="AI369" t="str">
            <v>LATEX FREE</v>
          </cell>
          <cell r="AJ369" t="str">
            <v>Current</v>
          </cell>
          <cell r="AK369" t="str">
            <v>N/A</v>
          </cell>
          <cell r="AL369" t="str">
            <v>N/A</v>
          </cell>
          <cell r="AM369" t="str">
            <v>N/A</v>
          </cell>
          <cell r="AN369" t="str">
            <v>N/A</v>
          </cell>
          <cell r="AO369" t="str">
            <v>LF8503SL</v>
          </cell>
          <cell r="AP369" t="str">
            <v>N/A</v>
          </cell>
          <cell r="AS369" t="str">
            <v>N/A</v>
          </cell>
          <cell r="AT369" t="str">
            <v>N/A</v>
          </cell>
          <cell r="AU369" t="str">
            <v>N/A</v>
          </cell>
          <cell r="AV369" t="str">
            <v>8540D,8513</v>
          </cell>
        </row>
        <row r="370">
          <cell r="A370">
            <v>8505</v>
          </cell>
          <cell r="C370" t="str">
            <v>Cida#12-0012 12x12CSR/1M</v>
          </cell>
          <cell r="D370" t="str">
            <v>843 ETAL</v>
          </cell>
          <cell r="E370">
            <v>36563</v>
          </cell>
          <cell r="K370" t="str">
            <v>S-4</v>
          </cell>
          <cell r="L370" t="str">
            <v>N/A</v>
          </cell>
          <cell r="P370" t="str">
            <v>N/A</v>
          </cell>
          <cell r="Q370" t="str">
            <v>N/A</v>
          </cell>
          <cell r="R370" t="str">
            <v>8</v>
          </cell>
          <cell r="S370" t="str">
            <v>0</v>
          </cell>
          <cell r="T370" t="str">
            <v>1.5</v>
          </cell>
          <cell r="U370" t="str">
            <v>2.5</v>
          </cell>
          <cell r="W370" t="str">
            <v>S-4</v>
          </cell>
          <cell r="AB370" t="str">
            <v>Non-Sterile</v>
          </cell>
          <cell r="AJ370" t="str">
            <v>Discontinued</v>
          </cell>
          <cell r="AK370" t="str">
            <v>N/A</v>
          </cell>
          <cell r="AL370" t="str">
            <v>N/A</v>
          </cell>
        </row>
        <row r="371">
          <cell r="A371">
            <v>8510</v>
          </cell>
          <cell r="C371" t="str">
            <v>Cida#12-0015 15x15CSR/500</v>
          </cell>
          <cell r="D371" t="str">
            <v>843 ETAL</v>
          </cell>
          <cell r="E371">
            <v>36563</v>
          </cell>
          <cell r="K371" t="str">
            <v>S-4</v>
          </cell>
          <cell r="L371" t="str">
            <v>N/A</v>
          </cell>
          <cell r="P371" t="str">
            <v>N/A</v>
          </cell>
          <cell r="Q371" t="str">
            <v>N/A</v>
          </cell>
          <cell r="R371" t="str">
            <v>8</v>
          </cell>
          <cell r="S371" t="str">
            <v>0</v>
          </cell>
          <cell r="T371" t="str">
            <v>1.5</v>
          </cell>
          <cell r="U371" t="str">
            <v>2.5</v>
          </cell>
          <cell r="W371" t="str">
            <v>S-4</v>
          </cell>
          <cell r="AB371" t="str">
            <v>Non-Sterile</v>
          </cell>
          <cell r="AJ371" t="str">
            <v>Discontinued</v>
          </cell>
          <cell r="AK371" t="str">
            <v>N/A</v>
          </cell>
          <cell r="AL371" t="str">
            <v>N/A</v>
          </cell>
        </row>
        <row r="372">
          <cell r="A372">
            <v>8525</v>
          </cell>
          <cell r="C372" t="str">
            <v>Cida#12-0020 20x20CSR/500</v>
          </cell>
          <cell r="D372" t="str">
            <v>843 ETAL</v>
          </cell>
          <cell r="E372">
            <v>36563</v>
          </cell>
          <cell r="K372" t="str">
            <v>S-4</v>
          </cell>
          <cell r="L372" t="str">
            <v>N/A</v>
          </cell>
          <cell r="P372" t="str">
            <v>N/A</v>
          </cell>
          <cell r="Q372" t="str">
            <v>N/A</v>
          </cell>
          <cell r="R372" t="str">
            <v>8</v>
          </cell>
          <cell r="S372" t="str">
            <v>0</v>
          </cell>
          <cell r="T372" t="str">
            <v>1.5</v>
          </cell>
          <cell r="U372" t="str">
            <v>2.5</v>
          </cell>
          <cell r="W372" t="str">
            <v>S-4</v>
          </cell>
          <cell r="AB372" t="str">
            <v>Non-Sterile</v>
          </cell>
          <cell r="AJ372" t="str">
            <v>Discontinued</v>
          </cell>
          <cell r="AK372" t="str">
            <v>N/A</v>
          </cell>
          <cell r="AL372" t="str">
            <v>N/A</v>
          </cell>
        </row>
        <row r="373">
          <cell r="A373" t="str">
            <v>8529</v>
          </cell>
          <cell r="B373" t="str">
            <v>Cat#</v>
          </cell>
          <cell r="C373" t="str">
            <v>15" x 20" Standard CSR Wrap/ For Naval Hosp./500</v>
          </cell>
          <cell r="Q373" t="str">
            <v>N/A</v>
          </cell>
          <cell r="V373" t="str">
            <v>500</v>
          </cell>
          <cell r="X373" t="str">
            <v>Manufacturing</v>
          </cell>
          <cell r="Y373" t="str">
            <v>N/A</v>
          </cell>
          <cell r="Z373" t="str">
            <v>N/A</v>
          </cell>
          <cell r="AA373" t="str">
            <v>Manufacturing</v>
          </cell>
          <cell r="AB373" t="str">
            <v>Non-Sterile</v>
          </cell>
          <cell r="AC373" t="str">
            <v>N/A</v>
          </cell>
          <cell r="AG373" t="str">
            <v>N</v>
          </cell>
          <cell r="AH373" t="str">
            <v>N</v>
          </cell>
          <cell r="AI373" t="str">
            <v>LATEX FREE</v>
          </cell>
          <cell r="AJ373" t="str">
            <v>Current</v>
          </cell>
          <cell r="AK373" t="str">
            <v>N/A</v>
          </cell>
          <cell r="AL373" t="str">
            <v>N/A</v>
          </cell>
          <cell r="AM373" t="str">
            <v>N/A</v>
          </cell>
          <cell r="AN373" t="str">
            <v>N/A</v>
          </cell>
          <cell r="AO373" t="str">
            <v>Unknown</v>
          </cell>
          <cell r="AP373" t="str">
            <v>N/A</v>
          </cell>
          <cell r="AS373" t="str">
            <v>N/A</v>
          </cell>
          <cell r="AT373" t="str">
            <v>N/A</v>
          </cell>
          <cell r="AU373" t="str">
            <v>N/A</v>
          </cell>
          <cell r="AV373" t="str">
            <v>8500D,8513</v>
          </cell>
        </row>
        <row r="374">
          <cell r="A374">
            <v>8535</v>
          </cell>
          <cell r="C374" t="str">
            <v>Cida#12-0024 24x24CSR/500</v>
          </cell>
          <cell r="D374" t="str">
            <v>843 ETAL</v>
          </cell>
          <cell r="E374">
            <v>36563</v>
          </cell>
          <cell r="K374" t="str">
            <v>S-4</v>
          </cell>
          <cell r="L374" t="str">
            <v>N/A</v>
          </cell>
          <cell r="P374" t="str">
            <v>N/A</v>
          </cell>
          <cell r="Q374" t="str">
            <v>N/A</v>
          </cell>
          <cell r="R374" t="str">
            <v>8</v>
          </cell>
          <cell r="S374" t="str">
            <v>0</v>
          </cell>
          <cell r="T374" t="str">
            <v>1.5</v>
          </cell>
          <cell r="U374" t="str">
            <v>2.5</v>
          </cell>
          <cell r="W374" t="str">
            <v>S-4</v>
          </cell>
          <cell r="AB374" t="str">
            <v>Non-Sterile</v>
          </cell>
          <cell r="AJ374" t="str">
            <v>Discontinued</v>
          </cell>
          <cell r="AK374" t="str">
            <v>N/A</v>
          </cell>
          <cell r="AL374" t="str">
            <v>N/A</v>
          </cell>
        </row>
        <row r="375">
          <cell r="A375">
            <v>8540</v>
          </cell>
          <cell r="C375" t="str">
            <v>Cida#12-0030 30x30CSR/250</v>
          </cell>
          <cell r="D375" t="str">
            <v>843 ETAL</v>
          </cell>
          <cell r="E375">
            <v>36563</v>
          </cell>
          <cell r="K375" t="str">
            <v>S-4</v>
          </cell>
          <cell r="L375" t="str">
            <v>N/A</v>
          </cell>
          <cell r="P375" t="str">
            <v>N/A</v>
          </cell>
          <cell r="Q375" t="str">
            <v>N/A</v>
          </cell>
          <cell r="R375" t="str">
            <v>8</v>
          </cell>
          <cell r="S375" t="str">
            <v>0</v>
          </cell>
          <cell r="T375" t="str">
            <v>1.5</v>
          </cell>
          <cell r="U375" t="str">
            <v>2.5</v>
          </cell>
          <cell r="W375" t="str">
            <v>S-4</v>
          </cell>
          <cell r="AB375" t="str">
            <v>Non-Sterile</v>
          </cell>
          <cell r="AJ375" t="str">
            <v>Discontinued</v>
          </cell>
          <cell r="AK375" t="str">
            <v>N/A</v>
          </cell>
          <cell r="AL375" t="str">
            <v>N/A</v>
          </cell>
        </row>
        <row r="376">
          <cell r="A376">
            <v>8550</v>
          </cell>
          <cell r="C376" t="str">
            <v>Cida#12-0036 36x36CSR/250</v>
          </cell>
          <cell r="D376" t="str">
            <v>843 ETAL</v>
          </cell>
          <cell r="E376">
            <v>36563</v>
          </cell>
          <cell r="K376" t="str">
            <v>S-4</v>
          </cell>
          <cell r="L376" t="str">
            <v>N/A</v>
          </cell>
          <cell r="P376" t="str">
            <v>N/A</v>
          </cell>
          <cell r="Q376" t="str">
            <v>N/A</v>
          </cell>
          <cell r="R376" t="str">
            <v>8</v>
          </cell>
          <cell r="S376" t="str">
            <v>0</v>
          </cell>
          <cell r="T376" t="str">
            <v>1.5</v>
          </cell>
          <cell r="U376" t="str">
            <v>2.5</v>
          </cell>
          <cell r="W376" t="str">
            <v>S-4</v>
          </cell>
          <cell r="AB376" t="str">
            <v>Non-Sterile</v>
          </cell>
          <cell r="AJ376" t="str">
            <v>Discontinued</v>
          </cell>
          <cell r="AK376" t="str">
            <v>N/A</v>
          </cell>
          <cell r="AL376" t="str">
            <v>N/A</v>
          </cell>
        </row>
        <row r="377">
          <cell r="A377">
            <v>8565</v>
          </cell>
          <cell r="C377" t="str">
            <v>Cida#12-0040 40x40CSR/250</v>
          </cell>
          <cell r="D377" t="str">
            <v>843 ETAL</v>
          </cell>
          <cell r="E377">
            <v>36563</v>
          </cell>
          <cell r="K377" t="str">
            <v>S-4</v>
          </cell>
          <cell r="L377" t="str">
            <v>N/A</v>
          </cell>
          <cell r="P377" t="str">
            <v>N/A</v>
          </cell>
          <cell r="Q377" t="str">
            <v>N/A</v>
          </cell>
          <cell r="R377" t="str">
            <v>8</v>
          </cell>
          <cell r="S377" t="str">
            <v>0</v>
          </cell>
          <cell r="T377" t="str">
            <v>1.5</v>
          </cell>
          <cell r="U377" t="str">
            <v>2.5</v>
          </cell>
          <cell r="W377" t="str">
            <v>S-4</v>
          </cell>
          <cell r="AB377" t="str">
            <v>Non-Sterile</v>
          </cell>
          <cell r="AJ377" t="str">
            <v>Discontinued</v>
          </cell>
          <cell r="AK377" t="str">
            <v>N/A</v>
          </cell>
          <cell r="AL377" t="str">
            <v>N/A</v>
          </cell>
        </row>
        <row r="378">
          <cell r="A378">
            <v>8570</v>
          </cell>
          <cell r="C378" t="str">
            <v>Cida 45X45 Csr 12 0045</v>
          </cell>
          <cell r="D378" t="str">
            <v>843 ETAL</v>
          </cell>
          <cell r="E378">
            <v>36563</v>
          </cell>
          <cell r="K378" t="str">
            <v>S-4</v>
          </cell>
          <cell r="L378" t="str">
            <v>N/A</v>
          </cell>
          <cell r="P378" t="str">
            <v>N/A</v>
          </cell>
          <cell r="Q378" t="str">
            <v>N/A</v>
          </cell>
          <cell r="R378" t="str">
            <v>8</v>
          </cell>
          <cell r="S378" t="str">
            <v>0</v>
          </cell>
          <cell r="T378" t="str">
            <v>1.5</v>
          </cell>
          <cell r="U378" t="str">
            <v>2.5</v>
          </cell>
          <cell r="W378" t="str">
            <v>S-4</v>
          </cell>
          <cell r="AB378" t="str">
            <v>Non-Sterile</v>
          </cell>
          <cell r="AJ378" t="str">
            <v>Discontinued</v>
          </cell>
          <cell r="AK378" t="str">
            <v>N/A</v>
          </cell>
          <cell r="AL378" t="str">
            <v>N/A</v>
          </cell>
        </row>
        <row r="379">
          <cell r="A379">
            <v>8585</v>
          </cell>
          <cell r="B379" t="str">
            <v>Cat#</v>
          </cell>
          <cell r="C379" t="str">
            <v>Cida#12-0054 54" x 54" Standard CSR Wrap/100</v>
          </cell>
          <cell r="D379" t="str">
            <v>843 ETAL</v>
          </cell>
          <cell r="E379">
            <v>36563</v>
          </cell>
          <cell r="F379" t="str">
            <v>12-0054</v>
          </cell>
          <cell r="K379" t="str">
            <v>S-4</v>
          </cell>
          <cell r="L379" t="str">
            <v>N/A</v>
          </cell>
          <cell r="P379" t="str">
            <v>N/A</v>
          </cell>
          <cell r="Q379" t="str">
            <v>N/A</v>
          </cell>
          <cell r="R379" t="str">
            <v>8</v>
          </cell>
          <cell r="S379" t="str">
            <v>0</v>
          </cell>
          <cell r="T379" t="str">
            <v>1.5</v>
          </cell>
          <cell r="U379" t="str">
            <v>2.5</v>
          </cell>
          <cell r="V379" t="str">
            <v>100</v>
          </cell>
          <cell r="W379" t="str">
            <v>S-4</v>
          </cell>
          <cell r="X379" t="str">
            <v>Manufacturing</v>
          </cell>
          <cell r="Y379" t="str">
            <v>N/A</v>
          </cell>
          <cell r="Z379" t="str">
            <v>N/A</v>
          </cell>
          <cell r="AA379" t="str">
            <v>Manufacturing</v>
          </cell>
          <cell r="AB379" t="str">
            <v>Non-Sterile</v>
          </cell>
          <cell r="AC379" t="str">
            <v>N/A</v>
          </cell>
          <cell r="AG379" t="str">
            <v>N</v>
          </cell>
          <cell r="AH379" t="str">
            <v>N</v>
          </cell>
          <cell r="AI379" t="str">
            <v>LATEX FREE</v>
          </cell>
          <cell r="AJ379" t="str">
            <v>Discontinued</v>
          </cell>
          <cell r="AK379" t="str">
            <v>N/A</v>
          </cell>
          <cell r="AL379" t="str">
            <v>N/A</v>
          </cell>
          <cell r="AM379" t="str">
            <v>N/A</v>
          </cell>
          <cell r="AN379" t="str">
            <v>N/A</v>
          </cell>
          <cell r="AO379" t="str">
            <v>Yes</v>
          </cell>
          <cell r="AP379" t="str">
            <v>N/A</v>
          </cell>
          <cell r="AS379" t="str">
            <v>N/A</v>
          </cell>
          <cell r="AT379" t="str">
            <v>N/A</v>
          </cell>
          <cell r="AU379" t="str">
            <v>N/A</v>
          </cell>
          <cell r="AV379" t="str">
            <v>8554D</v>
          </cell>
        </row>
        <row r="380">
          <cell r="A380">
            <v>9016</v>
          </cell>
          <cell r="B380" t="str">
            <v>Cat#</v>
          </cell>
          <cell r="C380" t="str">
            <v>White Post Mortem Bag W/ ID Tags/ Straight Zipper/ GM #25-901/10</v>
          </cell>
          <cell r="D380" t="str">
            <v>901 ETAL</v>
          </cell>
          <cell r="E380">
            <v>37574</v>
          </cell>
          <cell r="F380" t="str">
            <v>25-901</v>
          </cell>
          <cell r="K380" t="str">
            <v>S-4</v>
          </cell>
          <cell r="L380" t="str">
            <v>N/A</v>
          </cell>
          <cell r="P380" t="str">
            <v>N/A</v>
          </cell>
          <cell r="Q380" t="str">
            <v>N/A</v>
          </cell>
          <cell r="R380" t="str">
            <v>8</v>
          </cell>
          <cell r="S380" t="str">
            <v>0</v>
          </cell>
          <cell r="T380" t="str">
            <v>1.5</v>
          </cell>
          <cell r="U380" t="str">
            <v>2.5</v>
          </cell>
          <cell r="V380">
            <v>10</v>
          </cell>
          <cell r="W380" t="str">
            <v>S-4</v>
          </cell>
          <cell r="X380" t="str">
            <v>Manufacturing</v>
          </cell>
          <cell r="Y380" t="str">
            <v>N/A</v>
          </cell>
          <cell r="Z380" t="str">
            <v>N/A</v>
          </cell>
          <cell r="AA380" t="str">
            <v>Shroud Area</v>
          </cell>
          <cell r="AB380" t="str">
            <v>Non-Sterile</v>
          </cell>
          <cell r="AC380" t="str">
            <v>N/A</v>
          </cell>
          <cell r="AG380" t="str">
            <v>N</v>
          </cell>
          <cell r="AH380" t="str">
            <v>N</v>
          </cell>
          <cell r="AI380" t="str">
            <v>LATEX FREE</v>
          </cell>
          <cell r="AJ380" t="str">
            <v>Current</v>
          </cell>
          <cell r="AK380" t="str">
            <v>N/A</v>
          </cell>
          <cell r="AL380" t="str">
            <v>N/A</v>
          </cell>
          <cell r="AM380" t="str">
            <v>9014</v>
          </cell>
          <cell r="AN380" t="str">
            <v>N/A</v>
          </cell>
          <cell r="AO380" t="str">
            <v>9015</v>
          </cell>
          <cell r="AP380" t="str">
            <v>N/A</v>
          </cell>
          <cell r="AS380" t="str">
            <v>N/A</v>
          </cell>
          <cell r="AT380" t="str">
            <v>N/A</v>
          </cell>
          <cell r="AU380" t="str">
            <v>N/A</v>
          </cell>
          <cell r="AV380" t="str">
            <v>901D,9013A-1</v>
          </cell>
        </row>
        <row r="381">
          <cell r="A381">
            <v>9046</v>
          </cell>
          <cell r="B381" t="str">
            <v>Cat#</v>
          </cell>
          <cell r="C381" t="str">
            <v>White Post Mortem Kit / Straight Zipper/ GM #25-904/10</v>
          </cell>
          <cell r="D381" t="str">
            <v>901 ETAL</v>
          </cell>
          <cell r="E381">
            <v>37574</v>
          </cell>
          <cell r="F381" t="str">
            <v>25-904</v>
          </cell>
          <cell r="K381" t="str">
            <v>S-4</v>
          </cell>
          <cell r="L381" t="str">
            <v>N/A</v>
          </cell>
          <cell r="P381" t="str">
            <v>N/A</v>
          </cell>
          <cell r="Q381" t="str">
            <v>N/A</v>
          </cell>
          <cell r="R381" t="str">
            <v>8</v>
          </cell>
          <cell r="S381" t="str">
            <v>0</v>
          </cell>
          <cell r="T381" t="str">
            <v>1.5</v>
          </cell>
          <cell r="U381" t="str">
            <v>2.5</v>
          </cell>
          <cell r="V381">
            <v>10</v>
          </cell>
          <cell r="W381" t="str">
            <v>S-4</v>
          </cell>
          <cell r="X381" t="str">
            <v>Manufacturing</v>
          </cell>
          <cell r="Y381" t="str">
            <v>N/A</v>
          </cell>
          <cell r="Z381" t="str">
            <v>N/A</v>
          </cell>
          <cell r="AA381" t="str">
            <v>Shroud Area</v>
          </cell>
          <cell r="AB381" t="str">
            <v>Non-Sterile</v>
          </cell>
          <cell r="AC381" t="str">
            <v>N/A</v>
          </cell>
          <cell r="AG381" t="str">
            <v>N</v>
          </cell>
          <cell r="AH381" t="str">
            <v>N</v>
          </cell>
          <cell r="AI381" t="str">
            <v>LATEX FREE</v>
          </cell>
          <cell r="AJ381" t="str">
            <v>Current</v>
          </cell>
          <cell r="AK381" t="str">
            <v>N/A</v>
          </cell>
          <cell r="AL381" t="str">
            <v>N/A</v>
          </cell>
          <cell r="AM381" t="str">
            <v>9044</v>
          </cell>
          <cell r="AN381" t="str">
            <v>N/A</v>
          </cell>
          <cell r="AO381" t="str">
            <v>9045</v>
          </cell>
          <cell r="AP381" t="str">
            <v>N/A</v>
          </cell>
          <cell r="AS381" t="str">
            <v>N/A</v>
          </cell>
          <cell r="AT381" t="str">
            <v>N/A</v>
          </cell>
          <cell r="AU381" t="str">
            <v>901D,725GM</v>
          </cell>
          <cell r="AV381" t="str">
            <v>N/A</v>
          </cell>
        </row>
        <row r="382">
          <cell r="A382">
            <v>9075</v>
          </cell>
          <cell r="B382" t="str">
            <v>Cat#</v>
          </cell>
          <cell r="C382" t="str">
            <v>White Post Mortem Bag W/ ID Tags/ Curved Zipper/ Iso. Gown/10</v>
          </cell>
          <cell r="D382" t="str">
            <v>901 ETAL</v>
          </cell>
          <cell r="E382">
            <v>37574</v>
          </cell>
          <cell r="F382" t="str">
            <v>N/A</v>
          </cell>
          <cell r="K382" t="str">
            <v>S-4</v>
          </cell>
          <cell r="L382" t="str">
            <v>N/A</v>
          </cell>
          <cell r="P382" t="str">
            <v>N/A</v>
          </cell>
          <cell r="Q382" t="str">
            <v>N/A</v>
          </cell>
          <cell r="R382" t="str">
            <v>8</v>
          </cell>
          <cell r="S382" t="str">
            <v>0</v>
          </cell>
          <cell r="T382" t="str">
            <v>1.5</v>
          </cell>
          <cell r="U382" t="str">
            <v>2.5</v>
          </cell>
          <cell r="V382">
            <v>10</v>
          </cell>
          <cell r="W382" t="str">
            <v>S-4</v>
          </cell>
          <cell r="X382" t="str">
            <v>Manufacturing</v>
          </cell>
          <cell r="Y382" t="str">
            <v>N/A</v>
          </cell>
          <cell r="Z382" t="str">
            <v>N/A</v>
          </cell>
          <cell r="AA382" t="str">
            <v>Shroud Area</v>
          </cell>
          <cell r="AB382" t="str">
            <v>Non-Sterile</v>
          </cell>
          <cell r="AC382" t="str">
            <v>N/A</v>
          </cell>
          <cell r="AG382" t="str">
            <v>N</v>
          </cell>
          <cell r="AH382" t="str">
            <v>N</v>
          </cell>
          <cell r="AI382" t="str">
            <v>LATEX FREE</v>
          </cell>
          <cell r="AJ382" t="str">
            <v>Current</v>
          </cell>
          <cell r="AK382" t="str">
            <v>N/A</v>
          </cell>
          <cell r="AL382" t="str">
            <v>N/A</v>
          </cell>
          <cell r="AM382" t="str">
            <v>LF9075CC</v>
          </cell>
          <cell r="AN382" t="str">
            <v>N/A</v>
          </cell>
          <cell r="AO382" t="str">
            <v>LF9075SL</v>
          </cell>
          <cell r="AP382" t="str">
            <v>N/A</v>
          </cell>
          <cell r="AS382" t="str">
            <v>N/A</v>
          </cell>
          <cell r="AT382" t="str">
            <v>N/A</v>
          </cell>
          <cell r="AU382" t="str">
            <v>N/A</v>
          </cell>
          <cell r="AV382" t="str">
            <v>907D,9013A-1,2030</v>
          </cell>
        </row>
        <row r="383">
          <cell r="A383">
            <v>9079</v>
          </cell>
          <cell r="B383" t="str">
            <v>Cat#</v>
          </cell>
          <cell r="C383" t="str">
            <v>White Post Mortem Bag W/ID Tags/ Curved Zipper/ I&amp;B #5-228/10</v>
          </cell>
          <cell r="D383" t="str">
            <v>901 ETAL</v>
          </cell>
          <cell r="E383">
            <v>37574</v>
          </cell>
          <cell r="F383" t="str">
            <v>5-228</v>
          </cell>
          <cell r="K383" t="str">
            <v>S-4</v>
          </cell>
          <cell r="L383" t="str">
            <v>N/A</v>
          </cell>
          <cell r="P383" t="str">
            <v>N/A</v>
          </cell>
          <cell r="Q383" t="str">
            <v>N/A</v>
          </cell>
          <cell r="R383" t="str">
            <v>8</v>
          </cell>
          <cell r="S383" t="str">
            <v>0</v>
          </cell>
          <cell r="T383" t="str">
            <v>1.5</v>
          </cell>
          <cell r="U383" t="str">
            <v>2.5</v>
          </cell>
          <cell r="V383">
            <v>10</v>
          </cell>
          <cell r="W383" t="str">
            <v>S-4</v>
          </cell>
          <cell r="X383" t="str">
            <v>Manufacturing</v>
          </cell>
          <cell r="Y383" t="str">
            <v>N/A</v>
          </cell>
          <cell r="Z383" t="str">
            <v>N/A</v>
          </cell>
          <cell r="AA383" t="str">
            <v>Shroud Area</v>
          </cell>
          <cell r="AB383" t="str">
            <v>Non-Sterile</v>
          </cell>
          <cell r="AC383" t="str">
            <v>N/A</v>
          </cell>
          <cell r="AG383" t="str">
            <v>N</v>
          </cell>
          <cell r="AH383" t="str">
            <v>N</v>
          </cell>
          <cell r="AI383" t="str">
            <v>LATEX FREE</v>
          </cell>
          <cell r="AJ383" t="str">
            <v>Current</v>
          </cell>
          <cell r="AK383" t="str">
            <v>N/A</v>
          </cell>
          <cell r="AL383" t="str">
            <v>N/A</v>
          </cell>
          <cell r="AM383" t="str">
            <v>9079A</v>
          </cell>
          <cell r="AN383" t="str">
            <v>N/A</v>
          </cell>
          <cell r="AO383" t="str">
            <v>9079S</v>
          </cell>
          <cell r="AP383" t="str">
            <v>N/A</v>
          </cell>
          <cell r="AS383" t="str">
            <v>N/A</v>
          </cell>
          <cell r="AT383" t="str">
            <v>N/A</v>
          </cell>
          <cell r="AU383" t="str">
            <v>N/A</v>
          </cell>
          <cell r="AV383" t="str">
            <v>907D,9013A-1</v>
          </cell>
        </row>
        <row r="384">
          <cell r="A384">
            <v>9085</v>
          </cell>
          <cell r="B384" t="str">
            <v>Cat#</v>
          </cell>
          <cell r="C384" t="str">
            <v>White Post Mortem Kit/ Curved Zipper/ I&amp;B#5-225/10</v>
          </cell>
          <cell r="D384" t="str">
            <v>901 ETAL</v>
          </cell>
          <cell r="E384">
            <v>37574</v>
          </cell>
          <cell r="F384" t="str">
            <v>5-225</v>
          </cell>
          <cell r="K384" t="str">
            <v>S-4</v>
          </cell>
          <cell r="L384" t="str">
            <v>N/A</v>
          </cell>
          <cell r="P384" t="str">
            <v>N/A</v>
          </cell>
          <cell r="Q384" t="str">
            <v>N/A</v>
          </cell>
          <cell r="R384" t="str">
            <v>8</v>
          </cell>
          <cell r="S384" t="str">
            <v>0</v>
          </cell>
          <cell r="T384" t="str">
            <v>1.5</v>
          </cell>
          <cell r="U384" t="str">
            <v>2.5</v>
          </cell>
          <cell r="V384">
            <v>10</v>
          </cell>
          <cell r="W384" t="str">
            <v>S-4</v>
          </cell>
          <cell r="X384" t="str">
            <v>Manufacturing</v>
          </cell>
          <cell r="Y384" t="str">
            <v>N/A</v>
          </cell>
          <cell r="Z384" t="str">
            <v>N/A</v>
          </cell>
          <cell r="AA384" t="str">
            <v>Shroud Area</v>
          </cell>
          <cell r="AB384" t="str">
            <v>Non-Sterile</v>
          </cell>
          <cell r="AC384" t="str">
            <v>N/A</v>
          </cell>
          <cell r="AG384" t="str">
            <v>N</v>
          </cell>
          <cell r="AH384" t="str">
            <v>N</v>
          </cell>
          <cell r="AI384" t="str">
            <v>LATEX FREE</v>
          </cell>
          <cell r="AJ384" t="str">
            <v>Current</v>
          </cell>
          <cell r="AK384" t="str">
            <v>N/A</v>
          </cell>
          <cell r="AL384" t="str">
            <v>N/A</v>
          </cell>
          <cell r="AM384" t="str">
            <v>9085A</v>
          </cell>
          <cell r="AN384" t="str">
            <v>N/A</v>
          </cell>
          <cell r="AO384" t="str">
            <v>9085S</v>
          </cell>
          <cell r="AP384" t="str">
            <v>N/A</v>
          </cell>
          <cell r="AS384" t="str">
            <v>N/A</v>
          </cell>
          <cell r="AT384" t="str">
            <v>N/A</v>
          </cell>
          <cell r="AU384" t="str">
            <v>907D,725PM</v>
          </cell>
          <cell r="AV384" t="str">
            <v>N/A</v>
          </cell>
        </row>
        <row r="385">
          <cell r="A385">
            <v>9270</v>
          </cell>
          <cell r="C385" t="str">
            <v>15IN X 15IN CSR WRAP</v>
          </cell>
          <cell r="D385" t="str">
            <v>9270 ETAL</v>
          </cell>
          <cell r="E385">
            <v>36563</v>
          </cell>
          <cell r="F385" t="str">
            <v>N/A</v>
          </cell>
          <cell r="K385" t="str">
            <v>S-4</v>
          </cell>
          <cell r="L385" t="str">
            <v>N/A</v>
          </cell>
          <cell r="P385" t="str">
            <v>20</v>
          </cell>
          <cell r="Q385" t="str">
            <v>N/A</v>
          </cell>
          <cell r="R385" t="str">
            <v>8</v>
          </cell>
          <cell r="S385" t="str">
            <v>0</v>
          </cell>
          <cell r="T385" t="str">
            <v>1.5</v>
          </cell>
          <cell r="U385" t="str">
            <v>2.5</v>
          </cell>
          <cell r="W385" t="str">
            <v>S-4</v>
          </cell>
          <cell r="AB385" t="str">
            <v>Non-Sterile</v>
          </cell>
          <cell r="AJ385" t="str">
            <v>Discontinued</v>
          </cell>
          <cell r="AK385" t="str">
            <v>N/A</v>
          </cell>
          <cell r="AL385" t="str">
            <v>N/A</v>
          </cell>
        </row>
        <row r="386">
          <cell r="A386">
            <v>9271</v>
          </cell>
          <cell r="C386" t="str">
            <v>20X20 CSR Wrap</v>
          </cell>
          <cell r="D386" t="str">
            <v>9270 ETAL</v>
          </cell>
          <cell r="E386">
            <v>36563</v>
          </cell>
          <cell r="F386" t="str">
            <v>N/A</v>
          </cell>
          <cell r="K386" t="str">
            <v>S-4</v>
          </cell>
          <cell r="W386" t="str">
            <v>S-4</v>
          </cell>
          <cell r="AB386" t="str">
            <v>Non-Sterile</v>
          </cell>
          <cell r="AJ386" t="str">
            <v>Discontinued</v>
          </cell>
          <cell r="AK386" t="str">
            <v>N/A</v>
          </cell>
          <cell r="AL386" t="str">
            <v>N/A</v>
          </cell>
        </row>
        <row r="387">
          <cell r="A387">
            <v>9272</v>
          </cell>
          <cell r="C387" t="str">
            <v>24x24 CSR Wrap</v>
          </cell>
          <cell r="D387" t="str">
            <v>9270 ETAL</v>
          </cell>
          <cell r="E387">
            <v>36563</v>
          </cell>
          <cell r="F387" t="str">
            <v>N/A</v>
          </cell>
          <cell r="K387" t="str">
            <v>S-4</v>
          </cell>
          <cell r="W387" t="str">
            <v>S-4</v>
          </cell>
          <cell r="AB387" t="str">
            <v>Non-Sterile</v>
          </cell>
          <cell r="AJ387" t="str">
            <v>Discontinued</v>
          </cell>
          <cell r="AK387" t="str">
            <v>N/A</v>
          </cell>
          <cell r="AL387" t="str">
            <v>N/A</v>
          </cell>
        </row>
        <row r="388">
          <cell r="A388" t="str">
            <v>9273</v>
          </cell>
          <cell r="C388" t="str">
            <v>12" x 12" Non-Woven CSR Wrap</v>
          </cell>
          <cell r="D388" t="str">
            <v>9273</v>
          </cell>
          <cell r="E388">
            <v>35891</v>
          </cell>
          <cell r="F388" t="str">
            <v>N/A</v>
          </cell>
          <cell r="K388" t="str">
            <v>S-4</v>
          </cell>
          <cell r="L388" t="str">
            <v>N/A</v>
          </cell>
          <cell r="P388" t="str">
            <v>20</v>
          </cell>
          <cell r="Q388" t="str">
            <v>N/A</v>
          </cell>
          <cell r="R388" t="str">
            <v>8</v>
          </cell>
          <cell r="S388" t="str">
            <v>0</v>
          </cell>
          <cell r="T388" t="str">
            <v>1.5</v>
          </cell>
          <cell r="U388" t="str">
            <v>2.5</v>
          </cell>
          <cell r="W388" t="str">
            <v>II</v>
          </cell>
          <cell r="AJ388" t="str">
            <v>Discontinued</v>
          </cell>
          <cell r="AK388" t="str">
            <v>N/A</v>
          </cell>
          <cell r="AL388" t="str">
            <v>N/A</v>
          </cell>
        </row>
        <row r="389">
          <cell r="A389">
            <v>9278</v>
          </cell>
          <cell r="C389" t="str">
            <v>30x30 CSR Wrap</v>
          </cell>
          <cell r="D389" t="str">
            <v>9270 ETAL</v>
          </cell>
          <cell r="E389">
            <v>36563</v>
          </cell>
          <cell r="F389" t="str">
            <v>N/A</v>
          </cell>
          <cell r="K389" t="str">
            <v>S-4</v>
          </cell>
          <cell r="W389" t="str">
            <v>S-4</v>
          </cell>
          <cell r="AB389" t="str">
            <v>Non-Sterile</v>
          </cell>
          <cell r="AJ389" t="str">
            <v>Discontinued</v>
          </cell>
          <cell r="AK389" t="str">
            <v>N/A</v>
          </cell>
          <cell r="AL389" t="str">
            <v>N/A</v>
          </cell>
        </row>
        <row r="390">
          <cell r="A390" t="str">
            <v>9286</v>
          </cell>
          <cell r="B390" t="str">
            <v>Cat#</v>
          </cell>
          <cell r="C390" t="str">
            <v>Post Mortem Bag White/ W/ XL Shroud Kit/10</v>
          </cell>
          <cell r="D390" t="str">
            <v>901 ETAL</v>
          </cell>
          <cell r="E390">
            <v>36563</v>
          </cell>
          <cell r="F390" t="str">
            <v>N/A</v>
          </cell>
          <cell r="K390" t="str">
            <v>S-4</v>
          </cell>
          <cell r="L390" t="str">
            <v>N/A</v>
          </cell>
          <cell r="P390" t="str">
            <v>N/A</v>
          </cell>
          <cell r="Q390" t="str">
            <v>N/A</v>
          </cell>
          <cell r="R390" t="str">
            <v>8</v>
          </cell>
          <cell r="S390" t="str">
            <v>0</v>
          </cell>
          <cell r="T390" t="str">
            <v>1.5</v>
          </cell>
          <cell r="U390" t="str">
            <v>2.5</v>
          </cell>
          <cell r="V390" t="str">
            <v>10</v>
          </cell>
          <cell r="W390" t="str">
            <v>S-4</v>
          </cell>
          <cell r="X390" t="str">
            <v>Manufacturing</v>
          </cell>
          <cell r="Y390" t="str">
            <v>N/A</v>
          </cell>
          <cell r="Z390" t="str">
            <v>N/A</v>
          </cell>
          <cell r="AA390" t="str">
            <v>Shroud Area</v>
          </cell>
          <cell r="AB390" t="str">
            <v>Non-Sterile</v>
          </cell>
          <cell r="AC390" t="str">
            <v>N/A</v>
          </cell>
          <cell r="AG390" t="str">
            <v>N</v>
          </cell>
          <cell r="AH390" t="str">
            <v>N</v>
          </cell>
          <cell r="AI390" t="str">
            <v>LATEX FREE</v>
          </cell>
          <cell r="AJ390" t="str">
            <v>Discontinued</v>
          </cell>
          <cell r="AK390" t="str">
            <v>N/A</v>
          </cell>
          <cell r="AL390" t="str">
            <v>N/A</v>
          </cell>
          <cell r="AM390" t="str">
            <v>BL9286I</v>
          </cell>
          <cell r="AN390" t="str">
            <v>N/A</v>
          </cell>
          <cell r="AO390" t="str">
            <v>LF9286SL</v>
          </cell>
          <cell r="AP390" t="str">
            <v>N/A</v>
          </cell>
          <cell r="AS390" t="str">
            <v>N/A</v>
          </cell>
          <cell r="AT390" t="str">
            <v>N/A</v>
          </cell>
          <cell r="AU390" t="str">
            <v>N/A</v>
          </cell>
          <cell r="AV390" t="str">
            <v>901D/ 7270B/ 725PM/ 5517</v>
          </cell>
        </row>
        <row r="391">
          <cell r="A391">
            <v>9558</v>
          </cell>
          <cell r="B391" t="str">
            <v>Cat#</v>
          </cell>
          <cell r="C391" t="str">
            <v>54" x 108" Adult Shroud Sheet / Banta #950363/25</v>
          </cell>
          <cell r="D391" t="str">
            <v>700 ETAL</v>
          </cell>
          <cell r="E391">
            <v>36563</v>
          </cell>
          <cell r="F391" t="str">
            <v>950363</v>
          </cell>
          <cell r="K391" t="str">
            <v>S-4</v>
          </cell>
          <cell r="L391" t="str">
            <v>N/A</v>
          </cell>
          <cell r="P391" t="str">
            <v>N/A</v>
          </cell>
          <cell r="Q391" t="str">
            <v>N/A</v>
          </cell>
          <cell r="R391" t="str">
            <v>8</v>
          </cell>
          <cell r="S391" t="str">
            <v>0</v>
          </cell>
          <cell r="T391" t="str">
            <v>1.5</v>
          </cell>
          <cell r="U391" t="str">
            <v>2.5</v>
          </cell>
          <cell r="V391">
            <v>25</v>
          </cell>
          <cell r="X391" t="str">
            <v>Manufacturing</v>
          </cell>
          <cell r="Y391" t="str">
            <v>N/A</v>
          </cell>
          <cell r="Z391" t="str">
            <v>N/A</v>
          </cell>
          <cell r="AA391" t="str">
            <v>Shroud Area</v>
          </cell>
          <cell r="AB391" t="str">
            <v>Non-Sterile</v>
          </cell>
          <cell r="AC391" t="str">
            <v>N/A</v>
          </cell>
          <cell r="AG391" t="str">
            <v>N</v>
          </cell>
          <cell r="AH391" t="str">
            <v>N</v>
          </cell>
          <cell r="AI391" t="str">
            <v>LATEX FREE</v>
          </cell>
          <cell r="AJ391" t="str">
            <v>Current</v>
          </cell>
          <cell r="AK391" t="str">
            <v>N/A</v>
          </cell>
          <cell r="AL391" t="str">
            <v>N/A</v>
          </cell>
          <cell r="AM391" t="str">
            <v>9558IS-1</v>
          </cell>
          <cell r="AN391" t="str">
            <v>N/A</v>
          </cell>
          <cell r="AO391" t="str">
            <v>9558SL-2</v>
          </cell>
          <cell r="AP391" t="str">
            <v>N/A</v>
          </cell>
          <cell r="AS391" t="str">
            <v>N/A</v>
          </cell>
          <cell r="AT391" t="str">
            <v>N/A</v>
          </cell>
          <cell r="AU391" t="str">
            <v>N/A</v>
          </cell>
          <cell r="AV391" t="str">
            <v>7250A/ 7257</v>
          </cell>
        </row>
        <row r="392">
          <cell r="A392">
            <v>9560</v>
          </cell>
          <cell r="B392" t="str">
            <v>Cat#</v>
          </cell>
          <cell r="C392" t="str">
            <v>72" x 108" XL Shroud Sheet/ Banta #950371/10</v>
          </cell>
          <cell r="D392" t="str">
            <v>700 ETAL</v>
          </cell>
          <cell r="E392">
            <v>36563</v>
          </cell>
          <cell r="F392" t="str">
            <v>950371</v>
          </cell>
          <cell r="K392" t="str">
            <v>S-4</v>
          </cell>
          <cell r="L392" t="str">
            <v>N/A</v>
          </cell>
          <cell r="P392" t="str">
            <v>N/A</v>
          </cell>
          <cell r="Q392" t="str">
            <v>N/A</v>
          </cell>
          <cell r="R392" t="str">
            <v>8</v>
          </cell>
          <cell r="S392" t="str">
            <v>0</v>
          </cell>
          <cell r="T392" t="str">
            <v>1.5</v>
          </cell>
          <cell r="U392" t="str">
            <v>2.5</v>
          </cell>
          <cell r="V392">
            <v>10</v>
          </cell>
          <cell r="X392" t="str">
            <v>Manufacturing</v>
          </cell>
          <cell r="Y392" t="str">
            <v>N/A</v>
          </cell>
          <cell r="Z392" t="str">
            <v>N/A</v>
          </cell>
          <cell r="AA392" t="str">
            <v>Shroud Area</v>
          </cell>
          <cell r="AB392" t="str">
            <v>Non-Sterile</v>
          </cell>
          <cell r="AC392" t="str">
            <v>N/A</v>
          </cell>
          <cell r="AG392" t="str">
            <v>N</v>
          </cell>
          <cell r="AH392" t="str">
            <v>N</v>
          </cell>
          <cell r="AI392" t="str">
            <v>LATEX FREE</v>
          </cell>
          <cell r="AJ392" t="str">
            <v>Current</v>
          </cell>
          <cell r="AK392" t="str">
            <v>N/A</v>
          </cell>
          <cell r="AL392" t="str">
            <v>N/A</v>
          </cell>
          <cell r="AM392" t="str">
            <v>9560IS-1</v>
          </cell>
          <cell r="AN392" t="str">
            <v>N/A</v>
          </cell>
          <cell r="AO392" t="str">
            <v>9560SL-2</v>
          </cell>
          <cell r="AP392" t="str">
            <v>N/A</v>
          </cell>
          <cell r="AS392" t="str">
            <v>N/A</v>
          </cell>
          <cell r="AT392" t="str">
            <v>N/A</v>
          </cell>
          <cell r="AU392" t="str">
            <v>N/A</v>
          </cell>
          <cell r="AV392" t="str">
            <v>7270B,7257</v>
          </cell>
        </row>
        <row r="393">
          <cell r="A393" t="str">
            <v>9940</v>
          </cell>
          <cell r="B393" t="str">
            <v>Cat#</v>
          </cell>
          <cell r="C393" t="str">
            <v>7 1/2" Round CSR For Kier Surgical</v>
          </cell>
          <cell r="F393" t="str">
            <v>N/A</v>
          </cell>
          <cell r="Q393" t="str">
            <v>N/A</v>
          </cell>
          <cell r="V393">
            <v>1000</v>
          </cell>
          <cell r="X393" t="str">
            <v>Manufacturing</v>
          </cell>
          <cell r="Y393" t="str">
            <v>N/A</v>
          </cell>
          <cell r="Z393" t="str">
            <v>N/A</v>
          </cell>
          <cell r="AA393" t="str">
            <v>Manufacturing</v>
          </cell>
          <cell r="AB393" t="str">
            <v>Non-Sterile</v>
          </cell>
          <cell r="AC393" t="str">
            <v>N/A</v>
          </cell>
          <cell r="AG393" t="str">
            <v>N</v>
          </cell>
          <cell r="AH393" t="str">
            <v>N</v>
          </cell>
          <cell r="AI393" t="str">
            <v>LATEX FREE</v>
          </cell>
          <cell r="AJ393" t="str">
            <v>Discontinued</v>
          </cell>
          <cell r="AK393" t="str">
            <v>N/A</v>
          </cell>
          <cell r="AL393" t="str">
            <v>N/A</v>
          </cell>
          <cell r="AM393" t="str">
            <v>N/A</v>
          </cell>
          <cell r="AN393" t="str">
            <v>N/A</v>
          </cell>
          <cell r="AO393" t="str">
            <v>LF9940SL</v>
          </cell>
          <cell r="AP393" t="str">
            <v>REV A</v>
          </cell>
          <cell r="AS393" t="str">
            <v>N/A</v>
          </cell>
          <cell r="AT393" t="str">
            <v>N/A</v>
          </cell>
          <cell r="AU393" t="str">
            <v>N/A</v>
          </cell>
          <cell r="AV393" t="str">
            <v>8560D</v>
          </cell>
        </row>
        <row r="394">
          <cell r="A394" t="str">
            <v>97-92016</v>
          </cell>
          <cell r="B394" t="str">
            <v>Cat#</v>
          </cell>
          <cell r="C394" t="str">
            <v>HS/DE 36" x 36" Standard CSR Wrap/100</v>
          </cell>
          <cell r="D394" t="str">
            <v>843 ETAL</v>
          </cell>
          <cell r="E394">
            <v>36563</v>
          </cell>
          <cell r="F394" t="str">
            <v>97-92016</v>
          </cell>
          <cell r="K394" t="str">
            <v>S-4</v>
          </cell>
          <cell r="L394" t="str">
            <v>N/A</v>
          </cell>
          <cell r="P394" t="str">
            <v>N/A</v>
          </cell>
          <cell r="Q394" t="str">
            <v>N/A</v>
          </cell>
          <cell r="R394" t="str">
            <v>8</v>
          </cell>
          <cell r="S394" t="str">
            <v>0</v>
          </cell>
          <cell r="T394" t="str">
            <v>1.5</v>
          </cell>
          <cell r="U394" t="str">
            <v>2.5</v>
          </cell>
          <cell r="V394" t="str">
            <v>100</v>
          </cell>
          <cell r="W394" t="str">
            <v>S-4</v>
          </cell>
          <cell r="X394" t="str">
            <v>Manufacturing</v>
          </cell>
          <cell r="Y394" t="str">
            <v>N/A</v>
          </cell>
          <cell r="Z394" t="str">
            <v>N/A</v>
          </cell>
          <cell r="AA394" t="str">
            <v>Manufacturing</v>
          </cell>
          <cell r="AB394" t="str">
            <v>Non-Sterile</v>
          </cell>
          <cell r="AC394" t="str">
            <v>N/A</v>
          </cell>
          <cell r="AG394" t="str">
            <v>N</v>
          </cell>
          <cell r="AH394" t="str">
            <v>N</v>
          </cell>
          <cell r="AI394" t="str">
            <v>LATEX FREE</v>
          </cell>
          <cell r="AJ394" t="str">
            <v>Discontinued</v>
          </cell>
          <cell r="AK394" t="str">
            <v>N/A</v>
          </cell>
          <cell r="AL394" t="str">
            <v>N/A</v>
          </cell>
          <cell r="AM394" t="str">
            <v>N/A</v>
          </cell>
          <cell r="AN394" t="str">
            <v>N/A</v>
          </cell>
          <cell r="AO394" t="str">
            <v>5764SL</v>
          </cell>
          <cell r="AP394" t="str">
            <v>N/A</v>
          </cell>
          <cell r="AS394" t="str">
            <v>N/A</v>
          </cell>
          <cell r="AT394" t="str">
            <v>N/A</v>
          </cell>
          <cell r="AU394" t="str">
            <v>N/A</v>
          </cell>
          <cell r="AV394" t="str">
            <v>8436D</v>
          </cell>
        </row>
        <row r="395">
          <cell r="A395" t="str">
            <v>97-93347</v>
          </cell>
          <cell r="B395" t="str">
            <v>Cat#</v>
          </cell>
          <cell r="C395" t="str">
            <v>HS/DE 12"x 12" Standard CSR Wrap/100</v>
          </cell>
          <cell r="D395" t="str">
            <v>843 ETAL</v>
          </cell>
          <cell r="E395">
            <v>36563</v>
          </cell>
          <cell r="F395" t="str">
            <v>97-93347</v>
          </cell>
          <cell r="K395" t="str">
            <v>S-4</v>
          </cell>
          <cell r="L395" t="str">
            <v>N/A</v>
          </cell>
          <cell r="P395" t="str">
            <v>N/A</v>
          </cell>
          <cell r="Q395" t="str">
            <v>N/A</v>
          </cell>
          <cell r="R395" t="str">
            <v>8</v>
          </cell>
          <cell r="S395" t="str">
            <v>0</v>
          </cell>
          <cell r="T395" t="str">
            <v>1.5</v>
          </cell>
          <cell r="U395" t="str">
            <v>2.5</v>
          </cell>
          <cell r="V395" t="str">
            <v>100</v>
          </cell>
          <cell r="W395" t="str">
            <v>S-4</v>
          </cell>
          <cell r="X395" t="str">
            <v>Manufacturing</v>
          </cell>
          <cell r="Y395" t="str">
            <v>N/A</v>
          </cell>
          <cell r="Z395" t="str">
            <v>N/A</v>
          </cell>
          <cell r="AA395" t="str">
            <v>Manufacturing</v>
          </cell>
          <cell r="AB395" t="str">
            <v>Non-Sterile</v>
          </cell>
          <cell r="AC395" t="str">
            <v>N/A</v>
          </cell>
          <cell r="AG395" t="str">
            <v>N</v>
          </cell>
          <cell r="AH395" t="str">
            <v>N</v>
          </cell>
          <cell r="AI395" t="str">
            <v>LATEX FREE</v>
          </cell>
          <cell r="AJ395" t="str">
            <v>Discontinued</v>
          </cell>
          <cell r="AK395" t="str">
            <v>N/A</v>
          </cell>
          <cell r="AL395" t="str">
            <v>N/A</v>
          </cell>
          <cell r="AM395" t="str">
            <v>N/A</v>
          </cell>
          <cell r="AN395" t="str">
            <v>N/A</v>
          </cell>
          <cell r="AO395" t="str">
            <v>5760SL</v>
          </cell>
          <cell r="AP395" t="str">
            <v>N/A</v>
          </cell>
          <cell r="AS395" t="str">
            <v>N/A</v>
          </cell>
          <cell r="AT395" t="str">
            <v>N/A</v>
          </cell>
          <cell r="AU395" t="str">
            <v>N/A</v>
          </cell>
          <cell r="AV395" t="str">
            <v>8412D</v>
          </cell>
        </row>
        <row r="396">
          <cell r="A396" t="str">
            <v>97-94683</v>
          </cell>
          <cell r="B396" t="str">
            <v>Cat#</v>
          </cell>
          <cell r="C396" t="str">
            <v>HS/DE 18" x 18" standard CSR Wrap/100</v>
          </cell>
          <cell r="D396" t="str">
            <v>843 ETAL</v>
          </cell>
          <cell r="E396">
            <v>36563</v>
          </cell>
          <cell r="F396" t="str">
            <v>97-94683</v>
          </cell>
          <cell r="K396" t="str">
            <v>S-4</v>
          </cell>
          <cell r="L396" t="str">
            <v>N/A</v>
          </cell>
          <cell r="P396" t="str">
            <v>N/A</v>
          </cell>
          <cell r="Q396" t="str">
            <v>N/A</v>
          </cell>
          <cell r="R396" t="str">
            <v>8</v>
          </cell>
          <cell r="S396" t="str">
            <v>0</v>
          </cell>
          <cell r="T396" t="str">
            <v>1.5</v>
          </cell>
          <cell r="U396" t="str">
            <v>2.5</v>
          </cell>
          <cell r="V396" t="str">
            <v>100</v>
          </cell>
          <cell r="W396" t="str">
            <v>S-4</v>
          </cell>
          <cell r="X396" t="str">
            <v>Manufacturing</v>
          </cell>
          <cell r="Y396" t="str">
            <v>N/A</v>
          </cell>
          <cell r="Z396" t="str">
            <v>N/A</v>
          </cell>
          <cell r="AA396" t="str">
            <v>Manufacturing</v>
          </cell>
          <cell r="AB396" t="str">
            <v>Non-Sterile</v>
          </cell>
          <cell r="AC396" t="str">
            <v>N/A</v>
          </cell>
          <cell r="AG396" t="str">
            <v>N</v>
          </cell>
          <cell r="AH396" t="str">
            <v>N</v>
          </cell>
          <cell r="AI396" t="str">
            <v>LATEX FREE</v>
          </cell>
          <cell r="AJ396" t="str">
            <v>Discontinued</v>
          </cell>
          <cell r="AK396" t="str">
            <v>N/A</v>
          </cell>
          <cell r="AL396" t="str">
            <v>N/A</v>
          </cell>
          <cell r="AM396" t="str">
            <v>N/A</v>
          </cell>
          <cell r="AN396" t="str">
            <v>N/A</v>
          </cell>
          <cell r="AO396" t="str">
            <v>5761SL</v>
          </cell>
          <cell r="AP396" t="str">
            <v>N/A</v>
          </cell>
          <cell r="AS396" t="str">
            <v>N/A</v>
          </cell>
          <cell r="AT396" t="str">
            <v>N/A</v>
          </cell>
          <cell r="AU396" t="str">
            <v>N/A</v>
          </cell>
          <cell r="AV396" t="str">
            <v>8418D</v>
          </cell>
        </row>
        <row r="397">
          <cell r="A397" t="str">
            <v>97-96950</v>
          </cell>
          <cell r="B397" t="str">
            <v>Cat#</v>
          </cell>
          <cell r="C397" t="str">
            <v>HS/DE 24" x 24" Standard CSR Wrap/100</v>
          </cell>
          <cell r="D397" t="str">
            <v>843 ETAL</v>
          </cell>
          <cell r="E397">
            <v>36563</v>
          </cell>
          <cell r="F397" t="str">
            <v>97-96950</v>
          </cell>
          <cell r="K397" t="str">
            <v>S-4</v>
          </cell>
          <cell r="L397" t="str">
            <v>N/A</v>
          </cell>
          <cell r="P397" t="str">
            <v>N/A</v>
          </cell>
          <cell r="Q397" t="str">
            <v>N/A</v>
          </cell>
          <cell r="R397" t="str">
            <v>8</v>
          </cell>
          <cell r="S397" t="str">
            <v>0</v>
          </cell>
          <cell r="T397" t="str">
            <v>1.5</v>
          </cell>
          <cell r="U397" t="str">
            <v>2.5</v>
          </cell>
          <cell r="V397" t="str">
            <v>100</v>
          </cell>
          <cell r="W397" t="str">
            <v>S-4</v>
          </cell>
          <cell r="X397" t="str">
            <v>Manufacturing</v>
          </cell>
          <cell r="Y397" t="str">
            <v>N/A</v>
          </cell>
          <cell r="Z397" t="str">
            <v>N/A</v>
          </cell>
          <cell r="AA397" t="str">
            <v>Manufacturing</v>
          </cell>
          <cell r="AB397" t="str">
            <v>Non-Sterile</v>
          </cell>
          <cell r="AC397" t="str">
            <v>N/A</v>
          </cell>
          <cell r="AG397" t="str">
            <v>N</v>
          </cell>
          <cell r="AH397" t="str">
            <v>N</v>
          </cell>
          <cell r="AI397" t="str">
            <v>LATEX FREE</v>
          </cell>
          <cell r="AJ397" t="str">
            <v>Discontinued</v>
          </cell>
          <cell r="AK397" t="str">
            <v>N/A</v>
          </cell>
          <cell r="AL397" t="str">
            <v>N/A</v>
          </cell>
          <cell r="AM397" t="str">
            <v>N/A</v>
          </cell>
          <cell r="AN397" t="str">
            <v>N/A</v>
          </cell>
          <cell r="AO397" t="str">
            <v>5762SL</v>
          </cell>
          <cell r="AP397" t="str">
            <v>N/A</v>
          </cell>
          <cell r="AS397" t="str">
            <v>N/A</v>
          </cell>
          <cell r="AT397" t="str">
            <v>N/A</v>
          </cell>
          <cell r="AU397" t="str">
            <v>N/A</v>
          </cell>
          <cell r="AV397" t="str">
            <v>8424D</v>
          </cell>
        </row>
        <row r="398">
          <cell r="A398" t="str">
            <v>97-98187</v>
          </cell>
          <cell r="B398" t="str">
            <v>Cat#</v>
          </cell>
          <cell r="C398" t="str">
            <v>HS/DE 30" x 30" Standard CSR Wrap/100</v>
          </cell>
          <cell r="F398" t="str">
            <v>97-98187</v>
          </cell>
          <cell r="K398" t="str">
            <v>S-4</v>
          </cell>
          <cell r="L398" t="str">
            <v>N/A</v>
          </cell>
          <cell r="P398" t="str">
            <v>N/A</v>
          </cell>
          <cell r="Q398" t="str">
            <v>N/A</v>
          </cell>
          <cell r="R398" t="str">
            <v>8</v>
          </cell>
          <cell r="S398" t="str">
            <v>0</v>
          </cell>
          <cell r="T398" t="str">
            <v>1.5</v>
          </cell>
          <cell r="U398" t="str">
            <v>2.5</v>
          </cell>
          <cell r="V398" t="str">
            <v>100</v>
          </cell>
          <cell r="X398" t="str">
            <v>Manufacturing</v>
          </cell>
          <cell r="Y398" t="str">
            <v>N/A</v>
          </cell>
          <cell r="Z398" t="str">
            <v>N/A</v>
          </cell>
          <cell r="AA398" t="str">
            <v>Manufacturing</v>
          </cell>
          <cell r="AB398" t="str">
            <v>Non-Sterile</v>
          </cell>
          <cell r="AC398" t="str">
            <v>N/A</v>
          </cell>
          <cell r="AG398" t="str">
            <v>N</v>
          </cell>
          <cell r="AH398" t="str">
            <v>N</v>
          </cell>
          <cell r="AI398" t="str">
            <v>LATEX FREE</v>
          </cell>
          <cell r="AJ398" t="str">
            <v>Discontinued</v>
          </cell>
          <cell r="AK398" t="str">
            <v>N/A</v>
          </cell>
          <cell r="AL398" t="str">
            <v>N/A</v>
          </cell>
          <cell r="AM398" t="str">
            <v>N/A</v>
          </cell>
          <cell r="AN398" t="str">
            <v>N/A</v>
          </cell>
          <cell r="AO398" t="str">
            <v>5763SL</v>
          </cell>
          <cell r="AP398" t="str">
            <v>N/A</v>
          </cell>
          <cell r="AS398" t="str">
            <v>N/A</v>
          </cell>
          <cell r="AT398" t="str">
            <v>N/A</v>
          </cell>
          <cell r="AU398" t="str">
            <v>N/A</v>
          </cell>
          <cell r="AV398" t="str">
            <v>8430D</v>
          </cell>
        </row>
        <row r="399">
          <cell r="A399" t="str">
            <v>1331K</v>
          </cell>
          <cell r="B399" t="str">
            <v>Comp #</v>
          </cell>
          <cell r="C399" t="str">
            <v>7mm Curette Blanks, K-Resin/1500</v>
          </cell>
          <cell r="D399" t="str">
            <v>1420A ETAL</v>
          </cell>
          <cell r="E399">
            <v>37602</v>
          </cell>
          <cell r="F399" t="str">
            <v>N/A</v>
          </cell>
          <cell r="K399" t="str">
            <v>S-4</v>
          </cell>
          <cell r="L399" t="str">
            <v>N/A</v>
          </cell>
          <cell r="P399" t="str">
            <v>N/A</v>
          </cell>
          <cell r="Q399" t="str">
            <v>N/A</v>
          </cell>
          <cell r="R399" t="str">
            <v>8</v>
          </cell>
          <cell r="S399" t="str">
            <v>0</v>
          </cell>
          <cell r="T399" t="str">
            <v>1.5</v>
          </cell>
          <cell r="U399" t="str">
            <v>2.5</v>
          </cell>
          <cell r="V399" t="str">
            <v>1500</v>
          </cell>
          <cell r="W399" t="str">
            <v>S-4</v>
          </cell>
          <cell r="X399" t="str">
            <v>Injection Molding</v>
          </cell>
          <cell r="Y399" t="str">
            <v>N/A</v>
          </cell>
          <cell r="Z399" t="str">
            <v>4</v>
          </cell>
          <cell r="AA399" t="str">
            <v>Arburg</v>
          </cell>
          <cell r="AB399" t="str">
            <v>Non-Sterile</v>
          </cell>
          <cell r="AC399" t="str">
            <v>N/A</v>
          </cell>
          <cell r="AG399" t="str">
            <v>N</v>
          </cell>
          <cell r="AH399" t="str">
            <v>Y</v>
          </cell>
          <cell r="AI399" t="str">
            <v>LATEX FREE</v>
          </cell>
          <cell r="AJ399" t="str">
            <v>Current</v>
          </cell>
          <cell r="AK399" t="str">
            <v>N/A</v>
          </cell>
          <cell r="AL399" t="str">
            <v>N/A</v>
          </cell>
          <cell r="AM399" t="str">
            <v>N/A</v>
          </cell>
          <cell r="AN399" t="str">
            <v>N/A</v>
          </cell>
          <cell r="AO399" t="str">
            <v>N/A</v>
          </cell>
          <cell r="AP399" t="str">
            <v>N/A</v>
          </cell>
          <cell r="AS399" t="str">
            <v>Reuse 2044 10x</v>
          </cell>
          <cell r="AT399" t="str">
            <v>N/A</v>
          </cell>
          <cell r="AU399" t="str">
            <v>N/A</v>
          </cell>
          <cell r="AV399" t="str">
            <v>2962Z,2963A</v>
          </cell>
        </row>
        <row r="400">
          <cell r="A400" t="str">
            <v>1331KD</v>
          </cell>
          <cell r="C400" t="str">
            <v>7MM Curette Deflashed</v>
          </cell>
          <cell r="AB400" t="str">
            <v>Non-Sterile</v>
          </cell>
          <cell r="AJ400" t="str">
            <v>Discontinued</v>
          </cell>
          <cell r="AK400" t="str">
            <v>N/A</v>
          </cell>
          <cell r="AL400" t="str">
            <v>N/A</v>
          </cell>
        </row>
        <row r="401">
          <cell r="A401" t="str">
            <v>1341K</v>
          </cell>
          <cell r="B401" t="str">
            <v>Comp #</v>
          </cell>
          <cell r="C401" t="str">
            <v>8mm Curette Blanks, K-Resin/1500</v>
          </cell>
          <cell r="D401" t="str">
            <v>1420A ETAL</v>
          </cell>
          <cell r="E401">
            <v>37602</v>
          </cell>
          <cell r="F401" t="str">
            <v>N/A</v>
          </cell>
          <cell r="K401" t="str">
            <v>S-4</v>
          </cell>
          <cell r="L401" t="str">
            <v>N/A</v>
          </cell>
          <cell r="P401" t="str">
            <v>N/A</v>
          </cell>
          <cell r="Q401" t="str">
            <v>N/A</v>
          </cell>
          <cell r="R401" t="str">
            <v>8</v>
          </cell>
          <cell r="S401" t="str">
            <v>0</v>
          </cell>
          <cell r="T401" t="str">
            <v>1.5</v>
          </cell>
          <cell r="U401" t="str">
            <v>2.5</v>
          </cell>
          <cell r="V401" t="str">
            <v>1500</v>
          </cell>
          <cell r="W401" t="str">
            <v>S-4</v>
          </cell>
          <cell r="X401" t="str">
            <v>Injection Molding</v>
          </cell>
          <cell r="Y401" t="str">
            <v>N/A</v>
          </cell>
          <cell r="Z401" t="str">
            <v>4</v>
          </cell>
          <cell r="AA401" t="str">
            <v>Arburg</v>
          </cell>
          <cell r="AB401" t="str">
            <v>Non-Sterile</v>
          </cell>
          <cell r="AC401" t="str">
            <v>N/A</v>
          </cell>
          <cell r="AG401" t="str">
            <v>N</v>
          </cell>
          <cell r="AH401" t="str">
            <v>Y</v>
          </cell>
          <cell r="AI401" t="str">
            <v>LATEX FREE</v>
          </cell>
          <cell r="AJ401" t="str">
            <v>Current</v>
          </cell>
          <cell r="AK401" t="str">
            <v>N/A</v>
          </cell>
          <cell r="AL401" t="str">
            <v>N/A</v>
          </cell>
          <cell r="AM401" t="str">
            <v>N/A</v>
          </cell>
          <cell r="AN401" t="str">
            <v>N/A</v>
          </cell>
          <cell r="AO401" t="str">
            <v>N/A</v>
          </cell>
          <cell r="AP401" t="str">
            <v>N/A</v>
          </cell>
          <cell r="AS401" t="str">
            <v>Reuse 2044 10x</v>
          </cell>
          <cell r="AT401" t="str">
            <v>N/A</v>
          </cell>
          <cell r="AU401" t="str">
            <v>N/A</v>
          </cell>
          <cell r="AV401" t="str">
            <v>2962Z,2963A</v>
          </cell>
        </row>
        <row r="402">
          <cell r="A402" t="str">
            <v>1341KD</v>
          </cell>
          <cell r="C402" t="str">
            <v>8MM Curette Deflashed</v>
          </cell>
          <cell r="AB402" t="str">
            <v>Non-Sterile</v>
          </cell>
          <cell r="AJ402" t="str">
            <v>Discontinued</v>
          </cell>
          <cell r="AK402" t="str">
            <v>N/A</v>
          </cell>
          <cell r="AL402" t="str">
            <v>N/A</v>
          </cell>
        </row>
        <row r="403">
          <cell r="A403" t="str">
            <v>1351K</v>
          </cell>
          <cell r="B403" t="str">
            <v>Comp #</v>
          </cell>
          <cell r="C403" t="str">
            <v>9mm Curette Blanks, K-Resin/1200</v>
          </cell>
          <cell r="D403" t="str">
            <v>1420A ETAL</v>
          </cell>
          <cell r="E403">
            <v>37602</v>
          </cell>
          <cell r="F403" t="str">
            <v>N/A</v>
          </cell>
          <cell r="K403" t="str">
            <v>S-4</v>
          </cell>
          <cell r="L403" t="str">
            <v>N/A</v>
          </cell>
          <cell r="P403" t="str">
            <v>N/A</v>
          </cell>
          <cell r="Q403" t="str">
            <v>N/A</v>
          </cell>
          <cell r="R403" t="str">
            <v>8</v>
          </cell>
          <cell r="S403" t="str">
            <v>0</v>
          </cell>
          <cell r="T403" t="str">
            <v>1.5</v>
          </cell>
          <cell r="U403" t="str">
            <v>2.5</v>
          </cell>
          <cell r="V403" t="str">
            <v>1200</v>
          </cell>
          <cell r="W403" t="str">
            <v>S-4</v>
          </cell>
          <cell r="X403" t="str">
            <v>Injection Molding</v>
          </cell>
          <cell r="Y403" t="str">
            <v>N/A</v>
          </cell>
          <cell r="Z403" t="str">
            <v>4</v>
          </cell>
          <cell r="AA403" t="str">
            <v>Arburg</v>
          </cell>
          <cell r="AB403" t="str">
            <v>Non-Sterile</v>
          </cell>
          <cell r="AC403" t="str">
            <v>N/A</v>
          </cell>
          <cell r="AG403" t="str">
            <v>N</v>
          </cell>
          <cell r="AH403" t="str">
            <v>Y</v>
          </cell>
          <cell r="AI403" t="str">
            <v>LATEX FREE</v>
          </cell>
          <cell r="AJ403" t="str">
            <v>Current</v>
          </cell>
          <cell r="AK403" t="str">
            <v>N/A</v>
          </cell>
          <cell r="AL403" t="str">
            <v>N/A</v>
          </cell>
          <cell r="AM403" t="str">
            <v>N/A</v>
          </cell>
          <cell r="AN403" t="str">
            <v>N/A</v>
          </cell>
          <cell r="AO403" t="str">
            <v>N/A</v>
          </cell>
          <cell r="AP403" t="str">
            <v>N/A</v>
          </cell>
          <cell r="AS403" t="str">
            <v>Reuse 2044 10x</v>
          </cell>
          <cell r="AT403" t="str">
            <v>N/A</v>
          </cell>
          <cell r="AU403" t="str">
            <v>N/A</v>
          </cell>
          <cell r="AV403" t="str">
            <v>2962Z,2963A</v>
          </cell>
        </row>
        <row r="404">
          <cell r="A404" t="str">
            <v>1351KD</v>
          </cell>
          <cell r="C404" t="str">
            <v>9MM Curette Deflashed</v>
          </cell>
          <cell r="AB404" t="str">
            <v>Non-Sterile</v>
          </cell>
          <cell r="AJ404" t="str">
            <v>Discontinued</v>
          </cell>
          <cell r="AK404" t="str">
            <v>N/A</v>
          </cell>
          <cell r="AL404" t="str">
            <v>N/A</v>
          </cell>
        </row>
        <row r="405">
          <cell r="A405" t="str">
            <v>1361K</v>
          </cell>
          <cell r="B405" t="str">
            <v>Comp #</v>
          </cell>
          <cell r="C405" t="str">
            <v>10mm Curette Blanks, K-Resin/1200</v>
          </cell>
          <cell r="D405" t="str">
            <v>1420A ETAL</v>
          </cell>
          <cell r="E405">
            <v>37602</v>
          </cell>
          <cell r="F405" t="str">
            <v>N/A</v>
          </cell>
          <cell r="K405" t="str">
            <v>S-4</v>
          </cell>
          <cell r="L405" t="str">
            <v>N/A</v>
          </cell>
          <cell r="P405" t="str">
            <v>N/A</v>
          </cell>
          <cell r="Q405" t="str">
            <v>N/A</v>
          </cell>
          <cell r="R405" t="str">
            <v>8</v>
          </cell>
          <cell r="S405" t="str">
            <v>0</v>
          </cell>
          <cell r="T405" t="str">
            <v>1.5</v>
          </cell>
          <cell r="U405" t="str">
            <v>2.5</v>
          </cell>
          <cell r="V405" t="str">
            <v>1200</v>
          </cell>
          <cell r="W405" t="str">
            <v>S-4</v>
          </cell>
          <cell r="X405" t="str">
            <v>Injection Molding</v>
          </cell>
          <cell r="Y405" t="str">
            <v>N/A</v>
          </cell>
          <cell r="Z405" t="str">
            <v>4</v>
          </cell>
          <cell r="AA405" t="str">
            <v>Arburg</v>
          </cell>
          <cell r="AB405" t="str">
            <v>Non-Sterile</v>
          </cell>
          <cell r="AC405" t="str">
            <v>N/A</v>
          </cell>
          <cell r="AG405" t="str">
            <v>N</v>
          </cell>
          <cell r="AH405" t="str">
            <v>Y</v>
          </cell>
          <cell r="AI405" t="str">
            <v>LATEX FREE</v>
          </cell>
          <cell r="AJ405" t="str">
            <v>Current</v>
          </cell>
          <cell r="AK405" t="str">
            <v>N/A</v>
          </cell>
          <cell r="AL405" t="str">
            <v>N/A</v>
          </cell>
          <cell r="AM405" t="str">
            <v>N/A</v>
          </cell>
          <cell r="AN405" t="str">
            <v>N/A</v>
          </cell>
          <cell r="AO405" t="str">
            <v>N/A</v>
          </cell>
          <cell r="AP405" t="str">
            <v>N/A</v>
          </cell>
          <cell r="AS405" t="str">
            <v>Reuse 2044 10x</v>
          </cell>
          <cell r="AT405" t="str">
            <v>N/A</v>
          </cell>
          <cell r="AU405" t="str">
            <v>N/A</v>
          </cell>
          <cell r="AV405" t="str">
            <v>2962Z,2963A</v>
          </cell>
        </row>
        <row r="406">
          <cell r="A406" t="str">
            <v>1361KD</v>
          </cell>
          <cell r="C406" t="str">
            <v>10MM Curette Deflashed</v>
          </cell>
          <cell r="AB406" t="str">
            <v>Non-Sterile</v>
          </cell>
          <cell r="AJ406" t="str">
            <v>Discontinued</v>
          </cell>
          <cell r="AK406" t="str">
            <v>N/A</v>
          </cell>
          <cell r="AL406" t="str">
            <v>N/A</v>
          </cell>
        </row>
        <row r="407">
          <cell r="A407" t="str">
            <v>1371K</v>
          </cell>
          <cell r="B407" t="str">
            <v>Comp#</v>
          </cell>
          <cell r="C407" t="str">
            <v>11mm Curette Blanks, K-Resin/1300</v>
          </cell>
          <cell r="D407" t="str">
            <v>1420A ETAL</v>
          </cell>
          <cell r="E407">
            <v>37602</v>
          </cell>
          <cell r="F407" t="str">
            <v>N/A</v>
          </cell>
          <cell r="K407" t="str">
            <v>S-4</v>
          </cell>
          <cell r="L407" t="str">
            <v>N/A</v>
          </cell>
          <cell r="P407" t="str">
            <v>N/A</v>
          </cell>
          <cell r="Q407" t="str">
            <v>N/A</v>
          </cell>
          <cell r="R407" t="str">
            <v>8</v>
          </cell>
          <cell r="S407" t="str">
            <v>0</v>
          </cell>
          <cell r="T407" t="str">
            <v>1.5</v>
          </cell>
          <cell r="U407" t="str">
            <v>2.5</v>
          </cell>
          <cell r="V407" t="str">
            <v>1300</v>
          </cell>
          <cell r="W407" t="str">
            <v>S-4</v>
          </cell>
          <cell r="X407" t="str">
            <v>Injection Molding</v>
          </cell>
          <cell r="Y407" t="str">
            <v>N/A</v>
          </cell>
          <cell r="Z407" t="str">
            <v>4</v>
          </cell>
          <cell r="AA407" t="str">
            <v>Arburg</v>
          </cell>
          <cell r="AB407" t="str">
            <v>Non-Sterile</v>
          </cell>
          <cell r="AC407" t="str">
            <v>N/A</v>
          </cell>
          <cell r="AG407" t="str">
            <v>N</v>
          </cell>
          <cell r="AH407" t="str">
            <v>Y</v>
          </cell>
          <cell r="AI407" t="str">
            <v>LATEX FREE</v>
          </cell>
          <cell r="AJ407" t="str">
            <v>Current</v>
          </cell>
          <cell r="AK407" t="str">
            <v>N/A</v>
          </cell>
          <cell r="AL407" t="str">
            <v>N/A</v>
          </cell>
          <cell r="AM407" t="str">
            <v>N/A</v>
          </cell>
          <cell r="AN407" t="str">
            <v>N/A</v>
          </cell>
          <cell r="AO407" t="str">
            <v>N/A</v>
          </cell>
          <cell r="AP407" t="str">
            <v>N/A</v>
          </cell>
          <cell r="AS407" t="str">
            <v>Reuse 2044 10x</v>
          </cell>
          <cell r="AT407" t="str">
            <v>N/A</v>
          </cell>
          <cell r="AU407" t="str">
            <v>N/A</v>
          </cell>
          <cell r="AV407" t="str">
            <v>2962Z,2963A</v>
          </cell>
        </row>
        <row r="408">
          <cell r="A408" t="str">
            <v>1371KD</v>
          </cell>
          <cell r="C408" t="str">
            <v>11MM Curette Deflashed</v>
          </cell>
          <cell r="AB408" t="str">
            <v>Non-Sterile</v>
          </cell>
          <cell r="AJ408" t="str">
            <v>Discontinued</v>
          </cell>
          <cell r="AK408" t="str">
            <v>N/A</v>
          </cell>
          <cell r="AL408" t="str">
            <v>N/A</v>
          </cell>
        </row>
        <row r="409">
          <cell r="A409" t="str">
            <v>1381K</v>
          </cell>
          <cell r="B409" t="str">
            <v>Comp#</v>
          </cell>
          <cell r="C409" t="str">
            <v>12mm Curette Blanks, K-Resin/1300</v>
          </cell>
          <cell r="D409" t="str">
            <v>1420A ETAL</v>
          </cell>
          <cell r="E409">
            <v>37602</v>
          </cell>
          <cell r="F409" t="str">
            <v>N/A</v>
          </cell>
          <cell r="K409" t="str">
            <v>S-4</v>
          </cell>
          <cell r="L409" t="str">
            <v>N/A</v>
          </cell>
          <cell r="P409" t="str">
            <v>N/A</v>
          </cell>
          <cell r="Q409" t="str">
            <v>N/A</v>
          </cell>
          <cell r="R409" t="str">
            <v>8</v>
          </cell>
          <cell r="S409" t="str">
            <v>0</v>
          </cell>
          <cell r="T409" t="str">
            <v>1.5</v>
          </cell>
          <cell r="U409" t="str">
            <v>2.5</v>
          </cell>
          <cell r="V409" t="str">
            <v>1300</v>
          </cell>
          <cell r="W409" t="str">
            <v>S-4</v>
          </cell>
          <cell r="X409" t="str">
            <v>Injection Molding</v>
          </cell>
          <cell r="Y409" t="str">
            <v>N/A</v>
          </cell>
          <cell r="Z409" t="str">
            <v>4</v>
          </cell>
          <cell r="AA409" t="str">
            <v>Arburg</v>
          </cell>
          <cell r="AB409" t="str">
            <v>Non-Sterile</v>
          </cell>
          <cell r="AC409" t="str">
            <v>N/A</v>
          </cell>
          <cell r="AG409" t="str">
            <v>N</v>
          </cell>
          <cell r="AH409" t="str">
            <v>Y</v>
          </cell>
          <cell r="AI409" t="str">
            <v>LATEX FREE</v>
          </cell>
          <cell r="AJ409" t="str">
            <v>Current</v>
          </cell>
          <cell r="AK409" t="str">
            <v>N/A</v>
          </cell>
          <cell r="AL409" t="str">
            <v>N/A</v>
          </cell>
          <cell r="AM409" t="str">
            <v>N/A</v>
          </cell>
          <cell r="AN409" t="str">
            <v>N/A</v>
          </cell>
          <cell r="AO409" t="str">
            <v>N/A</v>
          </cell>
          <cell r="AP409" t="str">
            <v>N/A</v>
          </cell>
          <cell r="AS409" t="str">
            <v>Reuse 2044 10x</v>
          </cell>
          <cell r="AT409" t="str">
            <v>N/A</v>
          </cell>
          <cell r="AU409" t="str">
            <v>N/A</v>
          </cell>
          <cell r="AV409" t="str">
            <v>2962Z,2963A</v>
          </cell>
        </row>
        <row r="410">
          <cell r="A410" t="str">
            <v>1381KD</v>
          </cell>
          <cell r="C410" t="str">
            <v>12MM Curette Deflashed</v>
          </cell>
          <cell r="AB410" t="str">
            <v>Non-Sterile</v>
          </cell>
          <cell r="AJ410" t="str">
            <v>Discontinued</v>
          </cell>
          <cell r="AK410" t="str">
            <v>N/A</v>
          </cell>
          <cell r="AL410" t="str">
            <v>N/A</v>
          </cell>
        </row>
        <row r="411">
          <cell r="A411" t="str">
            <v>1391C</v>
          </cell>
          <cell r="C411" t="str">
            <v>14MM Curette Cut Opening</v>
          </cell>
          <cell r="AB411" t="str">
            <v>Non-Sterile</v>
          </cell>
          <cell r="AJ411" t="str">
            <v>Discontinued</v>
          </cell>
          <cell r="AK411" t="str">
            <v>N/A</v>
          </cell>
          <cell r="AL411" t="str">
            <v>N/A</v>
          </cell>
        </row>
        <row r="412">
          <cell r="A412" t="str">
            <v>1410A</v>
          </cell>
          <cell r="B412" t="str">
            <v>Comp#</v>
          </cell>
          <cell r="C412" t="str">
            <v>Green Rounded Top Piece 1oz Bulb Syringe/1000</v>
          </cell>
          <cell r="D412" t="str">
            <v>1420A ETAL</v>
          </cell>
          <cell r="E412">
            <v>37602</v>
          </cell>
          <cell r="F412" t="str">
            <v>N/A</v>
          </cell>
          <cell r="K412" t="str">
            <v>S-4</v>
          </cell>
          <cell r="L412" t="str">
            <v>N/A</v>
          </cell>
          <cell r="P412" t="str">
            <v>N/A</v>
          </cell>
          <cell r="Q412" t="str">
            <v>N/A</v>
          </cell>
          <cell r="R412" t="str">
            <v>8</v>
          </cell>
          <cell r="S412" t="str">
            <v>0</v>
          </cell>
          <cell r="T412" t="str">
            <v>1.5</v>
          </cell>
          <cell r="U412" t="str">
            <v>2.5</v>
          </cell>
          <cell r="V412" t="str">
            <v>1000</v>
          </cell>
          <cell r="W412" t="str">
            <v>S-4</v>
          </cell>
          <cell r="X412" t="str">
            <v>Injection Moldng</v>
          </cell>
          <cell r="Y412" t="str">
            <v>N/A</v>
          </cell>
          <cell r="AA412" t="str">
            <v>Arburg</v>
          </cell>
          <cell r="AB412" t="str">
            <v>Non-Sterile</v>
          </cell>
          <cell r="AC412" t="str">
            <v>N/A</v>
          </cell>
          <cell r="AG412" t="str">
            <v>N</v>
          </cell>
          <cell r="AH412" t="str">
            <v>Y</v>
          </cell>
          <cell r="AI412" t="str">
            <v>LATEX FREE</v>
          </cell>
          <cell r="AJ412" t="str">
            <v>Current</v>
          </cell>
          <cell r="AK412" t="str">
            <v>N/A</v>
          </cell>
          <cell r="AL412" t="str">
            <v>N/A</v>
          </cell>
          <cell r="AM412" t="str">
            <v>N/A</v>
          </cell>
          <cell r="AN412" t="str">
            <v>N/A</v>
          </cell>
          <cell r="AO412" t="str">
            <v>N/A</v>
          </cell>
          <cell r="AP412" t="str">
            <v>N/A</v>
          </cell>
          <cell r="AS412" t="str">
            <v>Reuse 8252A 10x</v>
          </cell>
          <cell r="AT412" t="str">
            <v>N/A</v>
          </cell>
          <cell r="AU412" t="str">
            <v>N/A</v>
          </cell>
          <cell r="AV412" t="str">
            <v>1430PV,6934</v>
          </cell>
        </row>
        <row r="413">
          <cell r="A413" t="str">
            <v>1410T</v>
          </cell>
          <cell r="B413" t="str">
            <v>Comp#</v>
          </cell>
          <cell r="C413" t="str">
            <v>Green Bottom Tip Piece 1oz Bulb Syringe/500</v>
          </cell>
          <cell r="D413" t="str">
            <v>1420A ETAL</v>
          </cell>
          <cell r="E413">
            <v>37602</v>
          </cell>
          <cell r="F413" t="str">
            <v>N/A</v>
          </cell>
          <cell r="K413" t="str">
            <v>S-4</v>
          </cell>
          <cell r="L413" t="str">
            <v>N/A</v>
          </cell>
          <cell r="P413" t="str">
            <v>N/A</v>
          </cell>
          <cell r="Q413" t="str">
            <v>N/A</v>
          </cell>
          <cell r="R413" t="str">
            <v>8</v>
          </cell>
          <cell r="S413" t="str">
            <v>0</v>
          </cell>
          <cell r="T413" t="str">
            <v>1.5</v>
          </cell>
          <cell r="U413" t="str">
            <v>2.5</v>
          </cell>
          <cell r="V413" t="str">
            <v>500</v>
          </cell>
          <cell r="W413" t="str">
            <v>S-4</v>
          </cell>
          <cell r="X413" t="str">
            <v>Injection Moldng</v>
          </cell>
          <cell r="Y413" t="str">
            <v>N/A</v>
          </cell>
          <cell r="AA413" t="str">
            <v>Arburg</v>
          </cell>
          <cell r="AB413" t="str">
            <v>Non-Sterile</v>
          </cell>
          <cell r="AC413" t="str">
            <v>N/A</v>
          </cell>
          <cell r="AG413" t="str">
            <v>N</v>
          </cell>
          <cell r="AH413" t="str">
            <v>Y</v>
          </cell>
          <cell r="AI413" t="str">
            <v>LATEX FREE</v>
          </cell>
          <cell r="AJ413" t="str">
            <v>Current</v>
          </cell>
          <cell r="AK413" t="str">
            <v>N/A</v>
          </cell>
          <cell r="AL413" t="str">
            <v>N/A</v>
          </cell>
          <cell r="AM413" t="str">
            <v>N/A</v>
          </cell>
          <cell r="AN413" t="str">
            <v>N/A</v>
          </cell>
          <cell r="AO413" t="str">
            <v>N/A</v>
          </cell>
          <cell r="AP413" t="str">
            <v>N/A</v>
          </cell>
          <cell r="AS413" t="str">
            <v>Reuse 8252A 10x</v>
          </cell>
          <cell r="AT413" t="str">
            <v>N/A</v>
          </cell>
          <cell r="AU413" t="str">
            <v>N/A</v>
          </cell>
          <cell r="AV413" t="str">
            <v>1430PV,6934</v>
          </cell>
        </row>
        <row r="414">
          <cell r="A414" t="str">
            <v>1420AN</v>
          </cell>
          <cell r="B414" t="str">
            <v>Comp#</v>
          </cell>
          <cell r="C414" t="str">
            <v>Blue Rounded Top Piece 2 oz Bulb Syringe/400</v>
          </cell>
          <cell r="D414" t="str">
            <v>1420A ETAL</v>
          </cell>
          <cell r="E414">
            <v>37602</v>
          </cell>
          <cell r="F414" t="str">
            <v>N/A</v>
          </cell>
          <cell r="K414" t="str">
            <v>S-4</v>
          </cell>
          <cell r="L414" t="str">
            <v>N/A</v>
          </cell>
          <cell r="P414" t="str">
            <v>N/A</v>
          </cell>
          <cell r="Q414" t="str">
            <v>N/A</v>
          </cell>
          <cell r="R414" t="str">
            <v>8</v>
          </cell>
          <cell r="S414" t="str">
            <v>0</v>
          </cell>
          <cell r="T414" t="str">
            <v>1.5</v>
          </cell>
          <cell r="U414" t="str">
            <v>2.5</v>
          </cell>
          <cell r="V414" t="str">
            <v>400</v>
          </cell>
          <cell r="W414" t="str">
            <v>S-4</v>
          </cell>
          <cell r="X414" t="str">
            <v>Injection Moldng</v>
          </cell>
          <cell r="Y414" t="str">
            <v>N/A</v>
          </cell>
          <cell r="AA414" t="str">
            <v>Arburg</v>
          </cell>
          <cell r="AB414" t="str">
            <v>Non-Sterile</v>
          </cell>
          <cell r="AC414" t="str">
            <v>N/A</v>
          </cell>
          <cell r="AG414" t="str">
            <v>N</v>
          </cell>
          <cell r="AH414" t="str">
            <v>Y</v>
          </cell>
          <cell r="AI414" t="str">
            <v>LATEX FREE</v>
          </cell>
          <cell r="AJ414" t="str">
            <v>Current</v>
          </cell>
          <cell r="AK414" t="str">
            <v>N/A</v>
          </cell>
          <cell r="AL414" t="str">
            <v>N/A</v>
          </cell>
          <cell r="AM414" t="str">
            <v>N/A</v>
          </cell>
          <cell r="AN414" t="str">
            <v>N/A</v>
          </cell>
          <cell r="AO414" t="str">
            <v>N/A</v>
          </cell>
          <cell r="AP414" t="str">
            <v>N/A</v>
          </cell>
          <cell r="AS414" t="str">
            <v>Reuse 8252A 10x</v>
          </cell>
          <cell r="AT414" t="str">
            <v>N/A</v>
          </cell>
          <cell r="AU414" t="str">
            <v>N/A</v>
          </cell>
          <cell r="AV414" t="str">
            <v>1420PB,6934</v>
          </cell>
        </row>
        <row r="415">
          <cell r="A415" t="str">
            <v>1420T</v>
          </cell>
          <cell r="B415" t="str">
            <v>Comp#</v>
          </cell>
          <cell r="C415" t="str">
            <v>Blue Bottom Tip Piece 2 oz Bulb Syringe/300</v>
          </cell>
          <cell r="D415" t="str">
            <v>1420A ETAL</v>
          </cell>
          <cell r="E415">
            <v>37602</v>
          </cell>
          <cell r="F415" t="str">
            <v>N/A</v>
          </cell>
          <cell r="K415" t="str">
            <v>S-4</v>
          </cell>
          <cell r="L415" t="str">
            <v>N/A</v>
          </cell>
          <cell r="P415" t="str">
            <v>N/A</v>
          </cell>
          <cell r="Q415" t="str">
            <v>N/A</v>
          </cell>
          <cell r="R415" t="str">
            <v>8</v>
          </cell>
          <cell r="S415" t="str">
            <v>0</v>
          </cell>
          <cell r="T415" t="str">
            <v>1.5</v>
          </cell>
          <cell r="U415" t="str">
            <v>2.5</v>
          </cell>
          <cell r="V415" t="str">
            <v>300</v>
          </cell>
          <cell r="W415" t="str">
            <v>S-4</v>
          </cell>
          <cell r="X415" t="str">
            <v>Injection Moldng</v>
          </cell>
          <cell r="Y415" t="str">
            <v>N/A</v>
          </cell>
          <cell r="AA415" t="str">
            <v>Arburg</v>
          </cell>
          <cell r="AB415" t="str">
            <v>Non-Sterile</v>
          </cell>
          <cell r="AC415" t="str">
            <v>N/A</v>
          </cell>
          <cell r="AG415" t="str">
            <v>N</v>
          </cell>
          <cell r="AH415" t="str">
            <v>Y</v>
          </cell>
          <cell r="AI415" t="str">
            <v>LATEX FREE</v>
          </cell>
          <cell r="AJ415" t="str">
            <v>Current</v>
          </cell>
          <cell r="AK415" t="str">
            <v>N/A</v>
          </cell>
          <cell r="AL415" t="str">
            <v>N/A</v>
          </cell>
          <cell r="AM415" t="str">
            <v>N/A</v>
          </cell>
          <cell r="AN415" t="str">
            <v>N/A</v>
          </cell>
          <cell r="AO415" t="str">
            <v>N/A</v>
          </cell>
          <cell r="AP415" t="str">
            <v>N/A</v>
          </cell>
          <cell r="AS415" t="str">
            <v>Reuse 8252A 10x</v>
          </cell>
          <cell r="AT415" t="str">
            <v>N/A</v>
          </cell>
          <cell r="AU415" t="str">
            <v>N/A</v>
          </cell>
          <cell r="AV415" t="str">
            <v>1420PB,6934</v>
          </cell>
        </row>
        <row r="416">
          <cell r="A416" t="str">
            <v>1430AN</v>
          </cell>
          <cell r="B416" t="str">
            <v>Comp#</v>
          </cell>
          <cell r="C416" t="str">
            <v>Green Rounded Top Piece 3 oz Bulb Syringe/300</v>
          </cell>
          <cell r="D416" t="str">
            <v>1420A ETAL</v>
          </cell>
          <cell r="E416">
            <v>37602</v>
          </cell>
          <cell r="F416" t="str">
            <v>N/A</v>
          </cell>
          <cell r="K416" t="str">
            <v>S-4</v>
          </cell>
          <cell r="L416" t="str">
            <v>N/A</v>
          </cell>
          <cell r="P416" t="str">
            <v>N/A</v>
          </cell>
          <cell r="Q416" t="str">
            <v>N/A</v>
          </cell>
          <cell r="R416" t="str">
            <v>8</v>
          </cell>
          <cell r="S416" t="str">
            <v>0</v>
          </cell>
          <cell r="T416" t="str">
            <v>1.5</v>
          </cell>
          <cell r="U416" t="str">
            <v>2.5</v>
          </cell>
          <cell r="V416" t="str">
            <v>300</v>
          </cell>
          <cell r="W416" t="str">
            <v>S-4</v>
          </cell>
          <cell r="X416" t="str">
            <v>Injection Moldng</v>
          </cell>
          <cell r="Y416" t="str">
            <v>N/A</v>
          </cell>
          <cell r="AA416" t="str">
            <v>Arburg</v>
          </cell>
          <cell r="AB416" t="str">
            <v>Non-Sterile</v>
          </cell>
          <cell r="AC416" t="str">
            <v>N/A</v>
          </cell>
          <cell r="AG416" t="str">
            <v>N</v>
          </cell>
          <cell r="AH416" t="str">
            <v>Y</v>
          </cell>
          <cell r="AI416" t="str">
            <v>LATEX FREE</v>
          </cell>
          <cell r="AJ416" t="str">
            <v>Current</v>
          </cell>
          <cell r="AK416" t="str">
            <v>N/A</v>
          </cell>
          <cell r="AL416" t="str">
            <v>N/A</v>
          </cell>
          <cell r="AM416" t="str">
            <v>N/A</v>
          </cell>
          <cell r="AN416" t="str">
            <v>N/A</v>
          </cell>
          <cell r="AO416" t="str">
            <v>N/A</v>
          </cell>
          <cell r="AP416" t="str">
            <v>N/A</v>
          </cell>
          <cell r="AS416" t="str">
            <v>Reuse 8252A 10x</v>
          </cell>
          <cell r="AT416" t="str">
            <v>N/A</v>
          </cell>
          <cell r="AU416" t="str">
            <v>N/A</v>
          </cell>
          <cell r="AV416" t="str">
            <v>1430PV,6934</v>
          </cell>
        </row>
        <row r="417">
          <cell r="A417" t="str">
            <v>1430T</v>
          </cell>
          <cell r="B417" t="str">
            <v>Comp#</v>
          </cell>
          <cell r="C417" t="str">
            <v>Green Bottom Tip Piece 3 oz Bulb Syringe/200</v>
          </cell>
          <cell r="D417" t="str">
            <v>1420A ETAL</v>
          </cell>
          <cell r="E417">
            <v>37602</v>
          </cell>
          <cell r="F417" t="str">
            <v>N/A</v>
          </cell>
          <cell r="K417" t="str">
            <v>S-4</v>
          </cell>
          <cell r="L417" t="str">
            <v>N/A</v>
          </cell>
          <cell r="P417" t="str">
            <v>N/A</v>
          </cell>
          <cell r="Q417" t="str">
            <v>N/A</v>
          </cell>
          <cell r="R417" t="str">
            <v>8</v>
          </cell>
          <cell r="S417" t="str">
            <v>0</v>
          </cell>
          <cell r="T417" t="str">
            <v>1.5</v>
          </cell>
          <cell r="U417" t="str">
            <v>2.5</v>
          </cell>
          <cell r="V417" t="str">
            <v>200</v>
          </cell>
          <cell r="W417" t="str">
            <v>S-4</v>
          </cell>
          <cell r="X417" t="str">
            <v>Injection Moldng</v>
          </cell>
          <cell r="Y417" t="str">
            <v>N/A</v>
          </cell>
          <cell r="AA417" t="str">
            <v>Arburg</v>
          </cell>
          <cell r="AB417" t="str">
            <v>Non-Sterile</v>
          </cell>
          <cell r="AC417" t="str">
            <v>N/A</v>
          </cell>
          <cell r="AG417" t="str">
            <v>N</v>
          </cell>
          <cell r="AH417" t="str">
            <v>Y</v>
          </cell>
          <cell r="AI417" t="str">
            <v>LATEX FREE</v>
          </cell>
          <cell r="AJ417" t="str">
            <v>Current</v>
          </cell>
          <cell r="AK417" t="str">
            <v>N/A</v>
          </cell>
          <cell r="AL417" t="str">
            <v>N/A</v>
          </cell>
          <cell r="AM417" t="str">
            <v>N/A</v>
          </cell>
          <cell r="AN417" t="str">
            <v>N/A</v>
          </cell>
          <cell r="AO417" t="str">
            <v>N/A</v>
          </cell>
          <cell r="AP417" t="str">
            <v>N/A</v>
          </cell>
          <cell r="AS417" t="str">
            <v>Reuse 8252A 10x</v>
          </cell>
          <cell r="AT417" t="str">
            <v>N/A</v>
          </cell>
          <cell r="AU417" t="str">
            <v>N/A</v>
          </cell>
          <cell r="AV417" t="str">
            <v>1430PV,6934</v>
          </cell>
        </row>
        <row r="418">
          <cell r="A418" t="str">
            <v>1480A</v>
          </cell>
          <cell r="C418" t="str">
            <v>ROUND TOP 2OZ KRATON BULB</v>
          </cell>
          <cell r="D418" t="str">
            <v>1420A ETAL</v>
          </cell>
          <cell r="AB418" t="str">
            <v>Non-Sterile</v>
          </cell>
          <cell r="AJ418" t="str">
            <v>Discontinued</v>
          </cell>
          <cell r="AK418" t="str">
            <v>N/A</v>
          </cell>
          <cell r="AL418" t="str">
            <v>N/A</v>
          </cell>
        </row>
        <row r="419">
          <cell r="A419" t="str">
            <v>1480B</v>
          </cell>
          <cell r="C419" t="str">
            <v>2OZ KRATON BULB SYRINGE</v>
          </cell>
          <cell r="D419" t="str">
            <v>1480B ETAL</v>
          </cell>
          <cell r="AB419" t="str">
            <v>Non-Sterile</v>
          </cell>
          <cell r="AJ419" t="str">
            <v>Discontinued</v>
          </cell>
          <cell r="AK419" t="str">
            <v>N/A</v>
          </cell>
          <cell r="AL419" t="str">
            <v>N/A</v>
          </cell>
        </row>
        <row r="420">
          <cell r="A420" t="str">
            <v>1480T</v>
          </cell>
          <cell r="C420" t="str">
            <v>TIP PIECE 2OZ KRATON BULB</v>
          </cell>
          <cell r="D420" t="str">
            <v>1420A ETAL</v>
          </cell>
          <cell r="AB420" t="str">
            <v>Non-Sterile</v>
          </cell>
          <cell r="AJ420" t="str">
            <v>Discontinued</v>
          </cell>
          <cell r="AK420" t="str">
            <v>N/A</v>
          </cell>
          <cell r="AL420" t="str">
            <v>N/A</v>
          </cell>
        </row>
        <row r="421">
          <cell r="A421" t="str">
            <v>1481A</v>
          </cell>
          <cell r="B421" t="str">
            <v>Comp#</v>
          </cell>
          <cell r="C421" t="str">
            <v>Round Top Piece of 2 oz Kraton Bulb Syringe</v>
          </cell>
          <cell r="D421" t="str">
            <v>1420A ETAL</v>
          </cell>
          <cell r="E421">
            <v>37602</v>
          </cell>
          <cell r="F421" t="str">
            <v>N/A</v>
          </cell>
          <cell r="K421" t="str">
            <v>S-4</v>
          </cell>
          <cell r="L421" t="str">
            <v>N/A</v>
          </cell>
          <cell r="P421" t="str">
            <v>N/A</v>
          </cell>
          <cell r="Q421" t="str">
            <v>N/A</v>
          </cell>
          <cell r="R421" t="str">
            <v>8</v>
          </cell>
          <cell r="S421" t="str">
            <v>0</v>
          </cell>
          <cell r="T421" t="str">
            <v>1.5</v>
          </cell>
          <cell r="U421" t="str">
            <v>2.5</v>
          </cell>
          <cell r="W421" t="str">
            <v>S-4</v>
          </cell>
          <cell r="X421" t="str">
            <v>Injection Molding</v>
          </cell>
          <cell r="Y421" t="str">
            <v>N/A</v>
          </cell>
          <cell r="AA421" t="str">
            <v>Arburg</v>
          </cell>
          <cell r="AB421" t="str">
            <v>Non-Sterile</v>
          </cell>
          <cell r="AC421" t="str">
            <v>N/A</v>
          </cell>
          <cell r="AG421" t="str">
            <v>N</v>
          </cell>
          <cell r="AH421" t="str">
            <v>Y</v>
          </cell>
          <cell r="AI421" t="str">
            <v>LATEX FREE</v>
          </cell>
          <cell r="AJ421" t="str">
            <v>Current</v>
          </cell>
          <cell r="AK421" t="str">
            <v>N/A</v>
          </cell>
          <cell r="AL421" t="str">
            <v>N/A</v>
          </cell>
          <cell r="AM421" t="str">
            <v>N/A</v>
          </cell>
          <cell r="AN421" t="str">
            <v>N/A</v>
          </cell>
          <cell r="AO421" t="str">
            <v>N/A</v>
          </cell>
          <cell r="AP421" t="str">
            <v>N/A</v>
          </cell>
          <cell r="AS421" t="str">
            <v>N/A</v>
          </cell>
          <cell r="AT421" t="str">
            <v>N/A</v>
          </cell>
          <cell r="AU421" t="str">
            <v>N/A</v>
          </cell>
          <cell r="AV421" t="str">
            <v>1401K,1401KC,1401A</v>
          </cell>
        </row>
        <row r="422">
          <cell r="A422" t="str">
            <v>1481B</v>
          </cell>
          <cell r="B422" t="str">
            <v>Comp#</v>
          </cell>
          <cell r="C422" t="str">
            <v>2 oz Kraton Bulb Syringe/200</v>
          </cell>
          <cell r="D422" t="str">
            <v>1481B ETAL</v>
          </cell>
          <cell r="E422">
            <v>36976</v>
          </cell>
          <cell r="F422" t="str">
            <v>N/A</v>
          </cell>
          <cell r="K422" t="str">
            <v>S-4</v>
          </cell>
          <cell r="L422" t="str">
            <v>16</v>
          </cell>
          <cell r="P422" t="str">
            <v>16</v>
          </cell>
          <cell r="Q422" t="str">
            <v>N/A</v>
          </cell>
          <cell r="R422" t="str">
            <v>8</v>
          </cell>
          <cell r="S422" t="str">
            <v>0</v>
          </cell>
          <cell r="T422" t="str">
            <v>1.5</v>
          </cell>
          <cell r="U422" t="str">
            <v>2.5</v>
          </cell>
          <cell r="V422" t="str">
            <v>200</v>
          </cell>
          <cell r="X422" t="str">
            <v>Injection Molding</v>
          </cell>
          <cell r="Y422" t="str">
            <v>N/A</v>
          </cell>
          <cell r="AA422" t="str">
            <v>Injection Molding</v>
          </cell>
          <cell r="AB422" t="str">
            <v>Non-Sterile</v>
          </cell>
          <cell r="AC422" t="str">
            <v>N/A</v>
          </cell>
          <cell r="AG422" t="str">
            <v>N</v>
          </cell>
          <cell r="AH422" t="str">
            <v>Y</v>
          </cell>
          <cell r="AI422" t="str">
            <v>LATEX FREE</v>
          </cell>
          <cell r="AJ422" t="str">
            <v>Current</v>
          </cell>
          <cell r="AK422" t="str">
            <v>N/A</v>
          </cell>
          <cell r="AL422" t="str">
            <v>N/A</v>
          </cell>
          <cell r="AM422" t="str">
            <v>N/A</v>
          </cell>
          <cell r="AN422" t="str">
            <v>N/A</v>
          </cell>
          <cell r="AO422" t="str">
            <v>N/A</v>
          </cell>
          <cell r="AP422" t="str">
            <v>N/A</v>
          </cell>
          <cell r="AS422" t="str">
            <v>Reuse 3273S 10x</v>
          </cell>
          <cell r="AT422" t="str">
            <v>N/A</v>
          </cell>
          <cell r="AU422" t="str">
            <v>1481T,1481A,2963A</v>
          </cell>
          <cell r="AV422" t="str">
            <v>N/A</v>
          </cell>
        </row>
        <row r="423">
          <cell r="A423" t="str">
            <v>1481T</v>
          </cell>
          <cell r="B423" t="str">
            <v>Comp#</v>
          </cell>
          <cell r="C423" t="str">
            <v>Tip Piece of 2 oz Kraton Bulb Syringe</v>
          </cell>
          <cell r="D423" t="str">
            <v>1420A ETAL</v>
          </cell>
          <cell r="E423">
            <v>37602</v>
          </cell>
          <cell r="F423" t="str">
            <v>N/A</v>
          </cell>
          <cell r="K423" t="str">
            <v>S-4</v>
          </cell>
          <cell r="L423" t="str">
            <v>N/A</v>
          </cell>
          <cell r="P423" t="str">
            <v>N/A</v>
          </cell>
          <cell r="Q423" t="str">
            <v>N/A</v>
          </cell>
          <cell r="R423" t="str">
            <v>8</v>
          </cell>
          <cell r="S423" t="str">
            <v>0</v>
          </cell>
          <cell r="T423" t="str">
            <v>1.5</v>
          </cell>
          <cell r="U423" t="str">
            <v>2.5</v>
          </cell>
          <cell r="W423" t="str">
            <v>S-4</v>
          </cell>
          <cell r="X423" t="str">
            <v>Injection Molding</v>
          </cell>
          <cell r="Y423" t="str">
            <v>N/A</v>
          </cell>
          <cell r="AA423" t="str">
            <v>Arburg</v>
          </cell>
          <cell r="AB423" t="str">
            <v>Non-Sterile</v>
          </cell>
          <cell r="AC423" t="str">
            <v>N/A</v>
          </cell>
          <cell r="AG423" t="str">
            <v>N</v>
          </cell>
          <cell r="AH423" t="str">
            <v>Y</v>
          </cell>
          <cell r="AI423" t="str">
            <v>LATEX FREE</v>
          </cell>
          <cell r="AJ423" t="str">
            <v>Current</v>
          </cell>
          <cell r="AK423" t="str">
            <v>N/A</v>
          </cell>
          <cell r="AL423" t="str">
            <v>N/A</v>
          </cell>
          <cell r="AM423" t="str">
            <v>N/A</v>
          </cell>
          <cell r="AN423" t="str">
            <v>N/A</v>
          </cell>
          <cell r="AO423" t="str">
            <v>N/A</v>
          </cell>
          <cell r="AP423" t="str">
            <v>N/A</v>
          </cell>
          <cell r="AS423" t="str">
            <v>N/A</v>
          </cell>
          <cell r="AT423" t="str">
            <v>N/A</v>
          </cell>
          <cell r="AU423" t="str">
            <v>N/A</v>
          </cell>
          <cell r="AV423" t="str">
            <v>1401K,1401KC,1401A</v>
          </cell>
        </row>
        <row r="424">
          <cell r="A424" t="str">
            <v>1490A</v>
          </cell>
          <cell r="C424" t="str">
            <v>ROUND TOP P/3OZ KRATON B</v>
          </cell>
          <cell r="D424" t="str">
            <v>1420A ETAL</v>
          </cell>
          <cell r="AB424" t="str">
            <v>Non-Sterile</v>
          </cell>
          <cell r="AJ424" t="str">
            <v>Discontinued</v>
          </cell>
          <cell r="AK424" t="str">
            <v>N/A</v>
          </cell>
          <cell r="AL424" t="str">
            <v>N/A</v>
          </cell>
        </row>
        <row r="425">
          <cell r="A425" t="str">
            <v>1490B</v>
          </cell>
          <cell r="C425" t="str">
            <v>3OZ BULB KRATON SYRINGE</v>
          </cell>
          <cell r="D425" t="str">
            <v>1480B ETAL</v>
          </cell>
          <cell r="AB425" t="str">
            <v>Non-Sterile</v>
          </cell>
          <cell r="AJ425" t="str">
            <v>Discontinued</v>
          </cell>
          <cell r="AK425" t="str">
            <v>N/A</v>
          </cell>
          <cell r="AL425" t="str">
            <v>N/A</v>
          </cell>
        </row>
        <row r="426">
          <cell r="A426" t="str">
            <v>1490T</v>
          </cell>
          <cell r="C426" t="str">
            <v>TIP PIECE 3OZ KRATON BULB</v>
          </cell>
          <cell r="D426" t="str">
            <v>1420A ETAL</v>
          </cell>
          <cell r="AB426" t="str">
            <v>Non-Sterile</v>
          </cell>
          <cell r="AJ426" t="str">
            <v>Discontinued</v>
          </cell>
          <cell r="AK426" t="str">
            <v>N/A</v>
          </cell>
          <cell r="AL426" t="str">
            <v>N/A</v>
          </cell>
        </row>
        <row r="427">
          <cell r="A427" t="str">
            <v>1491A</v>
          </cell>
          <cell r="B427" t="str">
            <v>Comp#</v>
          </cell>
          <cell r="C427" t="str">
            <v>Round Top Piece of 3 oz Kraton Bulb Syringe</v>
          </cell>
          <cell r="D427" t="str">
            <v>1420A ETAL</v>
          </cell>
          <cell r="E427">
            <v>37602</v>
          </cell>
          <cell r="F427" t="str">
            <v>N/A</v>
          </cell>
          <cell r="K427" t="str">
            <v>S-4</v>
          </cell>
          <cell r="L427" t="str">
            <v>N/A</v>
          </cell>
          <cell r="P427" t="str">
            <v>N/A</v>
          </cell>
          <cell r="Q427" t="str">
            <v>N/A</v>
          </cell>
          <cell r="R427" t="str">
            <v>8</v>
          </cell>
          <cell r="S427" t="str">
            <v>0</v>
          </cell>
          <cell r="T427" t="str">
            <v>1.5</v>
          </cell>
          <cell r="U427" t="str">
            <v>2.5</v>
          </cell>
          <cell r="W427" t="str">
            <v>S-4</v>
          </cell>
          <cell r="X427" t="str">
            <v>Injection Molding</v>
          </cell>
          <cell r="Y427" t="str">
            <v>N/A</v>
          </cell>
          <cell r="AA427" t="str">
            <v>Arburg</v>
          </cell>
          <cell r="AB427" t="str">
            <v>Non-Sterile</v>
          </cell>
          <cell r="AC427" t="str">
            <v>N/A</v>
          </cell>
          <cell r="AG427" t="str">
            <v>N</v>
          </cell>
          <cell r="AH427" t="str">
            <v>Y</v>
          </cell>
          <cell r="AI427" t="str">
            <v>LATEX FREE</v>
          </cell>
          <cell r="AJ427" t="str">
            <v>Current</v>
          </cell>
          <cell r="AK427" t="str">
            <v>N/A</v>
          </cell>
          <cell r="AL427" t="str">
            <v>N/A</v>
          </cell>
          <cell r="AM427" t="str">
            <v>N/A</v>
          </cell>
          <cell r="AN427" t="str">
            <v>N/A</v>
          </cell>
          <cell r="AO427" t="str">
            <v>N/A</v>
          </cell>
          <cell r="AP427" t="str">
            <v>N/A</v>
          </cell>
          <cell r="AS427" t="str">
            <v>N/A</v>
          </cell>
          <cell r="AT427" t="str">
            <v>N/A</v>
          </cell>
          <cell r="AU427" t="str">
            <v>N/A</v>
          </cell>
          <cell r="AV427" t="str">
            <v>1401K,1410KC,1401A</v>
          </cell>
        </row>
        <row r="428">
          <cell r="A428" t="str">
            <v>1491B</v>
          </cell>
          <cell r="B428" t="str">
            <v>Comp#</v>
          </cell>
          <cell r="C428" t="str">
            <v>3 oz Krayton Bulb Syringe/100</v>
          </cell>
          <cell r="D428" t="str">
            <v>1481B ETAL</v>
          </cell>
          <cell r="E428">
            <v>36976</v>
          </cell>
          <cell r="F428" t="str">
            <v>N/A</v>
          </cell>
          <cell r="K428" t="str">
            <v>S-4</v>
          </cell>
          <cell r="L428" t="str">
            <v>16</v>
          </cell>
          <cell r="P428" t="str">
            <v>16</v>
          </cell>
          <cell r="Q428" t="str">
            <v>N/A</v>
          </cell>
          <cell r="R428" t="str">
            <v>8</v>
          </cell>
          <cell r="S428" t="str">
            <v>0</v>
          </cell>
          <cell r="T428" t="str">
            <v>1.5</v>
          </cell>
          <cell r="U428" t="str">
            <v>2.5</v>
          </cell>
          <cell r="X428" t="str">
            <v>Injection Molding</v>
          </cell>
          <cell r="Y428" t="str">
            <v>N/A</v>
          </cell>
          <cell r="AA428" t="str">
            <v>Arburg</v>
          </cell>
          <cell r="AB428" t="str">
            <v>Non-Sterile</v>
          </cell>
          <cell r="AC428" t="str">
            <v>N/A</v>
          </cell>
          <cell r="AG428" t="str">
            <v>N</v>
          </cell>
          <cell r="AH428" t="str">
            <v>Y</v>
          </cell>
          <cell r="AI428" t="str">
            <v>LATEX FREE</v>
          </cell>
          <cell r="AJ428" t="str">
            <v>Current</v>
          </cell>
          <cell r="AK428" t="str">
            <v>N/A</v>
          </cell>
          <cell r="AL428" t="str">
            <v>N/A</v>
          </cell>
          <cell r="AM428" t="str">
            <v>N/A</v>
          </cell>
          <cell r="AN428" t="str">
            <v>N/A</v>
          </cell>
          <cell r="AO428" t="str">
            <v>N/A</v>
          </cell>
          <cell r="AP428" t="str">
            <v>N/A</v>
          </cell>
          <cell r="AS428" t="str">
            <v>N/A</v>
          </cell>
          <cell r="AT428" t="str">
            <v>N/A</v>
          </cell>
          <cell r="AU428" t="str">
            <v>N/A</v>
          </cell>
          <cell r="AV428" t="str">
            <v>1491T,1491A,2963A</v>
          </cell>
        </row>
        <row r="429">
          <cell r="A429" t="str">
            <v>1491T</v>
          </cell>
          <cell r="B429" t="str">
            <v>Comp#</v>
          </cell>
          <cell r="C429" t="str">
            <v>Tip Piece 3 oz Kraton Bulb Syringe</v>
          </cell>
          <cell r="D429" t="str">
            <v>1420A ETAL</v>
          </cell>
          <cell r="E429">
            <v>37602</v>
          </cell>
          <cell r="F429" t="str">
            <v>N/A</v>
          </cell>
          <cell r="K429" t="str">
            <v>S-4</v>
          </cell>
          <cell r="L429" t="str">
            <v>N/A</v>
          </cell>
          <cell r="P429" t="str">
            <v>N/A</v>
          </cell>
          <cell r="Q429" t="str">
            <v>N/A</v>
          </cell>
          <cell r="R429" t="str">
            <v>8</v>
          </cell>
          <cell r="S429" t="str">
            <v>0</v>
          </cell>
          <cell r="T429" t="str">
            <v>1.5</v>
          </cell>
          <cell r="U429" t="str">
            <v>2.5</v>
          </cell>
          <cell r="W429" t="str">
            <v>S-4</v>
          </cell>
          <cell r="X429" t="str">
            <v>Injection Molding</v>
          </cell>
          <cell r="Y429" t="str">
            <v>N/A</v>
          </cell>
          <cell r="AA429" t="str">
            <v>Arburg</v>
          </cell>
          <cell r="AB429" t="str">
            <v>Non-Sterile</v>
          </cell>
          <cell r="AC429" t="str">
            <v>N/A</v>
          </cell>
          <cell r="AG429" t="str">
            <v>N</v>
          </cell>
          <cell r="AH429" t="str">
            <v>Y</v>
          </cell>
          <cell r="AI429" t="str">
            <v>LATEX FREE</v>
          </cell>
          <cell r="AJ429" t="str">
            <v>Current</v>
          </cell>
          <cell r="AK429" t="str">
            <v>N/A</v>
          </cell>
          <cell r="AL429" t="str">
            <v>N/A</v>
          </cell>
          <cell r="AM429" t="str">
            <v>N/A</v>
          </cell>
          <cell r="AN429" t="str">
            <v>N/A</v>
          </cell>
          <cell r="AO429" t="str">
            <v>N/A</v>
          </cell>
          <cell r="AP429" t="str">
            <v>N/A</v>
          </cell>
          <cell r="AS429" t="str">
            <v>N/A</v>
          </cell>
          <cell r="AT429" t="str">
            <v>N/A</v>
          </cell>
          <cell r="AU429" t="str">
            <v>N/A</v>
          </cell>
          <cell r="AV429" t="str">
            <v>1401K,1410KC,1401A</v>
          </cell>
        </row>
        <row r="430">
          <cell r="A430" t="str">
            <v>1502A</v>
          </cell>
          <cell r="C430" t="str">
            <v>Clr 1/2 Hndl Sonic Sealed</v>
          </cell>
          <cell r="AB430" t="str">
            <v>Non-Sterile</v>
          </cell>
          <cell r="AJ430" t="str">
            <v>Discontinued</v>
          </cell>
          <cell r="AK430" t="str">
            <v>N/A</v>
          </cell>
          <cell r="AL430" t="str">
            <v>N/A</v>
          </cell>
        </row>
        <row r="431">
          <cell r="A431" t="str">
            <v>1502HF</v>
          </cell>
          <cell r="C431" t="str">
            <v>Clr 1/2 Handle Fitment</v>
          </cell>
          <cell r="D431" t="str">
            <v>1420A ETAL</v>
          </cell>
          <cell r="E431">
            <v>37602</v>
          </cell>
          <cell r="F431" t="str">
            <v>N/A</v>
          </cell>
          <cell r="K431" t="str">
            <v>S-4</v>
          </cell>
          <cell r="L431" t="str">
            <v>N/A</v>
          </cell>
          <cell r="P431" t="str">
            <v>N/A</v>
          </cell>
          <cell r="Q431" t="str">
            <v>N/A</v>
          </cell>
          <cell r="R431" t="str">
            <v>8</v>
          </cell>
          <cell r="S431" t="str">
            <v>0</v>
          </cell>
          <cell r="T431" t="str">
            <v>1.5</v>
          </cell>
          <cell r="U431" t="str">
            <v>2.5</v>
          </cell>
          <cell r="W431" t="str">
            <v>S-4</v>
          </cell>
          <cell r="AB431" t="str">
            <v>Non-Sterile</v>
          </cell>
          <cell r="AJ431" t="str">
            <v>Discontinued</v>
          </cell>
          <cell r="AK431" t="str">
            <v>N/A</v>
          </cell>
          <cell r="AL431" t="str">
            <v>N/A</v>
          </cell>
        </row>
        <row r="432">
          <cell r="A432" t="str">
            <v>1502HF-1</v>
          </cell>
          <cell r="B432" t="str">
            <v>Comp#</v>
          </cell>
          <cell r="C432" t="str">
            <v>1/2" Handle Fitment - New Style/1000</v>
          </cell>
          <cell r="D432" t="str">
            <v>1420A ETAL</v>
          </cell>
          <cell r="E432">
            <v>37602</v>
          </cell>
          <cell r="F432" t="str">
            <v>N/A</v>
          </cell>
          <cell r="K432" t="str">
            <v>S-4</v>
          </cell>
          <cell r="L432" t="str">
            <v>N/A</v>
          </cell>
          <cell r="P432" t="str">
            <v>N/A</v>
          </cell>
          <cell r="Q432" t="str">
            <v>N/A</v>
          </cell>
          <cell r="R432" t="str">
            <v>8</v>
          </cell>
          <cell r="S432" t="str">
            <v>0</v>
          </cell>
          <cell r="T432" t="str">
            <v>1.5</v>
          </cell>
          <cell r="U432" t="str">
            <v>2.5</v>
          </cell>
          <cell r="V432" t="str">
            <v>1000</v>
          </cell>
          <cell r="X432" t="str">
            <v>Injection Molding</v>
          </cell>
          <cell r="Y432" t="str">
            <v>N/A</v>
          </cell>
          <cell r="AA432" t="str">
            <v>Arburg</v>
          </cell>
          <cell r="AB432" t="str">
            <v>Non-Sterile</v>
          </cell>
          <cell r="AC432" t="str">
            <v>N/A</v>
          </cell>
          <cell r="AG432" t="str">
            <v>N</v>
          </cell>
          <cell r="AH432" t="str">
            <v>Y</v>
          </cell>
          <cell r="AI432" t="str">
            <v>LATEX FREE</v>
          </cell>
          <cell r="AJ432" t="str">
            <v>Current</v>
          </cell>
          <cell r="AK432" t="str">
            <v>N/A</v>
          </cell>
          <cell r="AL432" t="str">
            <v>N/A</v>
          </cell>
          <cell r="AM432" t="str">
            <v>N/A</v>
          </cell>
          <cell r="AN432" t="str">
            <v>N/A</v>
          </cell>
          <cell r="AO432" t="str">
            <v>N/A</v>
          </cell>
          <cell r="AP432" t="str">
            <v>N/A</v>
          </cell>
          <cell r="AS432" t="str">
            <v>N/A</v>
          </cell>
          <cell r="AT432" t="str">
            <v>N/A</v>
          </cell>
          <cell r="AU432" t="str">
            <v>N/A</v>
          </cell>
          <cell r="AV432" t="str">
            <v>2962Z,3173</v>
          </cell>
        </row>
        <row r="433">
          <cell r="A433" t="str">
            <v>1502TA</v>
          </cell>
          <cell r="C433" t="str">
            <v>Clear 1/2 Tubing Adapter</v>
          </cell>
          <cell r="D433" t="str">
            <v>1420A ETAL</v>
          </cell>
          <cell r="E433">
            <v>37019</v>
          </cell>
          <cell r="F433" t="str">
            <v>N/A</v>
          </cell>
          <cell r="W433" t="str">
            <v>S-4</v>
          </cell>
          <cell r="AB433" t="str">
            <v>Non-Sterile</v>
          </cell>
          <cell r="AJ433" t="str">
            <v>Discontinued</v>
          </cell>
          <cell r="AK433" t="str">
            <v>N/A</v>
          </cell>
          <cell r="AL433" t="str">
            <v>N/A</v>
          </cell>
        </row>
        <row r="434">
          <cell r="A434" t="str">
            <v>1502TA-1</v>
          </cell>
          <cell r="B434" t="str">
            <v>Comp#</v>
          </cell>
          <cell r="C434" t="str">
            <v>1/2" Tubing Adaptor - New Style/1000</v>
          </cell>
          <cell r="D434" t="str">
            <v>1420A ETAL</v>
          </cell>
          <cell r="E434">
            <v>37602</v>
          </cell>
          <cell r="F434" t="str">
            <v>N/A</v>
          </cell>
          <cell r="K434" t="str">
            <v>S-4</v>
          </cell>
          <cell r="L434" t="str">
            <v>N/A</v>
          </cell>
          <cell r="P434" t="str">
            <v>N/A</v>
          </cell>
          <cell r="Q434" t="str">
            <v>N/A</v>
          </cell>
          <cell r="R434" t="str">
            <v>8</v>
          </cell>
          <cell r="S434" t="str">
            <v>0</v>
          </cell>
          <cell r="T434" t="str">
            <v>1.5</v>
          </cell>
          <cell r="U434" t="str">
            <v>2.5</v>
          </cell>
          <cell r="V434" t="str">
            <v>1000</v>
          </cell>
          <cell r="X434" t="str">
            <v>Injection Molding</v>
          </cell>
          <cell r="Y434" t="str">
            <v>N/A</v>
          </cell>
          <cell r="AA434" t="str">
            <v>Arburg</v>
          </cell>
          <cell r="AB434" t="str">
            <v>Non-Sterile</v>
          </cell>
          <cell r="AC434" t="str">
            <v>N/A</v>
          </cell>
          <cell r="AG434" t="str">
            <v>N</v>
          </cell>
          <cell r="AH434" t="str">
            <v>Y</v>
          </cell>
          <cell r="AI434" t="str">
            <v>LATEX FREE</v>
          </cell>
          <cell r="AJ434" t="str">
            <v>Current</v>
          </cell>
          <cell r="AK434" t="str">
            <v>N/A</v>
          </cell>
          <cell r="AL434" t="str">
            <v>N/A</v>
          </cell>
          <cell r="AM434" t="str">
            <v>N/A</v>
          </cell>
          <cell r="AN434" t="str">
            <v>N/A</v>
          </cell>
          <cell r="AO434" t="str">
            <v>N/A</v>
          </cell>
          <cell r="AP434" t="str">
            <v>N/A</v>
          </cell>
          <cell r="AS434" t="str">
            <v>N/A</v>
          </cell>
          <cell r="AT434" t="str">
            <v>N/A</v>
          </cell>
          <cell r="AU434" t="str">
            <v>N/A</v>
          </cell>
          <cell r="AV434" t="str">
            <v>2962Z,2963A</v>
          </cell>
        </row>
        <row r="435">
          <cell r="A435" t="str">
            <v>1517A</v>
          </cell>
          <cell r="C435" t="str">
            <v>SAN Handles Sonic Sealed</v>
          </cell>
          <cell r="AB435" t="str">
            <v>Non-Sterile</v>
          </cell>
          <cell r="AJ435" t="str">
            <v>Discontinued</v>
          </cell>
          <cell r="AK435" t="str">
            <v>N/A</v>
          </cell>
          <cell r="AL435" t="str">
            <v>N/A</v>
          </cell>
        </row>
        <row r="436">
          <cell r="A436" t="str">
            <v>1517HF</v>
          </cell>
          <cell r="C436" t="str">
            <v>3/8 Handle Fitment</v>
          </cell>
          <cell r="AB436" t="str">
            <v>Non-Sterile</v>
          </cell>
          <cell r="AJ436" t="str">
            <v>Discontinued</v>
          </cell>
          <cell r="AK436" t="str">
            <v>N/A</v>
          </cell>
          <cell r="AL436" t="str">
            <v>N/A</v>
          </cell>
        </row>
        <row r="437">
          <cell r="A437" t="str">
            <v>1517HS</v>
          </cell>
          <cell r="C437" t="str">
            <v>Handle Shaft Clear</v>
          </cell>
          <cell r="D437" t="str">
            <v>1420A ETAL</v>
          </cell>
          <cell r="E437">
            <v>37602</v>
          </cell>
          <cell r="F437" t="str">
            <v>N/A</v>
          </cell>
          <cell r="K437" t="str">
            <v>S-4</v>
          </cell>
          <cell r="L437" t="str">
            <v>N/A</v>
          </cell>
          <cell r="P437" t="str">
            <v>N/A</v>
          </cell>
          <cell r="Q437" t="str">
            <v>N/A</v>
          </cell>
          <cell r="R437" t="str">
            <v>8</v>
          </cell>
          <cell r="S437" t="str">
            <v>0</v>
          </cell>
          <cell r="T437" t="str">
            <v>1.5</v>
          </cell>
          <cell r="U437" t="str">
            <v>2.5</v>
          </cell>
          <cell r="W437" t="str">
            <v>S-4</v>
          </cell>
          <cell r="AB437" t="str">
            <v>Non-Sterile</v>
          </cell>
          <cell r="AJ437" t="str">
            <v>Discontinued</v>
          </cell>
          <cell r="AK437" t="str">
            <v>N/A</v>
          </cell>
          <cell r="AL437" t="str">
            <v>N/A</v>
          </cell>
        </row>
        <row r="438">
          <cell r="A438" t="str">
            <v>1517IR</v>
          </cell>
          <cell r="C438" t="str">
            <v>Insert Ring Clear</v>
          </cell>
          <cell r="D438" t="str">
            <v>1420A ETAL</v>
          </cell>
          <cell r="E438">
            <v>37602</v>
          </cell>
          <cell r="F438" t="str">
            <v>N/A</v>
          </cell>
          <cell r="K438" t="str">
            <v>S-4</v>
          </cell>
          <cell r="L438" t="str">
            <v>N/A</v>
          </cell>
          <cell r="P438" t="str">
            <v>N/A</v>
          </cell>
          <cell r="Q438" t="str">
            <v>N/A</v>
          </cell>
          <cell r="R438" t="str">
            <v>8</v>
          </cell>
          <cell r="S438" t="str">
            <v>0</v>
          </cell>
          <cell r="T438" t="str">
            <v>1.5</v>
          </cell>
          <cell r="U438" t="str">
            <v>2.5</v>
          </cell>
          <cell r="W438" t="str">
            <v>S-4</v>
          </cell>
          <cell r="AB438" t="str">
            <v>Non-Sterile</v>
          </cell>
          <cell r="AJ438" t="str">
            <v>Discontinued</v>
          </cell>
          <cell r="AK438" t="str">
            <v>N/A</v>
          </cell>
          <cell r="AL438" t="str">
            <v>N/A</v>
          </cell>
        </row>
        <row r="439">
          <cell r="A439" t="str">
            <v>1517SC</v>
          </cell>
          <cell r="C439" t="str">
            <v>Slide Collar Clear</v>
          </cell>
          <cell r="D439" t="str">
            <v>1420A ETAL</v>
          </cell>
          <cell r="E439">
            <v>37602</v>
          </cell>
          <cell r="F439" t="str">
            <v>N/A</v>
          </cell>
          <cell r="K439" t="str">
            <v>S-4</v>
          </cell>
          <cell r="L439" t="str">
            <v>N/A</v>
          </cell>
          <cell r="P439" t="str">
            <v>N/A</v>
          </cell>
          <cell r="Q439" t="str">
            <v>N/A</v>
          </cell>
          <cell r="R439" t="str">
            <v>8</v>
          </cell>
          <cell r="S439" t="str">
            <v>0</v>
          </cell>
          <cell r="T439" t="str">
            <v>1.5</v>
          </cell>
          <cell r="U439" t="str">
            <v>2.5</v>
          </cell>
          <cell r="W439" t="str">
            <v>S-4</v>
          </cell>
          <cell r="AB439" t="str">
            <v>Non-Sterile</v>
          </cell>
          <cell r="AJ439" t="str">
            <v>Discontinued</v>
          </cell>
          <cell r="AK439" t="str">
            <v>N/A</v>
          </cell>
          <cell r="AL439" t="str">
            <v>N/A</v>
          </cell>
        </row>
        <row r="440">
          <cell r="A440" t="str">
            <v>1517HS-1</v>
          </cell>
          <cell r="B440" t="str">
            <v>Comp#</v>
          </cell>
          <cell r="C440" t="str">
            <v>Handle Shaft -New Style/500</v>
          </cell>
          <cell r="D440" t="str">
            <v>1420A ETAL</v>
          </cell>
          <cell r="E440">
            <v>37602</v>
          </cell>
          <cell r="F440" t="str">
            <v>N/A</v>
          </cell>
          <cell r="K440" t="str">
            <v>S-4</v>
          </cell>
          <cell r="L440" t="str">
            <v>N/A</v>
          </cell>
          <cell r="P440" t="str">
            <v>N/A</v>
          </cell>
          <cell r="Q440" t="str">
            <v>N/A</v>
          </cell>
          <cell r="R440" t="str">
            <v>8</v>
          </cell>
          <cell r="S440" t="str">
            <v>0</v>
          </cell>
          <cell r="T440" t="str">
            <v>1.5</v>
          </cell>
          <cell r="U440" t="str">
            <v>2.5</v>
          </cell>
          <cell r="V440" t="str">
            <v>500</v>
          </cell>
          <cell r="X440" t="str">
            <v>Injection Molding</v>
          </cell>
          <cell r="Y440" t="str">
            <v>N/A</v>
          </cell>
          <cell r="AA440" t="str">
            <v>Arburg</v>
          </cell>
          <cell r="AB440" t="str">
            <v>Non-Sterile</v>
          </cell>
          <cell r="AC440" t="str">
            <v>N/A</v>
          </cell>
          <cell r="AG440" t="str">
            <v>N</v>
          </cell>
          <cell r="AH440" t="str">
            <v>Y</v>
          </cell>
          <cell r="AI440" t="str">
            <v>LATEX FREE</v>
          </cell>
          <cell r="AJ440" t="str">
            <v>Current</v>
          </cell>
          <cell r="AK440" t="str">
            <v>N/A</v>
          </cell>
          <cell r="AL440" t="str">
            <v>N/A</v>
          </cell>
          <cell r="AM440" t="str">
            <v>N/A</v>
          </cell>
          <cell r="AN440" t="str">
            <v>N/A</v>
          </cell>
          <cell r="AO440" t="str">
            <v>N/A</v>
          </cell>
          <cell r="AP440" t="str">
            <v>N/A</v>
          </cell>
          <cell r="AS440" t="str">
            <v>N/A</v>
          </cell>
          <cell r="AT440" t="str">
            <v>N/A</v>
          </cell>
          <cell r="AU440" t="str">
            <v>N/A</v>
          </cell>
          <cell r="AV440" t="str">
            <v>2962Z,6934</v>
          </cell>
        </row>
        <row r="441">
          <cell r="A441" t="str">
            <v>1517IR-1</v>
          </cell>
          <cell r="B441" t="str">
            <v>Comp#</v>
          </cell>
          <cell r="C441" t="str">
            <v>Insert Ring - New Style</v>
          </cell>
          <cell r="D441" t="str">
            <v>1420A ETAL</v>
          </cell>
          <cell r="E441">
            <v>37602</v>
          </cell>
          <cell r="F441" t="str">
            <v>N/A</v>
          </cell>
          <cell r="K441" t="str">
            <v>S-4</v>
          </cell>
          <cell r="L441" t="str">
            <v>N/A</v>
          </cell>
          <cell r="P441" t="str">
            <v>N/A</v>
          </cell>
          <cell r="Q441" t="str">
            <v>N/A</v>
          </cell>
          <cell r="R441" t="str">
            <v>8</v>
          </cell>
          <cell r="S441" t="str">
            <v>0</v>
          </cell>
          <cell r="T441" t="str">
            <v>1.5</v>
          </cell>
          <cell r="U441" t="str">
            <v>2.5</v>
          </cell>
          <cell r="V441" t="str">
            <v>1000</v>
          </cell>
          <cell r="X441" t="str">
            <v>Injection Molding</v>
          </cell>
          <cell r="Y441" t="str">
            <v>N/A</v>
          </cell>
          <cell r="AA441" t="str">
            <v>Arburg</v>
          </cell>
          <cell r="AB441" t="str">
            <v>Non-Sterile</v>
          </cell>
          <cell r="AC441" t="str">
            <v>N/A</v>
          </cell>
          <cell r="AG441" t="str">
            <v>N</v>
          </cell>
          <cell r="AH441" t="str">
            <v>Y</v>
          </cell>
          <cell r="AI441" t="str">
            <v>LATEX FREE</v>
          </cell>
          <cell r="AJ441" t="str">
            <v>Current</v>
          </cell>
          <cell r="AK441" t="str">
            <v>N/A</v>
          </cell>
          <cell r="AL441" t="str">
            <v>N/A</v>
          </cell>
          <cell r="AM441" t="str">
            <v>N/A</v>
          </cell>
          <cell r="AN441" t="str">
            <v>N/A</v>
          </cell>
          <cell r="AO441" t="str">
            <v>N/A</v>
          </cell>
          <cell r="AP441" t="str">
            <v>N/A</v>
          </cell>
          <cell r="AS441" t="str">
            <v>N/A</v>
          </cell>
          <cell r="AT441" t="str">
            <v>N/A</v>
          </cell>
          <cell r="AU441" t="str">
            <v>N/A</v>
          </cell>
          <cell r="AV441" t="str">
            <v>2962Z,3173</v>
          </cell>
        </row>
        <row r="442">
          <cell r="A442" t="str">
            <v>1517SC-1</v>
          </cell>
          <cell r="B442" t="str">
            <v>Comp#</v>
          </cell>
          <cell r="C442" t="str">
            <v>Slide Collar - New Style/1000</v>
          </cell>
          <cell r="D442" t="str">
            <v>1420A ETAL</v>
          </cell>
          <cell r="E442">
            <v>37602</v>
          </cell>
          <cell r="F442" t="str">
            <v>N/A</v>
          </cell>
          <cell r="K442" t="str">
            <v>S-4</v>
          </cell>
          <cell r="L442" t="str">
            <v>N/A</v>
          </cell>
          <cell r="P442" t="str">
            <v>N/A</v>
          </cell>
          <cell r="Q442" t="str">
            <v>N/A</v>
          </cell>
          <cell r="R442" t="str">
            <v>8</v>
          </cell>
          <cell r="S442" t="str">
            <v>0</v>
          </cell>
          <cell r="T442" t="str">
            <v>1.5</v>
          </cell>
          <cell r="U442" t="str">
            <v>2.5</v>
          </cell>
          <cell r="V442" t="str">
            <v>1000</v>
          </cell>
          <cell r="X442" t="str">
            <v>Injection Molding</v>
          </cell>
          <cell r="Y442" t="str">
            <v>N/A</v>
          </cell>
          <cell r="AA442" t="str">
            <v>Arburg</v>
          </cell>
          <cell r="AB442" t="str">
            <v>Non-Sterile</v>
          </cell>
          <cell r="AC442" t="str">
            <v>N/A</v>
          </cell>
          <cell r="AG442" t="str">
            <v>N</v>
          </cell>
          <cell r="AH442" t="str">
            <v>Y</v>
          </cell>
          <cell r="AI442" t="str">
            <v>LATEX FREE</v>
          </cell>
          <cell r="AJ442" t="str">
            <v>Current</v>
          </cell>
          <cell r="AK442" t="str">
            <v>N/A</v>
          </cell>
          <cell r="AL442" t="str">
            <v>N/A</v>
          </cell>
          <cell r="AM442" t="str">
            <v>N/A</v>
          </cell>
          <cell r="AN442" t="str">
            <v>N/A</v>
          </cell>
          <cell r="AO442" t="str">
            <v>N/A</v>
          </cell>
          <cell r="AP442" t="str">
            <v>N/A</v>
          </cell>
          <cell r="AS442" t="str">
            <v>N/A</v>
          </cell>
          <cell r="AT442" t="str">
            <v>N/A</v>
          </cell>
          <cell r="AU442" t="str">
            <v>N/A</v>
          </cell>
          <cell r="AV442" t="str">
            <v>2962Z,3173</v>
          </cell>
        </row>
        <row r="443">
          <cell r="A443" t="str">
            <v>1517TA</v>
          </cell>
          <cell r="C443" t="str">
            <v>Clear 3/8" Tubing Adaptor</v>
          </cell>
          <cell r="D443" t="str">
            <v>1517TA</v>
          </cell>
          <cell r="E443">
            <v>35885</v>
          </cell>
          <cell r="F443" t="str">
            <v>N/A</v>
          </cell>
          <cell r="K443" t="str">
            <v>S-4</v>
          </cell>
          <cell r="L443" t="str">
            <v>N/A</v>
          </cell>
          <cell r="P443" t="str">
            <v>N/A</v>
          </cell>
          <cell r="Q443" t="str">
            <v>N/A</v>
          </cell>
          <cell r="R443" t="str">
            <v>8</v>
          </cell>
          <cell r="S443" t="str">
            <v>0</v>
          </cell>
          <cell r="T443" t="str">
            <v>1.5</v>
          </cell>
          <cell r="U443" t="str">
            <v>2.5</v>
          </cell>
          <cell r="W443" t="str">
            <v>S-4</v>
          </cell>
          <cell r="AB443" t="str">
            <v>Non-Sterile</v>
          </cell>
          <cell r="AJ443" t="str">
            <v>Discontinued</v>
          </cell>
          <cell r="AK443" t="str">
            <v>N/A</v>
          </cell>
          <cell r="AL443" t="str">
            <v>N/A</v>
          </cell>
        </row>
        <row r="444">
          <cell r="A444" t="str">
            <v>1517TA-1</v>
          </cell>
          <cell r="B444" t="str">
            <v>Comp#</v>
          </cell>
          <cell r="C444" t="str">
            <v>3/8" Tubing Adaptor - New Style</v>
          </cell>
          <cell r="D444" t="str">
            <v>1420A ETAL</v>
          </cell>
          <cell r="E444">
            <v>37602</v>
          </cell>
          <cell r="F444" t="str">
            <v>N/A</v>
          </cell>
          <cell r="K444" t="str">
            <v>S-4</v>
          </cell>
          <cell r="L444" t="str">
            <v>N/A</v>
          </cell>
          <cell r="P444" t="str">
            <v>N/A</v>
          </cell>
          <cell r="Q444" t="str">
            <v>N/A</v>
          </cell>
          <cell r="R444" t="str">
            <v>8</v>
          </cell>
          <cell r="S444" t="str">
            <v>0</v>
          </cell>
          <cell r="T444" t="str">
            <v>1.5</v>
          </cell>
          <cell r="U444" t="str">
            <v>2.5</v>
          </cell>
          <cell r="V444" t="str">
            <v>1000</v>
          </cell>
          <cell r="X444" t="str">
            <v>Injection Molding</v>
          </cell>
          <cell r="Y444" t="str">
            <v>N/A</v>
          </cell>
          <cell r="AA444" t="str">
            <v>Arburg</v>
          </cell>
          <cell r="AB444" t="str">
            <v>Non-Sterile</v>
          </cell>
          <cell r="AC444" t="str">
            <v>N/A</v>
          </cell>
          <cell r="AG444" t="str">
            <v>N</v>
          </cell>
          <cell r="AH444" t="str">
            <v>Y</v>
          </cell>
          <cell r="AI444" t="str">
            <v>LATEX FREE</v>
          </cell>
          <cell r="AJ444" t="str">
            <v>Current</v>
          </cell>
          <cell r="AK444" t="str">
            <v>N/A</v>
          </cell>
          <cell r="AL444" t="str">
            <v>N/A</v>
          </cell>
          <cell r="AM444" t="str">
            <v>N/A</v>
          </cell>
          <cell r="AN444" t="str">
            <v>N/A</v>
          </cell>
          <cell r="AO444" t="str">
            <v>N/A</v>
          </cell>
          <cell r="AP444" t="str">
            <v>N/A</v>
          </cell>
          <cell r="AS444" t="str">
            <v>N/A</v>
          </cell>
          <cell r="AT444" t="str">
            <v>N/A</v>
          </cell>
          <cell r="AU444" t="str">
            <v>N/A</v>
          </cell>
          <cell r="AV444" t="str">
            <v>2962Z,2963A</v>
          </cell>
        </row>
        <row r="445">
          <cell r="A445" t="str">
            <v>1553B</v>
          </cell>
          <cell r="C445" t="str">
            <v>1/4 Blue Tubing Fitment</v>
          </cell>
          <cell r="D445" t="str">
            <v>1420A ETAL</v>
          </cell>
          <cell r="E445">
            <v>37602</v>
          </cell>
          <cell r="F445" t="str">
            <v>N/A</v>
          </cell>
          <cell r="K445" t="str">
            <v>S-4</v>
          </cell>
          <cell r="L445" t="str">
            <v>N/A</v>
          </cell>
          <cell r="P445" t="str">
            <v>N/A</v>
          </cell>
          <cell r="Q445" t="str">
            <v>N/A</v>
          </cell>
          <cell r="R445" t="str">
            <v>8</v>
          </cell>
          <cell r="S445" t="str">
            <v>0</v>
          </cell>
          <cell r="T445" t="str">
            <v>1.5</v>
          </cell>
          <cell r="U445" t="str">
            <v>2.5</v>
          </cell>
          <cell r="W445" t="str">
            <v>S-4</v>
          </cell>
          <cell r="AB445" t="str">
            <v>Non-Sterile</v>
          </cell>
          <cell r="AJ445" t="str">
            <v>Discontinued</v>
          </cell>
          <cell r="AK445" t="str">
            <v>N/A</v>
          </cell>
          <cell r="AL445" t="str">
            <v>N/A</v>
          </cell>
        </row>
        <row r="446">
          <cell r="A446" t="str">
            <v>1620B</v>
          </cell>
          <cell r="C446" t="str">
            <v>Assem 8FR Frazier</v>
          </cell>
          <cell r="D446" t="str">
            <v>1620B</v>
          </cell>
          <cell r="E446">
            <v>36714</v>
          </cell>
          <cell r="F446" t="str">
            <v>N/A</v>
          </cell>
          <cell r="K446" t="str">
            <v>S-4</v>
          </cell>
          <cell r="L446" t="str">
            <v>32</v>
          </cell>
          <cell r="P446" t="str">
            <v>32</v>
          </cell>
          <cell r="Q446" t="str">
            <v>N/A</v>
          </cell>
          <cell r="R446" t="str">
            <v>8</v>
          </cell>
          <cell r="S446" t="str">
            <v>0</v>
          </cell>
          <cell r="T446" t="str">
            <v>1.5</v>
          </cell>
          <cell r="U446" t="str">
            <v>2.5</v>
          </cell>
          <cell r="AB446" t="str">
            <v>Non-Sterile</v>
          </cell>
          <cell r="AJ446" t="str">
            <v>Discontinued</v>
          </cell>
          <cell r="AK446" t="str">
            <v>N/A</v>
          </cell>
          <cell r="AL446" t="str">
            <v>N/A</v>
          </cell>
        </row>
        <row r="447">
          <cell r="A447" t="str">
            <v>1620I</v>
          </cell>
          <cell r="C447" t="str">
            <v>Insert Spacer for/8FR</v>
          </cell>
          <cell r="D447" t="str">
            <v>1420A ETAL</v>
          </cell>
          <cell r="E447">
            <v>37602</v>
          </cell>
          <cell r="F447" t="str">
            <v>N/A</v>
          </cell>
          <cell r="K447" t="str">
            <v>S-4</v>
          </cell>
          <cell r="L447" t="str">
            <v>N/A</v>
          </cell>
          <cell r="P447" t="str">
            <v>N/A</v>
          </cell>
          <cell r="Q447" t="str">
            <v>N/A</v>
          </cell>
          <cell r="R447" t="str">
            <v>8</v>
          </cell>
          <cell r="S447" t="str">
            <v>0</v>
          </cell>
          <cell r="T447" t="str">
            <v>1.5</v>
          </cell>
          <cell r="U447" t="str">
            <v>2.5</v>
          </cell>
          <cell r="W447" t="str">
            <v>S-4</v>
          </cell>
          <cell r="AB447" t="str">
            <v>Non-Sterile</v>
          </cell>
          <cell r="AJ447" t="str">
            <v>Discontinued</v>
          </cell>
          <cell r="AK447" t="str">
            <v>N/A</v>
          </cell>
          <cell r="AL447" t="str">
            <v>N/A</v>
          </cell>
        </row>
        <row r="448">
          <cell r="A448" t="str">
            <v>1621A</v>
          </cell>
          <cell r="C448" t="str">
            <v>Insert into Handles(Fraz)</v>
          </cell>
          <cell r="AB448" t="str">
            <v>Non-Sterile</v>
          </cell>
          <cell r="AJ448" t="str">
            <v>Discontinued</v>
          </cell>
          <cell r="AK448" t="str">
            <v>N/A</v>
          </cell>
          <cell r="AL448" t="str">
            <v>N/A</v>
          </cell>
        </row>
        <row r="449">
          <cell r="A449" t="str">
            <v>1621AB</v>
          </cell>
          <cell r="C449" t="str">
            <v>8fr Tube in Handle-Unbent</v>
          </cell>
          <cell r="AB449" t="str">
            <v>Non-Sterile</v>
          </cell>
          <cell r="AJ449" t="str">
            <v>Discontinued</v>
          </cell>
          <cell r="AK449" t="str">
            <v>N/A</v>
          </cell>
          <cell r="AL449" t="str">
            <v>N/A</v>
          </cell>
        </row>
        <row r="450">
          <cell r="A450" t="str">
            <v>1621AC</v>
          </cell>
          <cell r="C450" t="str">
            <v>Bevel Tubes into Hndl(Frz</v>
          </cell>
          <cell r="AB450" t="str">
            <v>Non-Sterile</v>
          </cell>
          <cell r="AJ450" t="str">
            <v>Discontinued</v>
          </cell>
          <cell r="AK450" t="str">
            <v>N/A</v>
          </cell>
          <cell r="AL450" t="str">
            <v>N/A</v>
          </cell>
        </row>
        <row r="451">
          <cell r="A451" t="str">
            <v>1621AD</v>
          </cell>
          <cell r="C451" t="str">
            <v>Bend Tube(Frazier)</v>
          </cell>
          <cell r="AB451" t="str">
            <v>Non-Sterile</v>
          </cell>
          <cell r="AJ451" t="str">
            <v>Discontinued</v>
          </cell>
          <cell r="AK451" t="str">
            <v>N/A</v>
          </cell>
          <cell r="AL451" t="str">
            <v>N/A</v>
          </cell>
        </row>
        <row r="452">
          <cell r="A452" t="str">
            <v>1621T</v>
          </cell>
          <cell r="C452" t="str">
            <v>.105 X5.5" Alum Tube Bent</v>
          </cell>
          <cell r="D452" t="str">
            <v>1621T ETAL</v>
          </cell>
          <cell r="E452">
            <v>36538</v>
          </cell>
          <cell r="F452" t="str">
            <v>N/A</v>
          </cell>
          <cell r="K452" t="str">
            <v>S-4</v>
          </cell>
          <cell r="L452" t="str">
            <v>N/A</v>
          </cell>
          <cell r="P452" t="str">
            <v>32</v>
          </cell>
          <cell r="Q452" t="str">
            <v>N/A</v>
          </cell>
          <cell r="R452" t="str">
            <v>8</v>
          </cell>
          <cell r="S452" t="str">
            <v>0</v>
          </cell>
          <cell r="T452" t="str">
            <v>1.5</v>
          </cell>
          <cell r="U452" t="str">
            <v>2.5</v>
          </cell>
          <cell r="AB452" t="str">
            <v>Non-Sterile</v>
          </cell>
          <cell r="AJ452" t="str">
            <v>Discontinued</v>
          </cell>
          <cell r="AK452" t="str">
            <v>N/A</v>
          </cell>
          <cell r="AL452" t="str">
            <v>N/A</v>
          </cell>
        </row>
        <row r="453">
          <cell r="A453" t="str">
            <v>1621TA</v>
          </cell>
          <cell r="C453" t="str">
            <v>.105 X 5.5"Alum Tube</v>
          </cell>
          <cell r="AB453" t="str">
            <v>Non-Sterile</v>
          </cell>
          <cell r="AJ453" t="str">
            <v>Discontinued</v>
          </cell>
          <cell r="AK453" t="str">
            <v>N/A</v>
          </cell>
          <cell r="AL453" t="str">
            <v>N/A</v>
          </cell>
        </row>
        <row r="454">
          <cell r="A454" t="str">
            <v>1630B</v>
          </cell>
          <cell r="C454" t="str">
            <v>Assem 10Fr Frazier</v>
          </cell>
          <cell r="D454" t="str">
            <v>1620B</v>
          </cell>
          <cell r="E454">
            <v>36714</v>
          </cell>
          <cell r="F454" t="str">
            <v>N/A</v>
          </cell>
          <cell r="K454" t="str">
            <v>S-4</v>
          </cell>
          <cell r="L454" t="str">
            <v>32</v>
          </cell>
          <cell r="P454" t="str">
            <v>32</v>
          </cell>
          <cell r="Q454" t="str">
            <v>N/A</v>
          </cell>
          <cell r="R454" t="str">
            <v>8</v>
          </cell>
          <cell r="S454" t="str">
            <v>0</v>
          </cell>
          <cell r="T454" t="str">
            <v>1.5</v>
          </cell>
          <cell r="U454" t="str">
            <v>2.5</v>
          </cell>
          <cell r="AB454" t="str">
            <v>Non-Sterile</v>
          </cell>
          <cell r="AJ454" t="str">
            <v>Discontinued</v>
          </cell>
          <cell r="AK454" t="str">
            <v>N/A</v>
          </cell>
          <cell r="AL454" t="str">
            <v>N/A</v>
          </cell>
        </row>
        <row r="455">
          <cell r="A455" t="str">
            <v>1630I</v>
          </cell>
          <cell r="C455" t="str">
            <v>Insert Spacer 10FR</v>
          </cell>
          <cell r="D455" t="str">
            <v>1420A ETAL</v>
          </cell>
          <cell r="E455">
            <v>37602</v>
          </cell>
          <cell r="F455" t="str">
            <v>N/A</v>
          </cell>
          <cell r="K455" t="str">
            <v>S-4</v>
          </cell>
          <cell r="L455" t="str">
            <v>N/A</v>
          </cell>
          <cell r="P455" t="str">
            <v>N/A</v>
          </cell>
          <cell r="Q455" t="str">
            <v>N/A</v>
          </cell>
          <cell r="R455" t="str">
            <v>8</v>
          </cell>
          <cell r="S455" t="str">
            <v>0</v>
          </cell>
          <cell r="T455" t="str">
            <v>1.5</v>
          </cell>
          <cell r="U455" t="str">
            <v>2.5</v>
          </cell>
          <cell r="W455" t="str">
            <v>S-4</v>
          </cell>
          <cell r="AB455" t="str">
            <v>Non-Sterile</v>
          </cell>
          <cell r="AJ455" t="str">
            <v>Discontinued</v>
          </cell>
          <cell r="AK455" t="str">
            <v>N/A</v>
          </cell>
          <cell r="AL455" t="str">
            <v>N/A</v>
          </cell>
        </row>
        <row r="456">
          <cell r="A456" t="str">
            <v>1631A</v>
          </cell>
          <cell r="C456" t="str">
            <v>Insert into Handles</v>
          </cell>
          <cell r="AB456" t="str">
            <v>Non-Sterile</v>
          </cell>
          <cell r="AJ456" t="str">
            <v>Discontinued</v>
          </cell>
          <cell r="AK456" t="str">
            <v>N/A</v>
          </cell>
          <cell r="AL456" t="str">
            <v>N/A</v>
          </cell>
        </row>
        <row r="457">
          <cell r="A457" t="str">
            <v>1631AB</v>
          </cell>
          <cell r="C457" t="str">
            <v>Tubes into Handles</v>
          </cell>
          <cell r="AB457" t="str">
            <v>Non-Sterile</v>
          </cell>
          <cell r="AJ457" t="str">
            <v>Discontinued</v>
          </cell>
          <cell r="AK457" t="str">
            <v>N/A</v>
          </cell>
          <cell r="AL457" t="str">
            <v>N/A</v>
          </cell>
        </row>
        <row r="458">
          <cell r="A458" t="str">
            <v>1631AC</v>
          </cell>
          <cell r="C458" t="str">
            <v>Bevel Tubes into Handles</v>
          </cell>
          <cell r="AB458" t="str">
            <v>Non-Sterile</v>
          </cell>
          <cell r="AJ458" t="str">
            <v>Discontinued</v>
          </cell>
          <cell r="AK458" t="str">
            <v>N/A</v>
          </cell>
          <cell r="AL458" t="str">
            <v>N/A</v>
          </cell>
        </row>
        <row r="459">
          <cell r="A459" t="str">
            <v>1631AD</v>
          </cell>
          <cell r="C459" t="str">
            <v>Bend Tubes</v>
          </cell>
          <cell r="AB459" t="str">
            <v>Non-Sterile</v>
          </cell>
          <cell r="AJ459" t="str">
            <v>Discontinued</v>
          </cell>
          <cell r="AK459" t="str">
            <v>N/A</v>
          </cell>
          <cell r="AL459" t="str">
            <v>N/A</v>
          </cell>
        </row>
        <row r="460">
          <cell r="A460" t="str">
            <v>1631T</v>
          </cell>
          <cell r="C460" t="str">
            <v>.131"X5.5"Alum Tube Belld</v>
          </cell>
          <cell r="D460" t="str">
            <v>1621T ETAL</v>
          </cell>
          <cell r="E460">
            <v>36538</v>
          </cell>
          <cell r="F460" t="str">
            <v>N/A</v>
          </cell>
          <cell r="K460" t="str">
            <v>S-4</v>
          </cell>
          <cell r="L460" t="str">
            <v>N/A</v>
          </cell>
          <cell r="P460" t="str">
            <v>32</v>
          </cell>
          <cell r="Q460" t="str">
            <v>N/A</v>
          </cell>
          <cell r="R460" t="str">
            <v>8</v>
          </cell>
          <cell r="S460" t="str">
            <v>0</v>
          </cell>
          <cell r="T460" t="str">
            <v>1.5</v>
          </cell>
          <cell r="U460" t="str">
            <v>2.5</v>
          </cell>
          <cell r="AB460" t="str">
            <v>Non-Sterile</v>
          </cell>
          <cell r="AJ460" t="str">
            <v>Discontinued</v>
          </cell>
          <cell r="AK460" t="str">
            <v>N/A</v>
          </cell>
          <cell r="AL460" t="str">
            <v>N/A</v>
          </cell>
        </row>
        <row r="461">
          <cell r="A461" t="str">
            <v>1640B</v>
          </cell>
          <cell r="C461" t="str">
            <v>Assem 12FR Frazier</v>
          </cell>
          <cell r="D461" t="str">
            <v>1620B</v>
          </cell>
          <cell r="E461">
            <v>36714</v>
          </cell>
          <cell r="F461" t="str">
            <v>N/A</v>
          </cell>
          <cell r="K461" t="str">
            <v>S-4</v>
          </cell>
          <cell r="L461" t="str">
            <v>32</v>
          </cell>
          <cell r="P461" t="str">
            <v>32</v>
          </cell>
          <cell r="Q461" t="str">
            <v>N/A</v>
          </cell>
          <cell r="R461" t="str">
            <v>8</v>
          </cell>
          <cell r="S461" t="str">
            <v>0</v>
          </cell>
          <cell r="T461" t="str">
            <v>1.5</v>
          </cell>
          <cell r="U461" t="str">
            <v>2.5</v>
          </cell>
          <cell r="AB461" t="str">
            <v>Non-Sterile</v>
          </cell>
          <cell r="AJ461" t="str">
            <v>Discontinued</v>
          </cell>
          <cell r="AK461" t="str">
            <v>N/A</v>
          </cell>
          <cell r="AL461" t="str">
            <v>N/A</v>
          </cell>
        </row>
        <row r="462">
          <cell r="A462" t="str">
            <v>1640I</v>
          </cell>
          <cell r="C462" t="str">
            <v>Insert Spacer for 12FR</v>
          </cell>
          <cell r="D462" t="str">
            <v>1420A ETAL</v>
          </cell>
          <cell r="E462">
            <v>37602</v>
          </cell>
          <cell r="F462" t="str">
            <v>N/A</v>
          </cell>
          <cell r="K462" t="str">
            <v>S-4</v>
          </cell>
          <cell r="L462" t="str">
            <v>N/A</v>
          </cell>
          <cell r="P462" t="str">
            <v>N/A</v>
          </cell>
          <cell r="Q462" t="str">
            <v>N/A</v>
          </cell>
          <cell r="R462" t="str">
            <v>8</v>
          </cell>
          <cell r="S462" t="str">
            <v>0</v>
          </cell>
          <cell r="T462" t="str">
            <v>1.5</v>
          </cell>
          <cell r="U462" t="str">
            <v>2.5</v>
          </cell>
          <cell r="W462" t="str">
            <v>S-4</v>
          </cell>
          <cell r="AB462" t="str">
            <v>Non-Sterile</v>
          </cell>
          <cell r="AJ462" t="str">
            <v>Discontinued</v>
          </cell>
          <cell r="AK462" t="str">
            <v>N/A</v>
          </cell>
          <cell r="AL462" t="str">
            <v>N/A</v>
          </cell>
        </row>
        <row r="463">
          <cell r="A463" t="str">
            <v>1641A</v>
          </cell>
          <cell r="C463" t="str">
            <v>Insert into Handles</v>
          </cell>
          <cell r="AB463" t="str">
            <v>Non-Sterile</v>
          </cell>
          <cell r="AJ463" t="str">
            <v>Discontinued</v>
          </cell>
          <cell r="AK463" t="str">
            <v>N/A</v>
          </cell>
          <cell r="AL463" t="str">
            <v>N/A</v>
          </cell>
        </row>
        <row r="464">
          <cell r="A464" t="str">
            <v>1641AB</v>
          </cell>
          <cell r="C464" t="str">
            <v>Tubes into Handles</v>
          </cell>
          <cell r="AB464" t="str">
            <v>Non-Sterile</v>
          </cell>
          <cell r="AJ464" t="str">
            <v>Discontinued</v>
          </cell>
          <cell r="AK464" t="str">
            <v>N/A</v>
          </cell>
          <cell r="AL464" t="str">
            <v>N/A</v>
          </cell>
        </row>
        <row r="465">
          <cell r="A465" t="str">
            <v>1641AC</v>
          </cell>
          <cell r="C465" t="str">
            <v>Bevel Tubes into Handles</v>
          </cell>
          <cell r="AB465" t="str">
            <v>Non-Sterile</v>
          </cell>
          <cell r="AJ465" t="str">
            <v>Discontinued</v>
          </cell>
          <cell r="AK465" t="str">
            <v>N/A</v>
          </cell>
          <cell r="AL465" t="str">
            <v>N/A</v>
          </cell>
        </row>
        <row r="466">
          <cell r="A466" t="str">
            <v>1641AD</v>
          </cell>
          <cell r="C466" t="str">
            <v>Bend Tubes</v>
          </cell>
          <cell r="AB466" t="str">
            <v>Non-Sterile</v>
          </cell>
          <cell r="AJ466" t="str">
            <v>Discontinued</v>
          </cell>
          <cell r="AK466" t="str">
            <v>N/A</v>
          </cell>
          <cell r="AL466" t="str">
            <v>N/A</v>
          </cell>
        </row>
        <row r="467">
          <cell r="A467" t="str">
            <v>1641T</v>
          </cell>
          <cell r="C467" t="str">
            <v>.158"ODX5.5"Alum Tube</v>
          </cell>
          <cell r="D467" t="str">
            <v>1621T ETAL</v>
          </cell>
          <cell r="E467">
            <v>36538</v>
          </cell>
          <cell r="F467" t="str">
            <v>N/A</v>
          </cell>
          <cell r="K467" t="str">
            <v>S-4</v>
          </cell>
          <cell r="L467" t="str">
            <v>N/A</v>
          </cell>
          <cell r="P467" t="str">
            <v>32</v>
          </cell>
          <cell r="Q467" t="str">
            <v>N/A</v>
          </cell>
          <cell r="R467" t="str">
            <v>8</v>
          </cell>
          <cell r="S467" t="str">
            <v>0</v>
          </cell>
          <cell r="T467" t="str">
            <v>1.5</v>
          </cell>
          <cell r="U467" t="str">
            <v>2.5</v>
          </cell>
          <cell r="AB467" t="str">
            <v>Non-Sterile</v>
          </cell>
          <cell r="AJ467" t="str">
            <v>Discontinued</v>
          </cell>
          <cell r="AK467" t="str">
            <v>N/A</v>
          </cell>
          <cell r="AL467" t="str">
            <v>N/A</v>
          </cell>
        </row>
        <row r="468">
          <cell r="A468" t="str">
            <v>1650H</v>
          </cell>
          <cell r="B468" t="str">
            <v>Comp#</v>
          </cell>
          <cell r="C468" t="str">
            <v>Sigmoid/ Frazier Handle Shaft/2000</v>
          </cell>
          <cell r="D468" t="str">
            <v>1420A ETAL</v>
          </cell>
          <cell r="E468">
            <v>37602</v>
          </cell>
          <cell r="F468" t="str">
            <v>N/A</v>
          </cell>
          <cell r="K468" t="str">
            <v>S-4</v>
          </cell>
          <cell r="L468" t="str">
            <v>N/A</v>
          </cell>
          <cell r="P468" t="str">
            <v>N/A</v>
          </cell>
          <cell r="Q468" t="str">
            <v>N/A</v>
          </cell>
          <cell r="R468" t="str">
            <v>8</v>
          </cell>
          <cell r="S468" t="str">
            <v>0</v>
          </cell>
          <cell r="T468" t="str">
            <v>1.5</v>
          </cell>
          <cell r="U468" t="str">
            <v>2.5</v>
          </cell>
          <cell r="V468" t="str">
            <v>2000</v>
          </cell>
          <cell r="W468" t="str">
            <v>S-4</v>
          </cell>
          <cell r="X468" t="str">
            <v>Injection Molding</v>
          </cell>
          <cell r="Y468" t="str">
            <v>N/A</v>
          </cell>
          <cell r="AA468" t="str">
            <v>Injection Molding</v>
          </cell>
          <cell r="AB468" t="str">
            <v>Non-Sterile</v>
          </cell>
          <cell r="AC468" t="str">
            <v>N/A</v>
          </cell>
          <cell r="AG468" t="str">
            <v>N</v>
          </cell>
          <cell r="AH468" t="str">
            <v>Y</v>
          </cell>
          <cell r="AI468" t="str">
            <v>N/A</v>
          </cell>
          <cell r="AJ468" t="str">
            <v>Current</v>
          </cell>
          <cell r="AK468" t="str">
            <v>N/A</v>
          </cell>
          <cell r="AL468" t="str">
            <v>N/A</v>
          </cell>
          <cell r="AM468" t="str">
            <v>N/A</v>
          </cell>
          <cell r="AN468" t="str">
            <v>N/A</v>
          </cell>
          <cell r="AO468" t="str">
            <v>N/A</v>
          </cell>
          <cell r="AP468" t="str">
            <v>N/A</v>
          </cell>
          <cell r="AS468" t="str">
            <v>Reuse 2044 10x</v>
          </cell>
          <cell r="AT468" t="str">
            <v>N/A</v>
          </cell>
          <cell r="AU468" t="str">
            <v>N/A</v>
          </cell>
          <cell r="AV468" t="str">
            <v>1620C,6934</v>
          </cell>
        </row>
        <row r="469">
          <cell r="A469" t="str">
            <v>1650S</v>
          </cell>
          <cell r="B469" t="str">
            <v>Comp#</v>
          </cell>
          <cell r="C469" t="str">
            <v>Sigmoid/ Frazier Slide Collar/1000</v>
          </cell>
          <cell r="D469" t="str">
            <v>1420A ETAL</v>
          </cell>
          <cell r="E469">
            <v>37602</v>
          </cell>
          <cell r="F469" t="str">
            <v>N/A</v>
          </cell>
          <cell r="K469" t="str">
            <v>S-4</v>
          </cell>
          <cell r="L469" t="str">
            <v>N/A</v>
          </cell>
          <cell r="P469" t="str">
            <v>N/A</v>
          </cell>
          <cell r="Q469" t="str">
            <v>N/A</v>
          </cell>
          <cell r="R469" t="str">
            <v>8</v>
          </cell>
          <cell r="S469" t="str">
            <v>0</v>
          </cell>
          <cell r="T469" t="str">
            <v>1.5</v>
          </cell>
          <cell r="U469" t="str">
            <v>2.5</v>
          </cell>
          <cell r="V469" t="str">
            <v>1000</v>
          </cell>
          <cell r="W469" t="str">
            <v>S-4</v>
          </cell>
          <cell r="X469" t="str">
            <v>Injection Molding</v>
          </cell>
          <cell r="Y469" t="str">
            <v>N/A</v>
          </cell>
          <cell r="AA469" t="str">
            <v>Injection Molding</v>
          </cell>
          <cell r="AB469" t="str">
            <v>Non-Sterile</v>
          </cell>
          <cell r="AC469" t="str">
            <v>N/A</v>
          </cell>
          <cell r="AG469" t="str">
            <v>N</v>
          </cell>
          <cell r="AH469" t="str">
            <v>Y</v>
          </cell>
          <cell r="AI469" t="str">
            <v>N/A</v>
          </cell>
          <cell r="AJ469" t="str">
            <v>Current</v>
          </cell>
          <cell r="AK469" t="str">
            <v>N/A</v>
          </cell>
          <cell r="AL469" t="str">
            <v>N/A</v>
          </cell>
          <cell r="AM469" t="str">
            <v>N/A</v>
          </cell>
          <cell r="AN469" t="str">
            <v>N/A</v>
          </cell>
          <cell r="AO469" t="str">
            <v>N/A</v>
          </cell>
          <cell r="AP469" t="str">
            <v>N/A</v>
          </cell>
          <cell r="AS469" t="str">
            <v>Reuse 2044 10x</v>
          </cell>
          <cell r="AT469" t="str">
            <v>N/A</v>
          </cell>
          <cell r="AU469" t="str">
            <v>N/A</v>
          </cell>
          <cell r="AV469" t="str">
            <v>1620C,6934</v>
          </cell>
        </row>
        <row r="470">
          <cell r="A470" t="str">
            <v>1650TA</v>
          </cell>
          <cell r="C470" t="str">
            <v>Bevel Tubes(Sigmoids)</v>
          </cell>
          <cell r="AB470" t="str">
            <v>Non-Sterile</v>
          </cell>
          <cell r="AJ470" t="str">
            <v>Discontinued</v>
          </cell>
          <cell r="AK470" t="str">
            <v>N/A</v>
          </cell>
          <cell r="AL470" t="str">
            <v>N/A</v>
          </cell>
        </row>
        <row r="471">
          <cell r="A471" t="str">
            <v>1650TB</v>
          </cell>
          <cell r="C471" t="str">
            <v>Drill Tube(Sigmoid)</v>
          </cell>
          <cell r="AB471" t="str">
            <v>Non-Sterile</v>
          </cell>
          <cell r="AJ471" t="str">
            <v>Discontinued</v>
          </cell>
          <cell r="AK471" t="str">
            <v>N/A</v>
          </cell>
          <cell r="AL471" t="str">
            <v>N/A</v>
          </cell>
        </row>
        <row r="472">
          <cell r="A472" t="str">
            <v>1650TC</v>
          </cell>
          <cell r="C472" t="str">
            <v>Bend Tube(Sigmoid)</v>
          </cell>
          <cell r="AB472" t="str">
            <v>Non-Sterile</v>
          </cell>
          <cell r="AJ472" t="str">
            <v>Discontinued</v>
          </cell>
          <cell r="AK472" t="str">
            <v>N/A</v>
          </cell>
          <cell r="AL472" t="str">
            <v>N/A</v>
          </cell>
        </row>
        <row r="473">
          <cell r="A473" t="str">
            <v>2851C</v>
          </cell>
          <cell r="C473" t="str">
            <v>14MM Curette Cut Open</v>
          </cell>
          <cell r="AB473" t="str">
            <v>Non-Sterile</v>
          </cell>
          <cell r="AJ473" t="str">
            <v>Discontinued</v>
          </cell>
          <cell r="AK473" t="str">
            <v>N/A</v>
          </cell>
          <cell r="AL473" t="str">
            <v>N/A</v>
          </cell>
        </row>
        <row r="474">
          <cell r="A474" t="str">
            <v>2900B</v>
          </cell>
          <cell r="C474" t="str">
            <v>Assem Poole Suction Instr</v>
          </cell>
          <cell r="D474" t="str">
            <v>2900B</v>
          </cell>
          <cell r="F474" t="str">
            <v>N/A</v>
          </cell>
          <cell r="W474" t="str">
            <v>II</v>
          </cell>
          <cell r="AB474" t="str">
            <v>Non-Sterile</v>
          </cell>
          <cell r="AJ474" t="str">
            <v>Discontinued</v>
          </cell>
          <cell r="AK474" t="str">
            <v>N/A</v>
          </cell>
          <cell r="AL474" t="str">
            <v>N/A</v>
          </cell>
        </row>
        <row r="475">
          <cell r="A475" t="str">
            <v>2900F</v>
          </cell>
          <cell r="C475" t="str">
            <v>Mold Filter Ivory</v>
          </cell>
          <cell r="D475" t="str">
            <v>1420A ETAL</v>
          </cell>
          <cell r="E475">
            <v>37019</v>
          </cell>
          <cell r="F475" t="str">
            <v>N/A</v>
          </cell>
          <cell r="W475" t="str">
            <v>S-4</v>
          </cell>
          <cell r="AB475" t="str">
            <v>Non-Sterile</v>
          </cell>
          <cell r="AJ475" t="str">
            <v>Discontinued</v>
          </cell>
          <cell r="AK475" t="str">
            <v>N/A</v>
          </cell>
          <cell r="AL475" t="str">
            <v>N/A</v>
          </cell>
        </row>
        <row r="476">
          <cell r="A476" t="str">
            <v>2900H</v>
          </cell>
          <cell r="C476" t="str">
            <v>Mold Poole Handle Ivory</v>
          </cell>
          <cell r="D476" t="str">
            <v>1420A ETAL</v>
          </cell>
          <cell r="E476">
            <v>37019</v>
          </cell>
          <cell r="F476" t="str">
            <v>N/A</v>
          </cell>
          <cell r="W476" t="str">
            <v>S-4</v>
          </cell>
          <cell r="AB476" t="str">
            <v>Non-Sterile</v>
          </cell>
          <cell r="AJ476" t="str">
            <v>Discontinued</v>
          </cell>
          <cell r="AK476" t="str">
            <v>N/A</v>
          </cell>
          <cell r="AL476" t="str">
            <v>N/A</v>
          </cell>
        </row>
        <row r="477">
          <cell r="A477" t="str">
            <v>2900S</v>
          </cell>
          <cell r="C477" t="str">
            <v>Mold Stem Ivory</v>
          </cell>
          <cell r="D477" t="str">
            <v>1420A ETAL</v>
          </cell>
          <cell r="E477">
            <v>37019</v>
          </cell>
          <cell r="F477" t="str">
            <v>N/A</v>
          </cell>
          <cell r="W477" t="str">
            <v>S-4</v>
          </cell>
          <cell r="AB477" t="str">
            <v>Non-Sterile</v>
          </cell>
          <cell r="AJ477" t="str">
            <v>Discontinued</v>
          </cell>
          <cell r="AK477" t="str">
            <v>N/A</v>
          </cell>
          <cell r="AL477" t="str">
            <v>N/A</v>
          </cell>
        </row>
        <row r="478">
          <cell r="A478" t="str">
            <v>2901F</v>
          </cell>
          <cell r="B478" t="str">
            <v>Comp#</v>
          </cell>
          <cell r="C478" t="str">
            <v>Poole Filter - 2pc of 6pc family tool makes poole)/1000</v>
          </cell>
          <cell r="D478" t="str">
            <v>1420A ETAL</v>
          </cell>
          <cell r="E478">
            <v>37602</v>
          </cell>
          <cell r="F478" t="str">
            <v>N/A</v>
          </cell>
          <cell r="K478" t="str">
            <v>S-4</v>
          </cell>
          <cell r="L478" t="str">
            <v>N/A</v>
          </cell>
          <cell r="P478" t="str">
            <v>N/A</v>
          </cell>
          <cell r="Q478" t="str">
            <v>N/A</v>
          </cell>
          <cell r="R478" t="str">
            <v>8</v>
          </cell>
          <cell r="S478" t="str">
            <v>0</v>
          </cell>
          <cell r="T478" t="str">
            <v>1.5</v>
          </cell>
          <cell r="U478" t="str">
            <v>2.5</v>
          </cell>
          <cell r="V478" t="str">
            <v>1000</v>
          </cell>
          <cell r="W478" t="str">
            <v>S-4</v>
          </cell>
          <cell r="X478" t="str">
            <v>Injection Molding</v>
          </cell>
          <cell r="Y478" t="str">
            <v>N/A</v>
          </cell>
          <cell r="Z478" t="str">
            <v>2</v>
          </cell>
          <cell r="AA478" t="str">
            <v>Injection Molding</v>
          </cell>
          <cell r="AB478" t="str">
            <v>Non-Sterile</v>
          </cell>
          <cell r="AC478" t="str">
            <v>N/A</v>
          </cell>
          <cell r="AG478" t="str">
            <v>N</v>
          </cell>
          <cell r="AH478" t="str">
            <v>Y</v>
          </cell>
          <cell r="AI478" t="str">
            <v>LATEX FREE</v>
          </cell>
          <cell r="AJ478" t="str">
            <v>Current</v>
          </cell>
          <cell r="AK478" t="str">
            <v>N/A</v>
          </cell>
          <cell r="AL478" t="str">
            <v>N/A</v>
          </cell>
          <cell r="AM478" t="str">
            <v>N/A</v>
          </cell>
          <cell r="AN478" t="str">
            <v>N/A</v>
          </cell>
          <cell r="AO478" t="str">
            <v>N/A</v>
          </cell>
          <cell r="AP478" t="str">
            <v>N/A</v>
          </cell>
          <cell r="AS478" t="str">
            <v>Reuse 2044 10x</v>
          </cell>
          <cell r="AT478" t="str">
            <v>N/A</v>
          </cell>
          <cell r="AU478" t="str">
            <v>N/A</v>
          </cell>
          <cell r="AV478" t="str">
            <v>1535MS,6934</v>
          </cell>
        </row>
        <row r="479">
          <cell r="A479" t="str">
            <v>2901H</v>
          </cell>
          <cell r="B479" t="str">
            <v>Comp#</v>
          </cell>
          <cell r="C479" t="str">
            <v>Poole Handle - 2pc of 6pc family tool to make poole/1300</v>
          </cell>
          <cell r="D479" t="str">
            <v>1420A ETAL</v>
          </cell>
          <cell r="E479">
            <v>37602</v>
          </cell>
          <cell r="F479" t="str">
            <v>N/A</v>
          </cell>
          <cell r="K479" t="str">
            <v>S-4</v>
          </cell>
          <cell r="L479" t="str">
            <v>N/A</v>
          </cell>
          <cell r="P479" t="str">
            <v>N/A</v>
          </cell>
          <cell r="Q479" t="str">
            <v>N/A</v>
          </cell>
          <cell r="R479" t="str">
            <v>8</v>
          </cell>
          <cell r="S479" t="str">
            <v>0</v>
          </cell>
          <cell r="T479" t="str">
            <v>1.5</v>
          </cell>
          <cell r="U479" t="str">
            <v>2.5</v>
          </cell>
          <cell r="V479" t="str">
            <v>1300</v>
          </cell>
          <cell r="W479" t="str">
            <v>S-4</v>
          </cell>
          <cell r="X479" t="str">
            <v>Injection Molding</v>
          </cell>
          <cell r="Y479" t="str">
            <v>N/A</v>
          </cell>
          <cell r="Z479" t="str">
            <v>2</v>
          </cell>
          <cell r="AA479" t="str">
            <v>Injection Molding</v>
          </cell>
          <cell r="AB479" t="str">
            <v>Non-Sterile</v>
          </cell>
          <cell r="AC479" t="str">
            <v>N/A</v>
          </cell>
          <cell r="AG479" t="str">
            <v>N</v>
          </cell>
          <cell r="AH479" t="str">
            <v>Y</v>
          </cell>
          <cell r="AI479" t="str">
            <v>LATEX FREE</v>
          </cell>
          <cell r="AJ479" t="str">
            <v>Current</v>
          </cell>
          <cell r="AK479" t="str">
            <v>N/A</v>
          </cell>
          <cell r="AL479" t="str">
            <v>N/A</v>
          </cell>
          <cell r="AM479" t="str">
            <v>N/A</v>
          </cell>
          <cell r="AN479" t="str">
            <v>N/A</v>
          </cell>
          <cell r="AO479" t="str">
            <v>N/A</v>
          </cell>
          <cell r="AP479" t="str">
            <v>N/A</v>
          </cell>
          <cell r="AS479" t="str">
            <v>Reuse 2044 10x</v>
          </cell>
          <cell r="AT479" t="str">
            <v>N/A</v>
          </cell>
          <cell r="AU479" t="str">
            <v>N/A</v>
          </cell>
          <cell r="AV479" t="str">
            <v>1535MS,6934</v>
          </cell>
        </row>
        <row r="480">
          <cell r="A480" t="str">
            <v>2901S</v>
          </cell>
          <cell r="B480" t="str">
            <v>Comp#</v>
          </cell>
          <cell r="C480" t="str">
            <v>Poole Shaft - 2pc of 3pc family tool to make poole/2000</v>
          </cell>
          <cell r="D480" t="str">
            <v>1420A ETAL</v>
          </cell>
          <cell r="E480">
            <v>37602</v>
          </cell>
          <cell r="F480" t="str">
            <v>N/A</v>
          </cell>
          <cell r="K480" t="str">
            <v>S-4</v>
          </cell>
          <cell r="L480" t="str">
            <v>N/A</v>
          </cell>
          <cell r="P480" t="str">
            <v>N/A</v>
          </cell>
          <cell r="Q480" t="str">
            <v>N/A</v>
          </cell>
          <cell r="R480" t="str">
            <v>8</v>
          </cell>
          <cell r="S480" t="str">
            <v>0</v>
          </cell>
          <cell r="T480" t="str">
            <v>1.5</v>
          </cell>
          <cell r="U480" t="str">
            <v>2.5</v>
          </cell>
          <cell r="V480" t="str">
            <v>2000</v>
          </cell>
          <cell r="W480" t="str">
            <v>S-4</v>
          </cell>
          <cell r="X480" t="str">
            <v>Injection Molding</v>
          </cell>
          <cell r="Y480" t="str">
            <v>N/A</v>
          </cell>
          <cell r="Z480" t="str">
            <v>2</v>
          </cell>
          <cell r="AA480" t="str">
            <v>Injection Molding</v>
          </cell>
          <cell r="AB480" t="str">
            <v>Non-Sterile</v>
          </cell>
          <cell r="AC480" t="str">
            <v>N/A</v>
          </cell>
          <cell r="AG480" t="str">
            <v>N</v>
          </cell>
          <cell r="AH480" t="str">
            <v>Y</v>
          </cell>
          <cell r="AI480" t="str">
            <v>LATEX FREE</v>
          </cell>
          <cell r="AJ480" t="str">
            <v>Current</v>
          </cell>
          <cell r="AK480" t="str">
            <v>N/A</v>
          </cell>
          <cell r="AL480" t="str">
            <v>N/A</v>
          </cell>
          <cell r="AM480" t="str">
            <v>N/A</v>
          </cell>
          <cell r="AN480" t="str">
            <v>N/A</v>
          </cell>
          <cell r="AO480" t="str">
            <v>N/A</v>
          </cell>
          <cell r="AP480" t="str">
            <v>N/A</v>
          </cell>
          <cell r="AS480" t="str">
            <v>Reuse 2044 10x</v>
          </cell>
          <cell r="AT480" t="str">
            <v>N/A</v>
          </cell>
          <cell r="AU480" t="str">
            <v>N/A</v>
          </cell>
          <cell r="AV480" t="str">
            <v>1535MS,6934</v>
          </cell>
        </row>
        <row r="481">
          <cell r="A481" t="str">
            <v>2960K</v>
          </cell>
          <cell r="B481" t="str">
            <v>Comp#</v>
          </cell>
          <cell r="C481" t="str">
            <v>Yankauer W/O Logo/ W/O Vent/ Open Tip/ Straight/200</v>
          </cell>
          <cell r="D481" t="str">
            <v>1420A ETAL</v>
          </cell>
          <cell r="E481">
            <v>37602</v>
          </cell>
          <cell r="F481" t="str">
            <v>N/A</v>
          </cell>
          <cell r="K481" t="str">
            <v>S-4</v>
          </cell>
          <cell r="L481" t="str">
            <v>16</v>
          </cell>
          <cell r="P481" t="str">
            <v>N/A</v>
          </cell>
          <cell r="Q481" t="str">
            <v>N/A</v>
          </cell>
          <cell r="R481" t="str">
            <v>8</v>
          </cell>
          <cell r="S481" t="str">
            <v>0</v>
          </cell>
          <cell r="T481" t="str">
            <v>1.5</v>
          </cell>
          <cell r="U481" t="str">
            <v>2.5</v>
          </cell>
          <cell r="V481" t="str">
            <v>200</v>
          </cell>
          <cell r="X481" t="str">
            <v>Injection Molding</v>
          </cell>
          <cell r="Y481" t="str">
            <v>N/A</v>
          </cell>
          <cell r="AB481" t="str">
            <v>Non-Sterile</v>
          </cell>
          <cell r="AC481" t="str">
            <v>N/A</v>
          </cell>
          <cell r="AG481" t="str">
            <v>N</v>
          </cell>
          <cell r="AH481" t="str">
            <v>Y</v>
          </cell>
          <cell r="AI481" t="str">
            <v>LATEX FREE</v>
          </cell>
          <cell r="AJ481" t="str">
            <v>Current</v>
          </cell>
          <cell r="AK481" t="str">
            <v>N/A</v>
          </cell>
          <cell r="AL481" t="str">
            <v>N/A</v>
          </cell>
          <cell r="AM481" t="str">
            <v>N/A</v>
          </cell>
          <cell r="AN481" t="str">
            <v>N/A</v>
          </cell>
          <cell r="AO481" t="str">
            <v>N/A</v>
          </cell>
          <cell r="AP481" t="str">
            <v>N/A</v>
          </cell>
          <cell r="AS481" t="str">
            <v>N/A</v>
          </cell>
          <cell r="AT481" t="str">
            <v>N/A</v>
          </cell>
          <cell r="AU481" t="str">
            <v>N/A</v>
          </cell>
          <cell r="AV481" t="str">
            <v>2960K1,2960K3,2960KC,2963Y</v>
          </cell>
        </row>
        <row r="482">
          <cell r="A482" t="str">
            <v>2962K0</v>
          </cell>
          <cell r="C482" t="str">
            <v>Bent Yank w/oVent no logo</v>
          </cell>
          <cell r="D482" t="str">
            <v>2962KO ETAL</v>
          </cell>
          <cell r="E482">
            <v>36826</v>
          </cell>
          <cell r="F482" t="str">
            <v>N/A</v>
          </cell>
          <cell r="W482" t="str">
            <v>S-4</v>
          </cell>
          <cell r="AB482" t="str">
            <v>Non-Sterile</v>
          </cell>
          <cell r="AJ482" t="str">
            <v>Discontinued</v>
          </cell>
          <cell r="AK482" t="str">
            <v>N/A</v>
          </cell>
          <cell r="AL482" t="str">
            <v>N/A</v>
          </cell>
        </row>
        <row r="483">
          <cell r="A483" t="str">
            <v>2962KN</v>
          </cell>
          <cell r="C483" t="str">
            <v>MOLD YANK UNBENT O/TIP</v>
          </cell>
          <cell r="D483" t="str">
            <v>1420A ETAL</v>
          </cell>
          <cell r="E483">
            <v>37602</v>
          </cell>
          <cell r="F483" t="str">
            <v>N/A</v>
          </cell>
          <cell r="K483" t="str">
            <v>S-4</v>
          </cell>
          <cell r="L483" t="str">
            <v>16</v>
          </cell>
          <cell r="P483" t="str">
            <v>N/A</v>
          </cell>
          <cell r="Q483" t="str">
            <v>N/A</v>
          </cell>
          <cell r="R483" t="str">
            <v>8</v>
          </cell>
          <cell r="S483" t="str">
            <v>0</v>
          </cell>
          <cell r="T483" t="str">
            <v>1.5</v>
          </cell>
          <cell r="U483" t="str">
            <v>2.5</v>
          </cell>
          <cell r="W483" t="str">
            <v>S-4</v>
          </cell>
          <cell r="AB483" t="str">
            <v>Non-Sterile</v>
          </cell>
          <cell r="AJ483" t="str">
            <v>Discontinued</v>
          </cell>
          <cell r="AK483" t="str">
            <v>N/A</v>
          </cell>
          <cell r="AL483" t="str">
            <v>N/A</v>
          </cell>
        </row>
        <row r="484">
          <cell r="A484" t="str">
            <v>2962M</v>
          </cell>
          <cell r="C484" t="str">
            <v>Yankauer w/o logo, w/o vent, w/open tip, Straight, Marvaloy</v>
          </cell>
          <cell r="D484" t="str">
            <v>1420A ETAL</v>
          </cell>
          <cell r="E484">
            <v>37602</v>
          </cell>
          <cell r="F484" t="str">
            <v>N/A</v>
          </cell>
          <cell r="K484" t="str">
            <v>S-4</v>
          </cell>
          <cell r="L484" t="str">
            <v>16</v>
          </cell>
          <cell r="P484" t="str">
            <v>N/A</v>
          </cell>
          <cell r="Q484" t="str">
            <v>N/A</v>
          </cell>
          <cell r="R484" t="str">
            <v>8</v>
          </cell>
          <cell r="S484" t="str">
            <v>0</v>
          </cell>
          <cell r="T484" t="str">
            <v>1.5</v>
          </cell>
          <cell r="U484" t="str">
            <v>2.5</v>
          </cell>
          <cell r="W484" t="str">
            <v>S-4</v>
          </cell>
          <cell r="AJ484" t="str">
            <v>Discontinued</v>
          </cell>
          <cell r="AK484" t="str">
            <v>N/A</v>
          </cell>
          <cell r="AL484" t="str">
            <v>N/A</v>
          </cell>
        </row>
        <row r="485">
          <cell r="A485" t="str">
            <v>2962T</v>
          </cell>
          <cell r="C485" t="str">
            <v>Yankauer w/o logo, w/o vent, w/open tip, Straight, Terlux</v>
          </cell>
          <cell r="D485" t="str">
            <v>1420A ETAL</v>
          </cell>
          <cell r="E485">
            <v>37019</v>
          </cell>
          <cell r="F485" t="str">
            <v>N/A</v>
          </cell>
          <cell r="W485" t="str">
            <v>S-4</v>
          </cell>
          <cell r="AJ485" t="str">
            <v>Discontinued</v>
          </cell>
          <cell r="AK485" t="str">
            <v>N/A</v>
          </cell>
          <cell r="AL485" t="str">
            <v>N/A</v>
          </cell>
        </row>
        <row r="486">
          <cell r="A486" t="str">
            <v>2970K</v>
          </cell>
          <cell r="B486" t="str">
            <v>Comp#</v>
          </cell>
          <cell r="C486" t="str">
            <v>Yankauer W/ Vent/ W/ Open Tip/ Straight/200</v>
          </cell>
          <cell r="D486" t="str">
            <v>1420A ETAL</v>
          </cell>
          <cell r="E486">
            <v>37602</v>
          </cell>
          <cell r="F486" t="str">
            <v>N/A</v>
          </cell>
          <cell r="K486" t="str">
            <v>S-4</v>
          </cell>
          <cell r="L486" t="str">
            <v>16</v>
          </cell>
          <cell r="P486" t="str">
            <v>N/A</v>
          </cell>
          <cell r="Q486" t="str">
            <v>N/A</v>
          </cell>
          <cell r="R486" t="str">
            <v>8</v>
          </cell>
          <cell r="S486" t="str">
            <v>0</v>
          </cell>
          <cell r="T486" t="str">
            <v>1.5</v>
          </cell>
          <cell r="U486" t="str">
            <v>2.5</v>
          </cell>
          <cell r="V486" t="str">
            <v>200</v>
          </cell>
          <cell r="X486" t="str">
            <v>Injection Molding</v>
          </cell>
          <cell r="Y486" t="str">
            <v>N/A</v>
          </cell>
          <cell r="AB486" t="str">
            <v>Non-Sterile</v>
          </cell>
          <cell r="AC486" t="str">
            <v>N/A</v>
          </cell>
          <cell r="AG486" t="str">
            <v>N</v>
          </cell>
          <cell r="AH486" t="str">
            <v>Y</v>
          </cell>
          <cell r="AI486" t="str">
            <v>LATEX FREE</v>
          </cell>
          <cell r="AJ486" t="str">
            <v>Current</v>
          </cell>
          <cell r="AK486" t="str">
            <v>N/A</v>
          </cell>
          <cell r="AL486" t="str">
            <v>N/A</v>
          </cell>
          <cell r="AM486" t="str">
            <v>N/A</v>
          </cell>
          <cell r="AN486" t="str">
            <v>N/A</v>
          </cell>
          <cell r="AO486" t="str">
            <v>N/A</v>
          </cell>
          <cell r="AP486" t="str">
            <v>N/A</v>
          </cell>
          <cell r="AS486" t="str">
            <v>N/A</v>
          </cell>
          <cell r="AT486" t="str">
            <v>N/A</v>
          </cell>
          <cell r="AU486" t="str">
            <v>N/A</v>
          </cell>
          <cell r="AV486" t="str">
            <v>2960K1,2960K3,2960KC,2963Y</v>
          </cell>
        </row>
        <row r="487">
          <cell r="A487" t="str">
            <v>2972K0</v>
          </cell>
          <cell r="C487" t="str">
            <v>Yank w/o logo,w/vent,bent</v>
          </cell>
          <cell r="D487" t="str">
            <v>2962KO ETAL</v>
          </cell>
          <cell r="E487">
            <v>36826</v>
          </cell>
          <cell r="F487" t="str">
            <v>N/A</v>
          </cell>
          <cell r="W487" t="str">
            <v>S-4</v>
          </cell>
          <cell r="AB487" t="str">
            <v>Non-Sterile</v>
          </cell>
          <cell r="AJ487" t="str">
            <v>Discontinued</v>
          </cell>
          <cell r="AK487" t="str">
            <v>N/A</v>
          </cell>
          <cell r="AL487" t="str">
            <v>N/A</v>
          </cell>
        </row>
        <row r="488">
          <cell r="A488" t="str">
            <v>2972KN</v>
          </cell>
          <cell r="C488" t="str">
            <v>MOLD YANK UNBENT O/T/W/V</v>
          </cell>
          <cell r="D488" t="str">
            <v>1420A ETAL</v>
          </cell>
          <cell r="E488">
            <v>37602</v>
          </cell>
          <cell r="F488" t="str">
            <v>N/A</v>
          </cell>
          <cell r="K488" t="str">
            <v>S-4</v>
          </cell>
          <cell r="L488" t="str">
            <v>16</v>
          </cell>
          <cell r="P488" t="str">
            <v>N/A</v>
          </cell>
          <cell r="Q488" t="str">
            <v>N/A</v>
          </cell>
          <cell r="R488" t="str">
            <v>8</v>
          </cell>
          <cell r="S488" t="str">
            <v>0</v>
          </cell>
          <cell r="T488" t="str">
            <v>1.5</v>
          </cell>
          <cell r="U488" t="str">
            <v>2.5</v>
          </cell>
          <cell r="W488" t="str">
            <v>S-4</v>
          </cell>
          <cell r="AB488" t="str">
            <v>Non-Sterile</v>
          </cell>
          <cell r="AJ488" t="str">
            <v>Discontinued</v>
          </cell>
          <cell r="AK488" t="str">
            <v>N/A</v>
          </cell>
          <cell r="AL488" t="str">
            <v>N/A</v>
          </cell>
        </row>
        <row r="489">
          <cell r="A489" t="str">
            <v>2972M</v>
          </cell>
          <cell r="C489" t="str">
            <v>Yankauer, w/o logo,  w/vent, w/open tip, straight, Marvaloy</v>
          </cell>
          <cell r="D489" t="str">
            <v>1420A ETAL</v>
          </cell>
          <cell r="E489">
            <v>37602</v>
          </cell>
          <cell r="F489" t="str">
            <v>N/A</v>
          </cell>
          <cell r="K489" t="str">
            <v>S-4</v>
          </cell>
          <cell r="L489" t="str">
            <v>16</v>
          </cell>
          <cell r="P489" t="str">
            <v>N/A</v>
          </cell>
          <cell r="Q489" t="str">
            <v>N/A</v>
          </cell>
          <cell r="R489" t="str">
            <v>8</v>
          </cell>
          <cell r="S489" t="str">
            <v>0</v>
          </cell>
          <cell r="T489" t="str">
            <v>1.5</v>
          </cell>
          <cell r="U489" t="str">
            <v>2.5</v>
          </cell>
          <cell r="W489" t="str">
            <v>S-4</v>
          </cell>
          <cell r="AJ489" t="str">
            <v>Discontinued</v>
          </cell>
          <cell r="AK489" t="str">
            <v>N/A</v>
          </cell>
          <cell r="AL489" t="str">
            <v>N/A</v>
          </cell>
        </row>
        <row r="490">
          <cell r="A490" t="str">
            <v>2972T</v>
          </cell>
          <cell r="C490" t="str">
            <v>Yankauer, w/o vent, open tip, Terlux</v>
          </cell>
          <cell r="D490" t="str">
            <v>1420A ETAL</v>
          </cell>
          <cell r="E490">
            <v>37019</v>
          </cell>
          <cell r="F490" t="str">
            <v>N/A</v>
          </cell>
          <cell r="W490" t="str">
            <v>S-4</v>
          </cell>
          <cell r="AJ490" t="str">
            <v>Discontinued</v>
          </cell>
          <cell r="AK490" t="str">
            <v>N/A</v>
          </cell>
          <cell r="AL490" t="str">
            <v>N/A</v>
          </cell>
        </row>
        <row r="491">
          <cell r="A491" t="str">
            <v>2972 TB</v>
          </cell>
          <cell r="C491" t="str">
            <v>Yankauer w/o logo, w/vent, open tip, bent, Terlux</v>
          </cell>
          <cell r="D491" t="str">
            <v>2962KO ETAL</v>
          </cell>
          <cell r="E491">
            <v>36826</v>
          </cell>
          <cell r="F491" t="str">
            <v>N/A</v>
          </cell>
          <cell r="W491" t="str">
            <v>S-4</v>
          </cell>
          <cell r="AJ491" t="str">
            <v>Discontinued</v>
          </cell>
          <cell r="AK491" t="str">
            <v>N/A</v>
          </cell>
          <cell r="AL491" t="str">
            <v>N/A</v>
          </cell>
        </row>
        <row r="492">
          <cell r="A492" t="str">
            <v>2980K</v>
          </cell>
          <cell r="B492" t="str">
            <v>Comp#</v>
          </cell>
          <cell r="C492" t="str">
            <v>Yankauer W/O Vent/ W/ Bulb Tip/ Straight/200</v>
          </cell>
          <cell r="D492" t="str">
            <v>1420A ETAL</v>
          </cell>
          <cell r="E492">
            <v>37602</v>
          </cell>
          <cell r="F492" t="str">
            <v>N/A</v>
          </cell>
          <cell r="K492" t="str">
            <v>S-4</v>
          </cell>
          <cell r="L492" t="str">
            <v>16</v>
          </cell>
          <cell r="P492" t="str">
            <v>N/A</v>
          </cell>
          <cell r="Q492" t="str">
            <v>N/A</v>
          </cell>
          <cell r="R492" t="str">
            <v>8</v>
          </cell>
          <cell r="S492" t="str">
            <v>0</v>
          </cell>
          <cell r="T492" t="str">
            <v>1.5</v>
          </cell>
          <cell r="U492" t="str">
            <v>2.5</v>
          </cell>
          <cell r="V492" t="str">
            <v>200</v>
          </cell>
          <cell r="X492" t="str">
            <v>Injection Molding</v>
          </cell>
          <cell r="Y492" t="str">
            <v>N/A</v>
          </cell>
          <cell r="AB492" t="str">
            <v>Non-Sterile</v>
          </cell>
          <cell r="AC492" t="str">
            <v>N/A</v>
          </cell>
          <cell r="AG492" t="str">
            <v>N</v>
          </cell>
          <cell r="AH492" t="str">
            <v>Y</v>
          </cell>
          <cell r="AI492" t="str">
            <v>LATEX FREE</v>
          </cell>
          <cell r="AJ492" t="str">
            <v>Current</v>
          </cell>
          <cell r="AK492" t="str">
            <v>N/A</v>
          </cell>
          <cell r="AL492" t="str">
            <v>N/A</v>
          </cell>
          <cell r="AM492" t="str">
            <v>N/A</v>
          </cell>
          <cell r="AN492" t="str">
            <v>N/A</v>
          </cell>
          <cell r="AO492" t="str">
            <v>N/A</v>
          </cell>
          <cell r="AP492" t="str">
            <v>N/A</v>
          </cell>
          <cell r="AS492" t="str">
            <v>N/A</v>
          </cell>
          <cell r="AT492" t="str">
            <v>N/A</v>
          </cell>
          <cell r="AU492" t="str">
            <v>N/A</v>
          </cell>
          <cell r="AV492" t="str">
            <v>2960K1,2960K3,2960KC,2963Y</v>
          </cell>
        </row>
        <row r="493">
          <cell r="A493" t="str">
            <v>2982K0</v>
          </cell>
          <cell r="C493" t="str">
            <v>Bent Yank w/oVent no logo</v>
          </cell>
          <cell r="D493" t="str">
            <v>2962KO ETAL</v>
          </cell>
          <cell r="E493">
            <v>36826</v>
          </cell>
          <cell r="F493" t="str">
            <v>N/A</v>
          </cell>
          <cell r="W493" t="str">
            <v>S-4</v>
          </cell>
          <cell r="AB493" t="str">
            <v>Non-Sterile</v>
          </cell>
          <cell r="AJ493" t="str">
            <v>Discontinued</v>
          </cell>
          <cell r="AK493" t="str">
            <v>N/A</v>
          </cell>
          <cell r="AL493" t="str">
            <v>N/A</v>
          </cell>
        </row>
        <row r="494">
          <cell r="A494" t="str">
            <v>2982KN</v>
          </cell>
          <cell r="C494" t="str">
            <v>MOLD YANK UNBENT W/O/VENT</v>
          </cell>
          <cell r="D494" t="str">
            <v>1420A ETAL</v>
          </cell>
          <cell r="E494">
            <v>37602</v>
          </cell>
          <cell r="F494" t="str">
            <v>N/A</v>
          </cell>
          <cell r="K494" t="str">
            <v>S-4</v>
          </cell>
          <cell r="L494" t="str">
            <v>16</v>
          </cell>
          <cell r="P494" t="str">
            <v>N/A</v>
          </cell>
          <cell r="Q494" t="str">
            <v>N/A</v>
          </cell>
          <cell r="R494" t="str">
            <v>8</v>
          </cell>
          <cell r="S494" t="str">
            <v>0</v>
          </cell>
          <cell r="T494" t="str">
            <v>1.5</v>
          </cell>
          <cell r="U494" t="str">
            <v>2.5</v>
          </cell>
          <cell r="W494" t="str">
            <v>S-4</v>
          </cell>
          <cell r="AB494" t="str">
            <v>Non-Sterile</v>
          </cell>
          <cell r="AJ494" t="str">
            <v>Discontinued</v>
          </cell>
          <cell r="AK494" t="str">
            <v>N/A</v>
          </cell>
          <cell r="AL494" t="str">
            <v>N/A</v>
          </cell>
        </row>
        <row r="495">
          <cell r="A495" t="str">
            <v>2982M</v>
          </cell>
          <cell r="C495" t="str">
            <v>Yankauer, w/o logo/vent, w/bulb tip, straight, Marvaloy</v>
          </cell>
          <cell r="D495" t="str">
            <v>1420A ETAL</v>
          </cell>
          <cell r="E495">
            <v>37602</v>
          </cell>
          <cell r="F495" t="str">
            <v>N/A</v>
          </cell>
          <cell r="K495" t="str">
            <v>S-4</v>
          </cell>
          <cell r="L495" t="str">
            <v>16</v>
          </cell>
          <cell r="P495" t="str">
            <v>N/A</v>
          </cell>
          <cell r="Q495" t="str">
            <v>N/A</v>
          </cell>
          <cell r="R495" t="str">
            <v>8</v>
          </cell>
          <cell r="S495" t="str">
            <v>0</v>
          </cell>
          <cell r="T495" t="str">
            <v>1.5</v>
          </cell>
          <cell r="U495" t="str">
            <v>2.5</v>
          </cell>
          <cell r="W495" t="str">
            <v>S-4</v>
          </cell>
          <cell r="AJ495" t="str">
            <v>Discontinued</v>
          </cell>
          <cell r="AK495" t="str">
            <v>N/A</v>
          </cell>
          <cell r="AL495" t="str">
            <v>N/A</v>
          </cell>
        </row>
        <row r="496">
          <cell r="A496" t="str">
            <v>2982T</v>
          </cell>
          <cell r="C496" t="str">
            <v>Yankauer, w/o vent, bulb tip, Terlux</v>
          </cell>
          <cell r="D496" t="str">
            <v>1420A ETAL</v>
          </cell>
          <cell r="E496">
            <v>37019</v>
          </cell>
          <cell r="F496" t="str">
            <v>N/A</v>
          </cell>
          <cell r="W496" t="str">
            <v>S-4</v>
          </cell>
          <cell r="AJ496" t="str">
            <v>Discontinued</v>
          </cell>
          <cell r="AK496" t="str">
            <v>N/A</v>
          </cell>
          <cell r="AL496" t="str">
            <v>N/A</v>
          </cell>
        </row>
        <row r="497">
          <cell r="A497" t="str">
            <v>2982TB</v>
          </cell>
          <cell r="C497" t="str">
            <v>Yankauer w/o logo, w/o vent, w/bulb tip, bent, Terlux</v>
          </cell>
          <cell r="D497" t="str">
            <v>2962KO ETAL</v>
          </cell>
          <cell r="E497">
            <v>36826</v>
          </cell>
          <cell r="F497" t="str">
            <v>N/A</v>
          </cell>
          <cell r="W497" t="str">
            <v>S-4</v>
          </cell>
          <cell r="AJ497" t="str">
            <v>Discontinued</v>
          </cell>
          <cell r="AK497" t="str">
            <v>N/A</v>
          </cell>
          <cell r="AL497" t="str">
            <v>N/A</v>
          </cell>
        </row>
        <row r="498">
          <cell r="A498" t="str">
            <v>2990K</v>
          </cell>
          <cell r="B498" t="str">
            <v>Comp#</v>
          </cell>
          <cell r="C498" t="str">
            <v>Yankauer W/ Vent/ W/ Bulb Tip/ Straight/200</v>
          </cell>
          <cell r="D498" t="str">
            <v>1420A ETAL</v>
          </cell>
          <cell r="E498">
            <v>37602</v>
          </cell>
          <cell r="F498" t="str">
            <v>N/A</v>
          </cell>
          <cell r="K498" t="str">
            <v>S-4</v>
          </cell>
          <cell r="L498" t="str">
            <v>16</v>
          </cell>
          <cell r="P498" t="str">
            <v>N/A</v>
          </cell>
          <cell r="Q498" t="str">
            <v>N/A</v>
          </cell>
          <cell r="R498" t="str">
            <v>8</v>
          </cell>
          <cell r="S498" t="str">
            <v>0</v>
          </cell>
          <cell r="T498" t="str">
            <v>1.5</v>
          </cell>
          <cell r="U498" t="str">
            <v>2.5</v>
          </cell>
          <cell r="V498" t="str">
            <v>200</v>
          </cell>
          <cell r="X498" t="str">
            <v>Injection Molding</v>
          </cell>
          <cell r="Y498" t="str">
            <v>N/A</v>
          </cell>
          <cell r="Z498" t="str">
            <v>N/A</v>
          </cell>
          <cell r="AA498" t="str">
            <v>Injection Molding</v>
          </cell>
          <cell r="AB498" t="str">
            <v>Non-Sterile</v>
          </cell>
          <cell r="AC498" t="str">
            <v>N/A</v>
          </cell>
          <cell r="AG498" t="str">
            <v>N</v>
          </cell>
          <cell r="AH498" t="str">
            <v>Y</v>
          </cell>
          <cell r="AI498" t="str">
            <v>LATEX FREE</v>
          </cell>
          <cell r="AJ498" t="str">
            <v>Current</v>
          </cell>
          <cell r="AK498" t="str">
            <v>N/A</v>
          </cell>
          <cell r="AL498" t="str">
            <v>N/A</v>
          </cell>
          <cell r="AM498" t="str">
            <v>N/A</v>
          </cell>
          <cell r="AN498" t="str">
            <v>N/A</v>
          </cell>
          <cell r="AO498" t="str">
            <v>N/A</v>
          </cell>
          <cell r="AP498" t="str">
            <v>N/A</v>
          </cell>
          <cell r="AS498" t="str">
            <v>N/A</v>
          </cell>
          <cell r="AT498" t="str">
            <v>N/A</v>
          </cell>
          <cell r="AU498" t="str">
            <v>N/A</v>
          </cell>
          <cell r="AV498" t="str">
            <v>2960K1,2960K3,2960KC,2963Y</v>
          </cell>
        </row>
        <row r="499">
          <cell r="A499" t="str">
            <v>2992K0</v>
          </cell>
          <cell r="C499" t="str">
            <v>Yank w/o logo w/vent/bent</v>
          </cell>
          <cell r="D499" t="str">
            <v>2962KO ETAL</v>
          </cell>
          <cell r="E499">
            <v>36826</v>
          </cell>
          <cell r="F499" t="str">
            <v>N/A</v>
          </cell>
          <cell r="W499" t="str">
            <v>S-4</v>
          </cell>
          <cell r="AB499" t="str">
            <v>Non-Sterile</v>
          </cell>
          <cell r="AJ499" t="str">
            <v>Discontinued</v>
          </cell>
          <cell r="AK499" t="str">
            <v>N/A</v>
          </cell>
          <cell r="AL499" t="str">
            <v>N/A</v>
          </cell>
        </row>
        <row r="500">
          <cell r="A500" t="str">
            <v>2992TB</v>
          </cell>
          <cell r="C500" t="str">
            <v>Yankauer w/o logo, w/vent, w/bulb tip, bent, Terlux</v>
          </cell>
          <cell r="D500" t="str">
            <v>2962KO ETAL</v>
          </cell>
          <cell r="E500">
            <v>36826</v>
          </cell>
          <cell r="F500" t="str">
            <v>N/A</v>
          </cell>
          <cell r="K500" t="str">
            <v>S-4</v>
          </cell>
          <cell r="L500" t="str">
            <v>N/A</v>
          </cell>
          <cell r="P500" t="str">
            <v>32</v>
          </cell>
          <cell r="Q500" t="str">
            <v>N/A</v>
          </cell>
          <cell r="R500" t="str">
            <v>12</v>
          </cell>
          <cell r="S500" t="str">
            <v>0</v>
          </cell>
          <cell r="T500" t="str">
            <v>1.5</v>
          </cell>
          <cell r="U500" t="str">
            <v>2.5</v>
          </cell>
          <cell r="W500" t="str">
            <v>S-4</v>
          </cell>
          <cell r="AJ500" t="str">
            <v>Discontinued</v>
          </cell>
          <cell r="AK500" t="str">
            <v>N/A</v>
          </cell>
          <cell r="AL500" t="str">
            <v>N/A</v>
          </cell>
        </row>
        <row r="501">
          <cell r="A501" t="str">
            <v>2992KN</v>
          </cell>
          <cell r="C501" t="str">
            <v>Yank w/o Logo w/vent strt</v>
          </cell>
          <cell r="D501" t="str">
            <v>1420A ETAL</v>
          </cell>
          <cell r="E501">
            <v>37602</v>
          </cell>
          <cell r="F501" t="str">
            <v>N/A</v>
          </cell>
          <cell r="K501" t="str">
            <v>S-4</v>
          </cell>
          <cell r="L501" t="str">
            <v>16</v>
          </cell>
          <cell r="P501" t="str">
            <v>N/A</v>
          </cell>
          <cell r="Q501" t="str">
            <v>N/A</v>
          </cell>
          <cell r="R501" t="str">
            <v>8</v>
          </cell>
          <cell r="S501" t="str">
            <v>0</v>
          </cell>
          <cell r="T501" t="str">
            <v>1.5</v>
          </cell>
          <cell r="U501" t="str">
            <v>2.5</v>
          </cell>
          <cell r="W501" t="str">
            <v>S-4</v>
          </cell>
          <cell r="AB501" t="str">
            <v>Non-Sterile</v>
          </cell>
          <cell r="AJ501" t="str">
            <v>Discontinued</v>
          </cell>
          <cell r="AK501" t="str">
            <v>N/A</v>
          </cell>
          <cell r="AL501" t="str">
            <v>N/A</v>
          </cell>
        </row>
        <row r="502">
          <cell r="A502" t="str">
            <v>2992M</v>
          </cell>
          <cell r="C502" t="str">
            <v>Yankauer, w/o logo, w/vent, bulb tip, straight, Marvaloy</v>
          </cell>
          <cell r="D502" t="str">
            <v>1420A ETAL</v>
          </cell>
          <cell r="E502">
            <v>37602</v>
          </cell>
          <cell r="F502" t="str">
            <v>N/A</v>
          </cell>
          <cell r="K502" t="str">
            <v>S-4</v>
          </cell>
          <cell r="L502" t="str">
            <v>16</v>
          </cell>
          <cell r="P502" t="str">
            <v>N/A</v>
          </cell>
          <cell r="Q502" t="str">
            <v>N/A</v>
          </cell>
          <cell r="R502" t="str">
            <v>8</v>
          </cell>
          <cell r="S502" t="str">
            <v>0</v>
          </cell>
          <cell r="T502" t="str">
            <v>1.5</v>
          </cell>
          <cell r="U502" t="str">
            <v>2.5</v>
          </cell>
          <cell r="W502" t="str">
            <v>S-4</v>
          </cell>
          <cell r="AJ502" t="str">
            <v>Discontinued</v>
          </cell>
          <cell r="AK502" t="str">
            <v>N/A</v>
          </cell>
          <cell r="AL502" t="str">
            <v>N/A</v>
          </cell>
        </row>
        <row r="503">
          <cell r="A503" t="str">
            <v>2992T</v>
          </cell>
          <cell r="C503" t="str">
            <v>Yankauer, w/o logo, w/vent, bulb tip, straight, Terlux</v>
          </cell>
          <cell r="D503" t="str">
            <v>1420A ETAL</v>
          </cell>
          <cell r="E503">
            <v>37019</v>
          </cell>
          <cell r="F503" t="str">
            <v>N/A</v>
          </cell>
          <cell r="W503" t="str">
            <v>S-4</v>
          </cell>
          <cell r="AJ503" t="str">
            <v>Discontinued</v>
          </cell>
          <cell r="AK503" t="str">
            <v>N/A</v>
          </cell>
          <cell r="AL503" t="str">
            <v>N/A</v>
          </cell>
        </row>
        <row r="504">
          <cell r="A504" t="str">
            <v>3711B</v>
          </cell>
          <cell r="C504" t="str">
            <v>Blue 1pc Mask/Tiss/Polypr</v>
          </cell>
          <cell r="E504" t="str">
            <v>Not in master book</v>
          </cell>
          <cell r="AB504" t="str">
            <v>Non-Sterile</v>
          </cell>
          <cell r="AJ504" t="str">
            <v>Discontinued</v>
          </cell>
          <cell r="AK504" t="str">
            <v>N/A</v>
          </cell>
          <cell r="AL504" t="str">
            <v>N/A</v>
          </cell>
        </row>
        <row r="505">
          <cell r="A505" t="str">
            <v>3735LS</v>
          </cell>
          <cell r="C505" t="str">
            <v>Bl Lam. Foam Strip 1"Wide</v>
          </cell>
          <cell r="E505" t="str">
            <v>Not in master book</v>
          </cell>
          <cell r="AB505" t="str">
            <v>Non-Sterile</v>
          </cell>
          <cell r="AJ505" t="str">
            <v>Discontinued</v>
          </cell>
          <cell r="AK505" t="str">
            <v>N/A</v>
          </cell>
          <cell r="AL505" t="str">
            <v>N/A</v>
          </cell>
        </row>
        <row r="506">
          <cell r="A506" t="str">
            <v>3840B</v>
          </cell>
          <cell r="B506" t="str">
            <v>Comp#</v>
          </cell>
          <cell r="C506" t="str">
            <v>Umbilical Cord Clamp</v>
          </cell>
          <cell r="D506" t="str">
            <v>1420A ETAL</v>
          </cell>
          <cell r="E506">
            <v>37602</v>
          </cell>
          <cell r="F506" t="str">
            <v>N/A</v>
          </cell>
          <cell r="K506" t="str">
            <v>S-4</v>
          </cell>
          <cell r="L506" t="str">
            <v>N/A</v>
          </cell>
          <cell r="P506" t="str">
            <v>N/A</v>
          </cell>
          <cell r="Q506" t="str">
            <v>N/A</v>
          </cell>
          <cell r="R506" t="str">
            <v>8</v>
          </cell>
          <cell r="S506" t="str">
            <v>0</v>
          </cell>
          <cell r="T506" t="str">
            <v>1.5</v>
          </cell>
          <cell r="U506" t="str">
            <v>2.5</v>
          </cell>
          <cell r="V506">
            <v>1000</v>
          </cell>
          <cell r="W506" t="str">
            <v>S-4</v>
          </cell>
          <cell r="X506" t="str">
            <v>Injection Molding</v>
          </cell>
          <cell r="Y506" t="str">
            <v>N/A</v>
          </cell>
          <cell r="AA506" t="str">
            <v>Injection Molding</v>
          </cell>
          <cell r="AB506" t="str">
            <v>Non-Sterile</v>
          </cell>
          <cell r="AC506" t="str">
            <v>N/A</v>
          </cell>
          <cell r="AG506" t="str">
            <v>N</v>
          </cell>
          <cell r="AH506" t="str">
            <v>Y</v>
          </cell>
          <cell r="AI506" t="str">
            <v>LATEX FREE</v>
          </cell>
          <cell r="AJ506" t="str">
            <v>Current</v>
          </cell>
          <cell r="AK506" t="str">
            <v>N/A</v>
          </cell>
          <cell r="AL506" t="str">
            <v>N/A</v>
          </cell>
          <cell r="AM506" t="str">
            <v>N/A</v>
          </cell>
          <cell r="AN506" t="str">
            <v>N/A</v>
          </cell>
          <cell r="AO506" t="str">
            <v>N/A</v>
          </cell>
          <cell r="AP506" t="str">
            <v>N/A</v>
          </cell>
          <cell r="AS506" t="str">
            <v>N/A</v>
          </cell>
          <cell r="AT506" t="str">
            <v>N/A</v>
          </cell>
          <cell r="AU506" t="str">
            <v>N/A</v>
          </cell>
          <cell r="AV506" t="str">
            <v>3841A</v>
          </cell>
        </row>
        <row r="507">
          <cell r="A507" t="str">
            <v>3860A</v>
          </cell>
          <cell r="B507" t="str">
            <v>Comp#</v>
          </cell>
          <cell r="C507" t="str">
            <v>16" x 18" Blue/ White Drape W/ 5/8" Fen./</v>
          </cell>
          <cell r="D507" t="str">
            <v>3860A</v>
          </cell>
          <cell r="E507">
            <v>37586</v>
          </cell>
          <cell r="F507" t="str">
            <v>N/A</v>
          </cell>
          <cell r="K507" t="str">
            <v>S-4</v>
          </cell>
          <cell r="L507" t="str">
            <v>32</v>
          </cell>
          <cell r="P507" t="str">
            <v>32</v>
          </cell>
          <cell r="Q507" t="str">
            <v>N/A</v>
          </cell>
          <cell r="R507" t="str">
            <v>8</v>
          </cell>
          <cell r="S507" t="str">
            <v>0</v>
          </cell>
          <cell r="T507" t="str">
            <v>1.5</v>
          </cell>
          <cell r="U507" t="str">
            <v>2.5</v>
          </cell>
          <cell r="X507" t="str">
            <v>Manufacturing</v>
          </cell>
          <cell r="Y507" t="str">
            <v>N/A</v>
          </cell>
          <cell r="AA507" t="str">
            <v>Towel Machine</v>
          </cell>
          <cell r="AB507" t="str">
            <v>Sterile</v>
          </cell>
          <cell r="AC507" t="str">
            <v>N/A</v>
          </cell>
          <cell r="AG507" t="str">
            <v>N</v>
          </cell>
          <cell r="AH507" t="str">
            <v>N</v>
          </cell>
          <cell r="AI507" t="str">
            <v>LATEX FREE</v>
          </cell>
          <cell r="AJ507" t="str">
            <v>Current</v>
          </cell>
        </row>
        <row r="508">
          <cell r="A508" t="str">
            <v>4063PE</v>
          </cell>
          <cell r="B508" t="str">
            <v>Comp#</v>
          </cell>
          <cell r="C508" t="str">
            <v>Trap Cap</v>
          </cell>
          <cell r="D508" t="str">
            <v>1420A ETAL</v>
          </cell>
          <cell r="E508">
            <v>37602</v>
          </cell>
          <cell r="F508" t="str">
            <v>N/A</v>
          </cell>
          <cell r="K508" t="str">
            <v>S-4</v>
          </cell>
          <cell r="L508" t="str">
            <v>N/A</v>
          </cell>
          <cell r="P508" t="str">
            <v>N/A</v>
          </cell>
          <cell r="Q508" t="str">
            <v>N/A</v>
          </cell>
          <cell r="R508" t="str">
            <v>8</v>
          </cell>
          <cell r="S508" t="str">
            <v>0</v>
          </cell>
          <cell r="T508" t="str">
            <v>1.5</v>
          </cell>
          <cell r="U508" t="str">
            <v>2.5</v>
          </cell>
          <cell r="V508" t="str">
            <v>800</v>
          </cell>
          <cell r="W508" t="str">
            <v>S-4</v>
          </cell>
          <cell r="X508" t="str">
            <v>Injection Molding</v>
          </cell>
          <cell r="Y508" t="str">
            <v>N/A</v>
          </cell>
          <cell r="AA508" t="str">
            <v>Injection Molding</v>
          </cell>
          <cell r="AB508" t="str">
            <v>Non-Sterile</v>
          </cell>
          <cell r="AC508" t="str">
            <v>N/A</v>
          </cell>
          <cell r="AG508" t="str">
            <v>N</v>
          </cell>
          <cell r="AH508" t="str">
            <v>Y</v>
          </cell>
          <cell r="AI508" t="str">
            <v>LATEX FREE</v>
          </cell>
          <cell r="AJ508" t="str">
            <v>Current</v>
          </cell>
          <cell r="AK508" t="str">
            <v>N/A</v>
          </cell>
          <cell r="AL508" t="str">
            <v>N/A</v>
          </cell>
          <cell r="AM508" t="str">
            <v>N/A</v>
          </cell>
          <cell r="AN508" t="str">
            <v>N/A</v>
          </cell>
          <cell r="AO508" t="str">
            <v>N/A</v>
          </cell>
          <cell r="AP508" t="str">
            <v>N/A</v>
          </cell>
          <cell r="AS508" t="str">
            <v>Reuse 1554-1 10x</v>
          </cell>
          <cell r="AT508" t="str">
            <v>N/A</v>
          </cell>
          <cell r="AU508" t="str">
            <v>N/A</v>
          </cell>
          <cell r="AV508" t="str">
            <v>4060PE,4067W,6934</v>
          </cell>
        </row>
        <row r="509">
          <cell r="A509" t="str">
            <v>4066A</v>
          </cell>
          <cell r="B509" t="str">
            <v>Comp#</v>
          </cell>
          <cell r="C509" t="str">
            <v>Clear 40cc Vial (Unprinted)/700</v>
          </cell>
          <cell r="D509" t="str">
            <v>1420A ETAL</v>
          </cell>
          <cell r="E509">
            <v>37602</v>
          </cell>
          <cell r="F509" t="str">
            <v>N/A</v>
          </cell>
          <cell r="K509" t="str">
            <v>S-4</v>
          </cell>
          <cell r="L509" t="str">
            <v>N/A</v>
          </cell>
          <cell r="P509" t="str">
            <v>N/A</v>
          </cell>
          <cell r="Q509" t="str">
            <v>N/A</v>
          </cell>
          <cell r="R509" t="str">
            <v>8</v>
          </cell>
          <cell r="S509" t="str">
            <v>0</v>
          </cell>
          <cell r="T509" t="str">
            <v>1.5</v>
          </cell>
          <cell r="U509" t="str">
            <v>2.5</v>
          </cell>
          <cell r="V509" t="str">
            <v>700</v>
          </cell>
          <cell r="W509" t="str">
            <v>S-4</v>
          </cell>
          <cell r="X509" t="str">
            <v>Injection Molding</v>
          </cell>
          <cell r="Y509" t="str">
            <v>N/A</v>
          </cell>
          <cell r="AA509" t="str">
            <v>Injection Molding</v>
          </cell>
          <cell r="AB509" t="str">
            <v>Non-Sterile</v>
          </cell>
          <cell r="AC509" t="str">
            <v>N/A</v>
          </cell>
          <cell r="AG509" t="str">
            <v>N</v>
          </cell>
          <cell r="AH509" t="str">
            <v>Y</v>
          </cell>
          <cell r="AI509" t="str">
            <v>LATEX FREE</v>
          </cell>
          <cell r="AJ509" t="str">
            <v>Current</v>
          </cell>
          <cell r="AK509" t="str">
            <v>N/A</v>
          </cell>
          <cell r="AL509" t="str">
            <v>N/A</v>
          </cell>
          <cell r="AM509" t="str">
            <v>N/A</v>
          </cell>
          <cell r="AN509" t="str">
            <v>N/A</v>
          </cell>
          <cell r="AO509" t="str">
            <v>N/A</v>
          </cell>
          <cell r="AP509" t="str">
            <v>N/A</v>
          </cell>
          <cell r="AS509" t="str">
            <v>Reuse 2356 10x</v>
          </cell>
          <cell r="AT509" t="str">
            <v>N/A</v>
          </cell>
          <cell r="AU509" t="str">
            <v>N/A</v>
          </cell>
          <cell r="AV509" t="str">
            <v>4060S,6934</v>
          </cell>
        </row>
        <row r="510">
          <cell r="A510" t="str">
            <v>4070M</v>
          </cell>
          <cell r="B510" t="str">
            <v>Comp#</v>
          </cell>
          <cell r="C510" t="str">
            <v>Clear 80cc Vial (Unprinted)/300</v>
          </cell>
          <cell r="D510" t="str">
            <v>1420A ETAL</v>
          </cell>
          <cell r="E510">
            <v>37602</v>
          </cell>
          <cell r="F510" t="str">
            <v>N/A</v>
          </cell>
          <cell r="K510" t="str">
            <v>S-4</v>
          </cell>
          <cell r="L510" t="str">
            <v>N/A</v>
          </cell>
          <cell r="P510" t="str">
            <v>N/A</v>
          </cell>
          <cell r="Q510" t="str">
            <v>N/A</v>
          </cell>
          <cell r="R510" t="str">
            <v>8</v>
          </cell>
          <cell r="S510" t="str">
            <v>0</v>
          </cell>
          <cell r="T510" t="str">
            <v>1.5</v>
          </cell>
          <cell r="U510" t="str">
            <v>2.5</v>
          </cell>
          <cell r="V510" t="str">
            <v>300</v>
          </cell>
          <cell r="W510" t="str">
            <v>S-4</v>
          </cell>
          <cell r="X510" t="str">
            <v>Injection Molding</v>
          </cell>
          <cell r="Y510" t="str">
            <v>N/A</v>
          </cell>
          <cell r="AA510" t="str">
            <v>Injection Molding</v>
          </cell>
          <cell r="AB510" t="str">
            <v>Non-Sterile</v>
          </cell>
          <cell r="AC510" t="str">
            <v>N/A</v>
          </cell>
          <cell r="AG510" t="str">
            <v>N</v>
          </cell>
          <cell r="AH510" t="str">
            <v>Y</v>
          </cell>
          <cell r="AI510" t="str">
            <v>LATEX FREE</v>
          </cell>
          <cell r="AJ510" t="str">
            <v>Current</v>
          </cell>
          <cell r="AK510" t="str">
            <v>N/A</v>
          </cell>
          <cell r="AL510" t="str">
            <v>N/A</v>
          </cell>
          <cell r="AM510" t="str">
            <v>N/A</v>
          </cell>
          <cell r="AN510" t="str">
            <v>N/A</v>
          </cell>
          <cell r="AO510" t="str">
            <v>N/A</v>
          </cell>
          <cell r="AP510" t="str">
            <v>N/A</v>
          </cell>
          <cell r="AS510" t="str">
            <v>Reuse 7192D</v>
          </cell>
          <cell r="AT510" t="str">
            <v>N/A</v>
          </cell>
          <cell r="AU510" t="str">
            <v>N/A</v>
          </cell>
          <cell r="AV510" t="str">
            <v>4060S,6934</v>
          </cell>
        </row>
        <row r="511">
          <cell r="A511" t="str">
            <v>5010F</v>
          </cell>
          <cell r="B511" t="str">
            <v>Comp#</v>
          </cell>
          <cell r="C511" t="str">
            <v>Female Stepped Connector Section/4000</v>
          </cell>
          <cell r="D511" t="str">
            <v>1420A ETAL</v>
          </cell>
          <cell r="E511">
            <v>37602</v>
          </cell>
          <cell r="F511" t="str">
            <v>N/A</v>
          </cell>
          <cell r="K511" t="str">
            <v>S-4</v>
          </cell>
          <cell r="L511" t="str">
            <v>N/A</v>
          </cell>
          <cell r="P511" t="str">
            <v>N/A</v>
          </cell>
          <cell r="Q511" t="str">
            <v>N/A</v>
          </cell>
          <cell r="R511" t="str">
            <v>8</v>
          </cell>
          <cell r="S511" t="str">
            <v>0</v>
          </cell>
          <cell r="T511" t="str">
            <v>1.5</v>
          </cell>
          <cell r="U511" t="str">
            <v>2.5</v>
          </cell>
          <cell r="V511" t="str">
            <v>4000</v>
          </cell>
          <cell r="W511" t="str">
            <v>S-4</v>
          </cell>
          <cell r="X511" t="str">
            <v>Injection Molding</v>
          </cell>
          <cell r="Y511" t="str">
            <v>N/A</v>
          </cell>
          <cell r="AA511" t="str">
            <v>Injection Molding</v>
          </cell>
          <cell r="AB511" t="str">
            <v>Non-Sterile</v>
          </cell>
          <cell r="AC511" t="str">
            <v>N/A</v>
          </cell>
          <cell r="AG511" t="str">
            <v>N</v>
          </cell>
          <cell r="AH511" t="str">
            <v>Y</v>
          </cell>
          <cell r="AI511" t="str">
            <v>LATEX FREE</v>
          </cell>
          <cell r="AJ511" t="str">
            <v>Current</v>
          </cell>
          <cell r="AK511" t="str">
            <v>N/A</v>
          </cell>
          <cell r="AL511" t="str">
            <v>N/A</v>
          </cell>
          <cell r="AM511" t="str">
            <v>N/A</v>
          </cell>
          <cell r="AN511" t="str">
            <v>N/A</v>
          </cell>
          <cell r="AO511" t="str">
            <v>N/A</v>
          </cell>
          <cell r="AP511" t="str">
            <v>N/A</v>
          </cell>
          <cell r="AS511" t="str">
            <v>N/A</v>
          </cell>
          <cell r="AT511" t="str">
            <v>N/A</v>
          </cell>
          <cell r="AU511" t="str">
            <v>N/A</v>
          </cell>
          <cell r="AV511" t="str">
            <v>4019PP,6934</v>
          </cell>
        </row>
        <row r="512">
          <cell r="A512" t="str">
            <v>5010M</v>
          </cell>
          <cell r="B512" t="str">
            <v>Comp#</v>
          </cell>
          <cell r="C512" t="str">
            <v>Male Stepped Connector Section/4000</v>
          </cell>
          <cell r="D512" t="str">
            <v>1420A ETAL</v>
          </cell>
          <cell r="E512">
            <v>37602</v>
          </cell>
          <cell r="F512" t="str">
            <v>N/A</v>
          </cell>
          <cell r="K512" t="str">
            <v>S-4</v>
          </cell>
          <cell r="L512" t="str">
            <v>N/A</v>
          </cell>
          <cell r="P512" t="str">
            <v>N/A</v>
          </cell>
          <cell r="Q512" t="str">
            <v>N/A</v>
          </cell>
          <cell r="R512" t="str">
            <v>8</v>
          </cell>
          <cell r="S512" t="str">
            <v>0</v>
          </cell>
          <cell r="T512" t="str">
            <v>1.5</v>
          </cell>
          <cell r="U512" t="str">
            <v>2.5</v>
          </cell>
          <cell r="V512" t="str">
            <v>4000</v>
          </cell>
          <cell r="W512" t="str">
            <v>S-4</v>
          </cell>
          <cell r="X512" t="str">
            <v>Injection Molding</v>
          </cell>
          <cell r="Y512" t="str">
            <v>N/A</v>
          </cell>
          <cell r="AA512" t="str">
            <v>Injection Molding</v>
          </cell>
          <cell r="AB512" t="str">
            <v>Non-Sterile</v>
          </cell>
          <cell r="AC512" t="str">
            <v>N/A</v>
          </cell>
          <cell r="AG512" t="str">
            <v>N</v>
          </cell>
          <cell r="AH512" t="str">
            <v>Y</v>
          </cell>
          <cell r="AI512" t="str">
            <v>LATEX FREE</v>
          </cell>
          <cell r="AJ512" t="str">
            <v>Current</v>
          </cell>
          <cell r="AK512" t="str">
            <v>N/A</v>
          </cell>
          <cell r="AL512" t="str">
            <v>N/A</v>
          </cell>
          <cell r="AM512" t="str">
            <v>N/A</v>
          </cell>
          <cell r="AN512" t="str">
            <v>N/A</v>
          </cell>
          <cell r="AO512" t="str">
            <v>N/A</v>
          </cell>
          <cell r="AP512" t="str">
            <v>N/A</v>
          </cell>
          <cell r="AS512" t="str">
            <v>N/A</v>
          </cell>
          <cell r="AT512" t="str">
            <v>N/A</v>
          </cell>
          <cell r="AU512" t="str">
            <v>N/A</v>
          </cell>
          <cell r="AV512" t="str">
            <v>4019PP,6934</v>
          </cell>
        </row>
        <row r="513">
          <cell r="A513" t="str">
            <v>5020B</v>
          </cell>
          <cell r="B513" t="str">
            <v>Comp#</v>
          </cell>
          <cell r="C513" t="str">
            <v>Simms Connector/3000</v>
          </cell>
          <cell r="D513" t="str">
            <v>1420A ETAL</v>
          </cell>
          <cell r="E513">
            <v>37602</v>
          </cell>
          <cell r="F513" t="str">
            <v>N/A</v>
          </cell>
          <cell r="K513" t="str">
            <v>S-4</v>
          </cell>
          <cell r="L513" t="str">
            <v>N/A</v>
          </cell>
          <cell r="P513" t="str">
            <v>N/A</v>
          </cell>
          <cell r="Q513" t="str">
            <v>N/A</v>
          </cell>
          <cell r="R513" t="str">
            <v>8</v>
          </cell>
          <cell r="S513" t="str">
            <v>0</v>
          </cell>
          <cell r="T513" t="str">
            <v>1.5</v>
          </cell>
          <cell r="U513" t="str">
            <v>2.5</v>
          </cell>
          <cell r="V513" t="str">
            <v>3000</v>
          </cell>
          <cell r="W513" t="str">
            <v>S-4</v>
          </cell>
          <cell r="X513" t="str">
            <v>Injection Molding</v>
          </cell>
          <cell r="Y513" t="str">
            <v>N/A</v>
          </cell>
          <cell r="AA513" t="str">
            <v>Arburg</v>
          </cell>
          <cell r="AB513" t="str">
            <v>Non-Sterile</v>
          </cell>
          <cell r="AC513" t="str">
            <v>N/A</v>
          </cell>
          <cell r="AG513" t="str">
            <v>N</v>
          </cell>
          <cell r="AH513" t="str">
            <v>Y</v>
          </cell>
          <cell r="AI513" t="str">
            <v>LATEX FREE</v>
          </cell>
          <cell r="AJ513" t="str">
            <v>Current</v>
          </cell>
          <cell r="AK513" t="str">
            <v>N/A</v>
          </cell>
          <cell r="AL513" t="str">
            <v>N/A</v>
          </cell>
          <cell r="AM513" t="str">
            <v>N/A</v>
          </cell>
          <cell r="AN513" t="str">
            <v>N/A</v>
          </cell>
          <cell r="AO513" t="str">
            <v>N/A</v>
          </cell>
          <cell r="AP513" t="str">
            <v>N/A</v>
          </cell>
          <cell r="AS513" t="str">
            <v>Resue 2044 10x</v>
          </cell>
          <cell r="AT513" t="str">
            <v>N/A</v>
          </cell>
          <cell r="AU513" t="str">
            <v>N/A</v>
          </cell>
          <cell r="AV513" t="str">
            <v>4019PP,6934</v>
          </cell>
        </row>
        <row r="514">
          <cell r="A514" t="str">
            <v>5030T</v>
          </cell>
          <cell r="B514" t="str">
            <v>Comp#</v>
          </cell>
          <cell r="C514" t="str">
            <v>T Connector Section</v>
          </cell>
          <cell r="D514" t="str">
            <v>1420A ETAL</v>
          </cell>
          <cell r="E514">
            <v>37602</v>
          </cell>
          <cell r="F514" t="str">
            <v>N/A</v>
          </cell>
          <cell r="K514" t="str">
            <v>S-4</v>
          </cell>
          <cell r="L514" t="str">
            <v>N/A</v>
          </cell>
          <cell r="P514" t="str">
            <v>N/A</v>
          </cell>
          <cell r="Q514" t="str">
            <v>N/A</v>
          </cell>
          <cell r="R514" t="str">
            <v>8</v>
          </cell>
          <cell r="S514" t="str">
            <v>0</v>
          </cell>
          <cell r="T514" t="str">
            <v>1.5</v>
          </cell>
          <cell r="U514" t="str">
            <v>2.5</v>
          </cell>
          <cell r="V514" t="str">
            <v>1500</v>
          </cell>
          <cell r="W514" t="str">
            <v>S-4</v>
          </cell>
          <cell r="X514" t="str">
            <v>Injection Molding</v>
          </cell>
          <cell r="Y514" t="str">
            <v>N/A</v>
          </cell>
          <cell r="AA514" t="str">
            <v>Arburg</v>
          </cell>
          <cell r="AB514" t="str">
            <v>Non-Sterile</v>
          </cell>
          <cell r="AC514" t="str">
            <v>N/A</v>
          </cell>
          <cell r="AG514" t="str">
            <v>N</v>
          </cell>
          <cell r="AH514" t="str">
            <v>Y</v>
          </cell>
          <cell r="AI514" t="str">
            <v>LATEX FREE</v>
          </cell>
          <cell r="AJ514" t="str">
            <v>Current</v>
          </cell>
          <cell r="AK514" t="str">
            <v>N/A</v>
          </cell>
          <cell r="AL514" t="str">
            <v>N/A</v>
          </cell>
          <cell r="AM514" t="str">
            <v>N/A</v>
          </cell>
          <cell r="AN514" t="str">
            <v>N/A</v>
          </cell>
          <cell r="AO514" t="str">
            <v>N/A</v>
          </cell>
          <cell r="AP514" t="str">
            <v>N/A</v>
          </cell>
          <cell r="AS514" t="str">
            <v>Resue 2044 10x</v>
          </cell>
          <cell r="AT514" t="str">
            <v>N/A</v>
          </cell>
          <cell r="AU514" t="str">
            <v>N/A</v>
          </cell>
          <cell r="AV514" t="str">
            <v>4019PP,6934</v>
          </cell>
        </row>
        <row r="515">
          <cell r="A515" t="str">
            <v>5040B</v>
          </cell>
          <cell r="B515" t="str">
            <v>Comp#</v>
          </cell>
          <cell r="C515" t="str">
            <v>1/4" Straight Connector</v>
          </cell>
          <cell r="D515" t="str">
            <v>1420A ETAL</v>
          </cell>
          <cell r="E515">
            <v>37602</v>
          </cell>
          <cell r="F515" t="str">
            <v>N/A</v>
          </cell>
          <cell r="K515" t="str">
            <v>S-4</v>
          </cell>
          <cell r="L515" t="str">
            <v>N/A</v>
          </cell>
          <cell r="P515" t="str">
            <v>N/A</v>
          </cell>
          <cell r="Q515" t="str">
            <v>N/A</v>
          </cell>
          <cell r="R515" t="str">
            <v>8</v>
          </cell>
          <cell r="S515" t="str">
            <v>0</v>
          </cell>
          <cell r="T515" t="str">
            <v>1.5</v>
          </cell>
          <cell r="U515" t="str">
            <v>2.5</v>
          </cell>
          <cell r="V515" t="str">
            <v>8000</v>
          </cell>
          <cell r="W515" t="str">
            <v>S-4</v>
          </cell>
          <cell r="X515" t="str">
            <v>Injection Molding</v>
          </cell>
          <cell r="Y515" t="str">
            <v>N/A</v>
          </cell>
          <cell r="AA515" t="str">
            <v>Arburg</v>
          </cell>
          <cell r="AB515" t="str">
            <v>Non-Sterile</v>
          </cell>
          <cell r="AC515" t="str">
            <v>N/A</v>
          </cell>
          <cell r="AG515" t="str">
            <v>N</v>
          </cell>
          <cell r="AH515" t="str">
            <v>Y</v>
          </cell>
          <cell r="AI515" t="str">
            <v>LATEX FREE</v>
          </cell>
          <cell r="AJ515" t="str">
            <v>Current</v>
          </cell>
          <cell r="AK515" t="str">
            <v>N/A</v>
          </cell>
          <cell r="AL515" t="str">
            <v>N/A</v>
          </cell>
          <cell r="AM515" t="str">
            <v>N/A</v>
          </cell>
          <cell r="AN515" t="str">
            <v>N/A</v>
          </cell>
          <cell r="AO515" t="str">
            <v>N/A</v>
          </cell>
          <cell r="AP515" t="str">
            <v>N/A</v>
          </cell>
          <cell r="AS515" t="str">
            <v>Reuse 2044 10x</v>
          </cell>
          <cell r="AT515" t="str">
            <v>N/A</v>
          </cell>
          <cell r="AU515" t="str">
            <v>N/A</v>
          </cell>
          <cell r="AV515" t="str">
            <v>4019PP,6934</v>
          </cell>
        </row>
        <row r="516">
          <cell r="A516" t="str">
            <v>5050B</v>
          </cell>
          <cell r="B516" t="str">
            <v>Comp#</v>
          </cell>
          <cell r="C516" t="str">
            <v>5/16" Straight Connector</v>
          </cell>
          <cell r="D516" t="str">
            <v>1420A ETAL</v>
          </cell>
          <cell r="E516">
            <v>37602</v>
          </cell>
          <cell r="F516" t="str">
            <v>N/A</v>
          </cell>
          <cell r="K516" t="str">
            <v>S-4</v>
          </cell>
          <cell r="L516" t="str">
            <v>N/A</v>
          </cell>
          <cell r="P516" t="str">
            <v>N/A</v>
          </cell>
          <cell r="Q516" t="str">
            <v>N/A</v>
          </cell>
          <cell r="R516" t="str">
            <v>8</v>
          </cell>
          <cell r="S516" t="str">
            <v>0</v>
          </cell>
          <cell r="T516" t="str">
            <v>1.5</v>
          </cell>
          <cell r="U516" t="str">
            <v>2.5</v>
          </cell>
          <cell r="V516" t="str">
            <v>6000</v>
          </cell>
          <cell r="W516" t="str">
            <v>S-4</v>
          </cell>
          <cell r="X516" t="str">
            <v>Injection Molding</v>
          </cell>
          <cell r="Y516" t="str">
            <v>N/A</v>
          </cell>
          <cell r="AA516" t="str">
            <v>Arburg</v>
          </cell>
          <cell r="AB516" t="str">
            <v>Non-Sterile</v>
          </cell>
          <cell r="AC516" t="str">
            <v>N/A</v>
          </cell>
          <cell r="AG516" t="str">
            <v>N</v>
          </cell>
          <cell r="AH516" t="str">
            <v>Y</v>
          </cell>
          <cell r="AI516" t="str">
            <v>LATEX FREE</v>
          </cell>
          <cell r="AJ516" t="str">
            <v>Current</v>
          </cell>
          <cell r="AK516" t="str">
            <v>N/A</v>
          </cell>
          <cell r="AL516" t="str">
            <v>N/A</v>
          </cell>
          <cell r="AM516" t="str">
            <v>N/A</v>
          </cell>
          <cell r="AN516" t="str">
            <v>N/A</v>
          </cell>
          <cell r="AO516" t="str">
            <v>N/A</v>
          </cell>
          <cell r="AP516" t="str">
            <v>N/A</v>
          </cell>
          <cell r="AS516" t="str">
            <v>Reuse 2044 10x</v>
          </cell>
          <cell r="AT516" t="str">
            <v>N/A</v>
          </cell>
          <cell r="AU516" t="str">
            <v>N/A</v>
          </cell>
          <cell r="AV516" t="str">
            <v>4019PP,6934</v>
          </cell>
        </row>
        <row r="517">
          <cell r="A517" t="str">
            <v>5060B</v>
          </cell>
          <cell r="B517" t="str">
            <v>Comp#</v>
          </cell>
          <cell r="C517" t="str">
            <v>3/8" Straight Connector</v>
          </cell>
          <cell r="D517" t="str">
            <v>1420A ETAL</v>
          </cell>
          <cell r="E517">
            <v>37602</v>
          </cell>
          <cell r="F517" t="str">
            <v>N/A</v>
          </cell>
          <cell r="K517" t="str">
            <v>S-4</v>
          </cell>
          <cell r="L517" t="str">
            <v>N/A</v>
          </cell>
          <cell r="P517" t="str">
            <v>N/A</v>
          </cell>
          <cell r="Q517" t="str">
            <v>N/A</v>
          </cell>
          <cell r="R517" t="str">
            <v>8</v>
          </cell>
          <cell r="S517" t="str">
            <v>0</v>
          </cell>
          <cell r="T517" t="str">
            <v>1.5</v>
          </cell>
          <cell r="U517" t="str">
            <v>2.5</v>
          </cell>
          <cell r="V517" t="str">
            <v>5000</v>
          </cell>
          <cell r="W517" t="str">
            <v>S-4</v>
          </cell>
          <cell r="X517" t="str">
            <v>Injection Molding</v>
          </cell>
          <cell r="Y517" t="str">
            <v>N/A</v>
          </cell>
          <cell r="AA517" t="str">
            <v>Arburg</v>
          </cell>
          <cell r="AB517" t="str">
            <v>Non-Sterile</v>
          </cell>
          <cell r="AC517" t="str">
            <v>N/A</v>
          </cell>
          <cell r="AG517" t="str">
            <v>N</v>
          </cell>
          <cell r="AH517" t="str">
            <v>Y</v>
          </cell>
          <cell r="AI517" t="str">
            <v>LATEX FREE</v>
          </cell>
          <cell r="AJ517" t="str">
            <v>Current</v>
          </cell>
          <cell r="AK517" t="str">
            <v>N/A</v>
          </cell>
          <cell r="AL517" t="str">
            <v>N/A</v>
          </cell>
          <cell r="AM517" t="str">
            <v>N/A</v>
          </cell>
          <cell r="AN517" t="str">
            <v>N/A</v>
          </cell>
          <cell r="AO517" t="str">
            <v>N/A</v>
          </cell>
          <cell r="AP517" t="str">
            <v>N/A</v>
          </cell>
          <cell r="AS517" t="str">
            <v>Reuse 2044 10x</v>
          </cell>
          <cell r="AT517" t="str">
            <v>N/A</v>
          </cell>
          <cell r="AU517" t="str">
            <v>N/A</v>
          </cell>
          <cell r="AV517" t="str">
            <v>4019PP,6934</v>
          </cell>
        </row>
        <row r="518">
          <cell r="A518" t="str">
            <v>5070B</v>
          </cell>
          <cell r="B518" t="str">
            <v>Comp#</v>
          </cell>
          <cell r="C518" t="str">
            <v>1/4" Y Connector</v>
          </cell>
          <cell r="D518" t="str">
            <v>1420A ETAL</v>
          </cell>
          <cell r="E518">
            <v>37602</v>
          </cell>
          <cell r="F518" t="str">
            <v>N/A</v>
          </cell>
          <cell r="K518" t="str">
            <v>S-4</v>
          </cell>
          <cell r="L518" t="str">
            <v>N/A</v>
          </cell>
          <cell r="P518" t="str">
            <v>N/A</v>
          </cell>
          <cell r="Q518" t="str">
            <v>N/A</v>
          </cell>
          <cell r="R518" t="str">
            <v>8</v>
          </cell>
          <cell r="S518" t="str">
            <v>0</v>
          </cell>
          <cell r="T518" t="str">
            <v>1.5</v>
          </cell>
          <cell r="U518" t="str">
            <v>2.5</v>
          </cell>
          <cell r="V518" t="str">
            <v>4000</v>
          </cell>
          <cell r="W518" t="str">
            <v>S-4</v>
          </cell>
          <cell r="X518" t="str">
            <v>Injection Molding</v>
          </cell>
          <cell r="Y518" t="str">
            <v>N/A</v>
          </cell>
          <cell r="AA518" t="str">
            <v>Arburg</v>
          </cell>
          <cell r="AB518" t="str">
            <v>Non-Sterile</v>
          </cell>
          <cell r="AC518" t="str">
            <v>N/A</v>
          </cell>
          <cell r="AG518" t="str">
            <v>N</v>
          </cell>
          <cell r="AH518" t="str">
            <v>Y</v>
          </cell>
          <cell r="AI518" t="str">
            <v>LATEX FREE</v>
          </cell>
          <cell r="AJ518" t="str">
            <v>Current</v>
          </cell>
          <cell r="AK518" t="str">
            <v>N/A</v>
          </cell>
          <cell r="AL518" t="str">
            <v>N/A</v>
          </cell>
          <cell r="AM518" t="str">
            <v>N/A</v>
          </cell>
          <cell r="AN518" t="str">
            <v>N/A</v>
          </cell>
          <cell r="AO518" t="str">
            <v>N/A</v>
          </cell>
          <cell r="AP518" t="str">
            <v>N/A</v>
          </cell>
          <cell r="AS518" t="str">
            <v>Reuse 2044 10x</v>
          </cell>
          <cell r="AT518" t="str">
            <v>N/A</v>
          </cell>
          <cell r="AU518" t="str">
            <v>N/A</v>
          </cell>
          <cell r="AV518" t="str">
            <v>4019PP,6934</v>
          </cell>
        </row>
        <row r="519">
          <cell r="A519" t="str">
            <v>5080B</v>
          </cell>
          <cell r="B519" t="str">
            <v>Comp#</v>
          </cell>
          <cell r="C519" t="str">
            <v>3/8" Y Connector/2000</v>
          </cell>
          <cell r="D519" t="str">
            <v>1420A ETAL</v>
          </cell>
          <cell r="E519">
            <v>37602</v>
          </cell>
          <cell r="F519" t="str">
            <v>N/A</v>
          </cell>
          <cell r="K519" t="str">
            <v>S-4</v>
          </cell>
          <cell r="L519" t="str">
            <v>N/A</v>
          </cell>
          <cell r="P519" t="str">
            <v>N/A</v>
          </cell>
          <cell r="Q519" t="str">
            <v>N/A</v>
          </cell>
          <cell r="R519" t="str">
            <v>8</v>
          </cell>
          <cell r="S519" t="str">
            <v>0</v>
          </cell>
          <cell r="T519" t="str">
            <v>1.5</v>
          </cell>
          <cell r="U519" t="str">
            <v>2.5</v>
          </cell>
          <cell r="V519" t="str">
            <v>2000</v>
          </cell>
          <cell r="W519" t="str">
            <v>S-4</v>
          </cell>
          <cell r="X519" t="str">
            <v>Injection Molding</v>
          </cell>
          <cell r="Y519" t="str">
            <v>N/A</v>
          </cell>
          <cell r="AA519" t="str">
            <v>Arburg</v>
          </cell>
          <cell r="AB519" t="str">
            <v>Non-Sterile</v>
          </cell>
          <cell r="AC519" t="str">
            <v>N/A</v>
          </cell>
          <cell r="AG519" t="str">
            <v>N</v>
          </cell>
          <cell r="AH519" t="str">
            <v>Y</v>
          </cell>
          <cell r="AI519" t="str">
            <v>LATEX FREE</v>
          </cell>
          <cell r="AJ519" t="str">
            <v>Current</v>
          </cell>
          <cell r="AK519" t="str">
            <v>N/A</v>
          </cell>
          <cell r="AL519" t="str">
            <v>N/A</v>
          </cell>
          <cell r="AM519" t="str">
            <v>N/A</v>
          </cell>
          <cell r="AN519" t="str">
            <v>N/A</v>
          </cell>
          <cell r="AO519" t="str">
            <v>N/A</v>
          </cell>
          <cell r="AP519" t="str">
            <v>N/A</v>
          </cell>
          <cell r="AS519" t="str">
            <v>Reuse 2044 10x</v>
          </cell>
          <cell r="AT519" t="str">
            <v>N/A</v>
          </cell>
          <cell r="AU519" t="str">
            <v>N/A</v>
          </cell>
          <cell r="AV519" t="str">
            <v>4019PP,6934</v>
          </cell>
        </row>
        <row r="520">
          <cell r="A520" t="str">
            <v>5090B</v>
          </cell>
          <cell r="B520" t="str">
            <v>Comp#</v>
          </cell>
          <cell r="C520" t="str">
            <v>6 in 1 Y Connector/800</v>
          </cell>
          <cell r="D520" t="str">
            <v>1420A ETAL</v>
          </cell>
          <cell r="E520">
            <v>37602</v>
          </cell>
          <cell r="F520" t="str">
            <v>N/A</v>
          </cell>
          <cell r="K520" t="str">
            <v>S-4</v>
          </cell>
          <cell r="L520" t="str">
            <v>N/A</v>
          </cell>
          <cell r="P520" t="str">
            <v>N/A</v>
          </cell>
          <cell r="Q520" t="str">
            <v>N/A</v>
          </cell>
          <cell r="R520" t="str">
            <v>8</v>
          </cell>
          <cell r="S520" t="str">
            <v>0</v>
          </cell>
          <cell r="T520" t="str">
            <v>1.5</v>
          </cell>
          <cell r="U520" t="str">
            <v>2.5</v>
          </cell>
          <cell r="V520" t="str">
            <v>800</v>
          </cell>
          <cell r="W520" t="str">
            <v>S-4</v>
          </cell>
          <cell r="X520" t="str">
            <v>Injection Molding</v>
          </cell>
          <cell r="Y520" t="str">
            <v>N/A</v>
          </cell>
          <cell r="AA520" t="str">
            <v>Arburg</v>
          </cell>
          <cell r="AB520" t="str">
            <v>Non-Sterile</v>
          </cell>
          <cell r="AC520" t="str">
            <v>N/A</v>
          </cell>
          <cell r="AG520" t="str">
            <v>N</v>
          </cell>
          <cell r="AH520" t="str">
            <v>Y</v>
          </cell>
          <cell r="AI520" t="str">
            <v>LATEX FREE</v>
          </cell>
          <cell r="AJ520" t="str">
            <v>Current</v>
          </cell>
          <cell r="AK520" t="str">
            <v>N/A</v>
          </cell>
          <cell r="AL520" t="str">
            <v>N/A</v>
          </cell>
          <cell r="AM520" t="str">
            <v>N/A</v>
          </cell>
          <cell r="AN520" t="str">
            <v>N/A</v>
          </cell>
          <cell r="AO520" t="str">
            <v>N/A</v>
          </cell>
          <cell r="AP520" t="str">
            <v>N/A</v>
          </cell>
          <cell r="AS520" t="str">
            <v>Reuse 2044 10x</v>
          </cell>
          <cell r="AT520" t="str">
            <v>N/A</v>
          </cell>
          <cell r="AU520" t="str">
            <v>N/A</v>
          </cell>
          <cell r="AV520" t="str">
            <v>4019PP,6934</v>
          </cell>
        </row>
        <row r="521">
          <cell r="A521" t="str">
            <v>5100CP</v>
          </cell>
          <cell r="B521" t="str">
            <v>Comp#</v>
          </cell>
          <cell r="C521" t="str">
            <v>Catheter Plug</v>
          </cell>
          <cell r="D521" t="str">
            <v>1420A ETAL</v>
          </cell>
          <cell r="E521">
            <v>37602</v>
          </cell>
          <cell r="F521" t="str">
            <v>N/A</v>
          </cell>
          <cell r="K521" t="str">
            <v>S-4</v>
          </cell>
          <cell r="L521" t="str">
            <v>N/A</v>
          </cell>
          <cell r="P521" t="str">
            <v>N/A</v>
          </cell>
          <cell r="Q521" t="str">
            <v>N/A</v>
          </cell>
          <cell r="R521" t="str">
            <v>8</v>
          </cell>
          <cell r="S521" t="str">
            <v>0</v>
          </cell>
          <cell r="T521" t="str">
            <v>1.5</v>
          </cell>
          <cell r="U521" t="str">
            <v>2.5</v>
          </cell>
          <cell r="V521" t="str">
            <v>5000</v>
          </cell>
          <cell r="W521" t="str">
            <v>S-4</v>
          </cell>
          <cell r="X521" t="str">
            <v>Injection Molding</v>
          </cell>
          <cell r="Y521" t="str">
            <v>N/A</v>
          </cell>
          <cell r="AA521" t="str">
            <v>Arburg</v>
          </cell>
          <cell r="AB521" t="str">
            <v>Non-Sterile</v>
          </cell>
          <cell r="AC521" t="str">
            <v>N/A</v>
          </cell>
          <cell r="AG521" t="str">
            <v>N</v>
          </cell>
          <cell r="AH521" t="str">
            <v>Y</v>
          </cell>
          <cell r="AI521" t="str">
            <v>LATEX FREE</v>
          </cell>
          <cell r="AJ521" t="str">
            <v>Current</v>
          </cell>
          <cell r="AK521" t="str">
            <v>N/A</v>
          </cell>
          <cell r="AL521" t="str">
            <v>N/A</v>
          </cell>
          <cell r="AM521" t="str">
            <v>N/A</v>
          </cell>
          <cell r="AN521" t="str">
            <v>N/A</v>
          </cell>
          <cell r="AO521" t="str">
            <v>N/A</v>
          </cell>
          <cell r="AP521" t="str">
            <v>N/A</v>
          </cell>
          <cell r="AS521" t="str">
            <v>Reuse 7192DC</v>
          </cell>
          <cell r="AT521" t="str">
            <v>N/A</v>
          </cell>
          <cell r="AU521" t="str">
            <v>N/A</v>
          </cell>
          <cell r="AV521" t="str">
            <v>4019PP,6934</v>
          </cell>
        </row>
        <row r="522">
          <cell r="A522" t="str">
            <v>5100DC</v>
          </cell>
          <cell r="B522" t="str">
            <v>Comp#</v>
          </cell>
          <cell r="C522" t="str">
            <v>Drainage Tube Cover</v>
          </cell>
          <cell r="D522" t="str">
            <v>1420A ETAL</v>
          </cell>
          <cell r="E522">
            <v>37602</v>
          </cell>
          <cell r="F522" t="str">
            <v>N/A</v>
          </cell>
          <cell r="K522" t="str">
            <v>S-4</v>
          </cell>
          <cell r="L522" t="str">
            <v>N/A</v>
          </cell>
          <cell r="P522" t="str">
            <v>N/A</v>
          </cell>
          <cell r="Q522" t="str">
            <v>N/A</v>
          </cell>
          <cell r="R522" t="str">
            <v>8</v>
          </cell>
          <cell r="S522" t="str">
            <v>0</v>
          </cell>
          <cell r="T522" t="str">
            <v>1.5</v>
          </cell>
          <cell r="U522" t="str">
            <v>2.5</v>
          </cell>
          <cell r="V522" t="str">
            <v>5000</v>
          </cell>
          <cell r="W522" t="str">
            <v>S-4</v>
          </cell>
          <cell r="X522" t="str">
            <v>Injection Molding</v>
          </cell>
          <cell r="Y522" t="str">
            <v>N/A</v>
          </cell>
          <cell r="AA522" t="str">
            <v>Arburg</v>
          </cell>
          <cell r="AB522" t="str">
            <v>Non-Sterile</v>
          </cell>
          <cell r="AC522" t="str">
            <v>N/A</v>
          </cell>
          <cell r="AG522" t="str">
            <v>N</v>
          </cell>
          <cell r="AH522" t="str">
            <v>Y</v>
          </cell>
          <cell r="AI522" t="str">
            <v>LATEX FREE</v>
          </cell>
          <cell r="AJ522" t="str">
            <v>Current</v>
          </cell>
          <cell r="AK522" t="str">
            <v>N/A</v>
          </cell>
          <cell r="AL522" t="str">
            <v>N/A</v>
          </cell>
          <cell r="AM522" t="str">
            <v>N/A</v>
          </cell>
          <cell r="AN522" t="str">
            <v>N/A</v>
          </cell>
          <cell r="AO522" t="str">
            <v>N/A</v>
          </cell>
          <cell r="AP522" t="str">
            <v>N/A</v>
          </cell>
          <cell r="AS522" t="str">
            <v>Reuse 7192DC</v>
          </cell>
          <cell r="AT522" t="str">
            <v>N/A</v>
          </cell>
          <cell r="AU522" t="str">
            <v>N/A</v>
          </cell>
          <cell r="AV522" t="str">
            <v>4019PP,6934</v>
          </cell>
        </row>
        <row r="523">
          <cell r="A523" t="str">
            <v>5124B</v>
          </cell>
          <cell r="C523" t="str">
            <v>Simms Connector (HDPE)</v>
          </cell>
          <cell r="AB523" t="str">
            <v>Non-Sterile</v>
          </cell>
          <cell r="AJ523" t="str">
            <v>Discontinued</v>
          </cell>
          <cell r="AK523" t="str">
            <v>N/A</v>
          </cell>
          <cell r="AL523" t="str">
            <v>N/A</v>
          </cell>
          <cell r="AN523" t="str">
            <v>N/A</v>
          </cell>
        </row>
        <row r="524">
          <cell r="A524" t="str">
            <v>7250B</v>
          </cell>
          <cell r="C524" t="str">
            <v>Adult Shrd Sheet 54x108"</v>
          </cell>
          <cell r="D524" t="str">
            <v>700 ETAL</v>
          </cell>
          <cell r="E524">
            <v>35999</v>
          </cell>
          <cell r="AB524" t="str">
            <v>Non-Sterile</v>
          </cell>
          <cell r="AJ524" t="str">
            <v>Discontinued</v>
          </cell>
          <cell r="AK524" t="str">
            <v>N/A</v>
          </cell>
          <cell r="AL524" t="str">
            <v>N/A</v>
          </cell>
        </row>
        <row r="525">
          <cell r="A525" t="str">
            <v>7595B</v>
          </cell>
          <cell r="B525" t="str">
            <v>Comp#</v>
          </cell>
          <cell r="C525" t="str">
            <v xml:space="preserve">Aqua Transfer Forcep  </v>
          </cell>
          <cell r="D525" t="str">
            <v>1420A ETAL</v>
          </cell>
          <cell r="E525">
            <v>37602</v>
          </cell>
          <cell r="F525" t="str">
            <v>N/A</v>
          </cell>
          <cell r="K525" t="str">
            <v>S-4</v>
          </cell>
          <cell r="L525" t="str">
            <v>N/A</v>
          </cell>
          <cell r="P525" t="str">
            <v>N/A</v>
          </cell>
          <cell r="Q525" t="str">
            <v>N/A</v>
          </cell>
          <cell r="R525" t="str">
            <v>8</v>
          </cell>
          <cell r="S525" t="str">
            <v>0</v>
          </cell>
          <cell r="T525" t="str">
            <v>1.5</v>
          </cell>
          <cell r="U525" t="str">
            <v>2.5</v>
          </cell>
          <cell r="W525" t="str">
            <v>S-4</v>
          </cell>
          <cell r="X525" t="str">
            <v>Injection Molding</v>
          </cell>
          <cell r="Y525" t="str">
            <v>N/A</v>
          </cell>
          <cell r="AA525" t="str">
            <v>Arburg</v>
          </cell>
          <cell r="AB525" t="str">
            <v>Non-Sterile</v>
          </cell>
          <cell r="AC525" t="str">
            <v>N/A</v>
          </cell>
          <cell r="AG525" t="str">
            <v>N</v>
          </cell>
          <cell r="AH525" t="str">
            <v>Y</v>
          </cell>
          <cell r="AI525" t="str">
            <v>LATEX FREE</v>
          </cell>
          <cell r="AJ525" t="str">
            <v>Current</v>
          </cell>
          <cell r="AK525" t="str">
            <v>N/A</v>
          </cell>
          <cell r="AL525" t="str">
            <v>N/A</v>
          </cell>
          <cell r="AM525" t="str">
            <v>N/A</v>
          </cell>
          <cell r="AN525" t="str">
            <v>N/A</v>
          </cell>
          <cell r="AO525" t="str">
            <v>N/A</v>
          </cell>
          <cell r="AP525" t="str">
            <v>N/A</v>
          </cell>
          <cell r="AS525" t="str">
            <v>N/A</v>
          </cell>
          <cell r="AT525" t="str">
            <v>N/A</v>
          </cell>
          <cell r="AU525" t="str">
            <v>N/A</v>
          </cell>
          <cell r="AV525" t="str">
            <v>1535MS,7595A</v>
          </cell>
        </row>
        <row r="526">
          <cell r="A526" t="str">
            <v>7660B</v>
          </cell>
          <cell r="B526" t="str">
            <v>Comp#</v>
          </cell>
          <cell r="C526" t="str">
            <v>Saf-Shield Irrigation Splash Guard/1500</v>
          </cell>
          <cell r="D526" t="str">
            <v>1420A ETAL</v>
          </cell>
          <cell r="E526">
            <v>37602</v>
          </cell>
          <cell r="F526" t="str">
            <v>N/A</v>
          </cell>
          <cell r="K526" t="str">
            <v>S-4</v>
          </cell>
          <cell r="L526" t="str">
            <v>N/A</v>
          </cell>
          <cell r="P526" t="str">
            <v>N/A</v>
          </cell>
          <cell r="Q526" t="str">
            <v>N/A</v>
          </cell>
          <cell r="R526" t="str">
            <v>8</v>
          </cell>
          <cell r="S526" t="str">
            <v>0</v>
          </cell>
          <cell r="T526" t="str">
            <v>1.5</v>
          </cell>
          <cell r="U526" t="str">
            <v>2.5</v>
          </cell>
          <cell r="V526" t="str">
            <v>1500</v>
          </cell>
          <cell r="X526" t="str">
            <v>Injection Molding</v>
          </cell>
          <cell r="Y526" t="str">
            <v>N/A</v>
          </cell>
          <cell r="AA526" t="str">
            <v>Arburg</v>
          </cell>
          <cell r="AB526" t="str">
            <v>Non-Sterile</v>
          </cell>
          <cell r="AC526" t="str">
            <v>N/A</v>
          </cell>
          <cell r="AG526" t="str">
            <v>N</v>
          </cell>
          <cell r="AH526" t="str">
            <v>Y</v>
          </cell>
          <cell r="AI526" t="str">
            <v>LATEX FREE</v>
          </cell>
          <cell r="AJ526" t="str">
            <v>Current</v>
          </cell>
          <cell r="AK526" t="str">
            <v>N/A</v>
          </cell>
          <cell r="AL526" t="str">
            <v>N/A</v>
          </cell>
          <cell r="AM526" t="str">
            <v>N/A</v>
          </cell>
          <cell r="AN526" t="str">
            <v>N/A</v>
          </cell>
          <cell r="AO526" t="str">
            <v>N/A</v>
          </cell>
          <cell r="AP526" t="str">
            <v>N/A</v>
          </cell>
          <cell r="AS526" t="str">
            <v>Reuse 2044 10x</v>
          </cell>
          <cell r="AT526" t="str">
            <v>N/A</v>
          </cell>
          <cell r="AU526" t="str">
            <v>N/A</v>
          </cell>
          <cell r="AV526" t="str">
            <v>4060S,2960K3,6934</v>
          </cell>
        </row>
        <row r="527">
          <cell r="A527" t="str">
            <v>97-98187</v>
          </cell>
          <cell r="C527" t="str">
            <v>HS/DE 30X30 CSR WRAP/100</v>
          </cell>
          <cell r="D527" t="str">
            <v>843 ETAL</v>
          </cell>
          <cell r="E527">
            <v>36563</v>
          </cell>
          <cell r="F527" t="str">
            <v>97-98187</v>
          </cell>
          <cell r="W527" t="str">
            <v>S-4</v>
          </cell>
          <cell r="AB527" t="str">
            <v>Non-Sterile</v>
          </cell>
          <cell r="AJ527" t="str">
            <v>Discontinued</v>
          </cell>
          <cell r="AK527" t="str">
            <v>N/A</v>
          </cell>
          <cell r="AL527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Release Sheet"/>
      <sheetName val="Sterilization Record Review"/>
      <sheetName val="LABEL ENV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Count Verification Report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 refreshError="1"/>
      <sheetData sheetId="1" refreshError="1">
        <row r="1">
          <cell r="A1" t="str">
            <v>0310146</v>
          </cell>
          <cell r="B1">
            <v>4383</v>
          </cell>
          <cell r="C1">
            <v>30</v>
          </cell>
          <cell r="D1" t="str">
            <v>Ster I.V. Start Kit 50/cs</v>
          </cell>
          <cell r="E1" t="str">
            <v>INSP</v>
          </cell>
          <cell r="F1" t="str">
            <v>B22606</v>
          </cell>
          <cell r="G1">
            <v>37853</v>
          </cell>
        </row>
        <row r="2">
          <cell r="A2" t="str">
            <v>0310163</v>
          </cell>
          <cell r="B2">
            <v>5632</v>
          </cell>
          <cell r="C2">
            <v>100</v>
          </cell>
          <cell r="D2" t="str">
            <v>Ster Dress Change Tray/24</v>
          </cell>
          <cell r="E2" t="str">
            <v>INSP</v>
          </cell>
          <cell r="F2" t="str">
            <v>B22606</v>
          </cell>
          <cell r="G2">
            <v>37853</v>
          </cell>
        </row>
        <row r="3">
          <cell r="A3" t="str">
            <v>0310170</v>
          </cell>
          <cell r="B3">
            <v>7156</v>
          </cell>
          <cell r="C3">
            <v>90</v>
          </cell>
          <cell r="D3" t="str">
            <v>GM#25-715 Ster Trach T/20</v>
          </cell>
          <cell r="E3" t="str">
            <v>INSP</v>
          </cell>
          <cell r="F3" t="str">
            <v>B22667</v>
          </cell>
          <cell r="G3">
            <v>37853</v>
          </cell>
        </row>
        <row r="4">
          <cell r="A4" t="str">
            <v>0310175</v>
          </cell>
          <cell r="B4">
            <v>800</v>
          </cell>
          <cell r="C4">
            <v>144</v>
          </cell>
          <cell r="D4" t="str">
            <v>Ster Trach Set/20</v>
          </cell>
          <cell r="E4" t="str">
            <v>INSP</v>
          </cell>
        </row>
        <row r="5">
          <cell r="A5" t="str">
            <v>0310177</v>
          </cell>
          <cell r="B5">
            <v>715</v>
          </cell>
          <cell r="C5">
            <v>315</v>
          </cell>
          <cell r="D5" t="str">
            <v>Ster Trach Set/20</v>
          </cell>
          <cell r="E5" t="str">
            <v>INSP</v>
          </cell>
          <cell r="F5" t="str">
            <v>B22671</v>
          </cell>
          <cell r="G5">
            <v>37858</v>
          </cell>
        </row>
        <row r="6">
          <cell r="A6" t="str">
            <v>0310179</v>
          </cell>
          <cell r="B6">
            <v>1182</v>
          </cell>
          <cell r="C6">
            <v>50</v>
          </cell>
          <cell r="D6" t="str">
            <v>Ster Gen Instrument T/20</v>
          </cell>
          <cell r="E6" t="str">
            <v>INSP</v>
          </cell>
          <cell r="F6" t="str">
            <v>B22609</v>
          </cell>
          <cell r="G6">
            <v>37859</v>
          </cell>
        </row>
        <row r="7">
          <cell r="A7" t="str">
            <v>0310180</v>
          </cell>
          <cell r="B7">
            <v>8714</v>
          </cell>
          <cell r="C7">
            <v>90</v>
          </cell>
          <cell r="D7" t="str">
            <v>Ster Dress Chg Tray 30CS</v>
          </cell>
          <cell r="E7" t="str">
            <v>INSP</v>
          </cell>
          <cell r="F7" t="str">
            <v>B22609</v>
          </cell>
          <cell r="G7">
            <v>37859</v>
          </cell>
        </row>
        <row r="8">
          <cell r="A8" t="str">
            <v>0310181</v>
          </cell>
          <cell r="B8">
            <v>710</v>
          </cell>
          <cell r="C8">
            <v>90</v>
          </cell>
          <cell r="D8" t="str">
            <v>Ster Trach Set</v>
          </cell>
          <cell r="E8" t="str">
            <v>INSP</v>
          </cell>
          <cell r="F8" t="str">
            <v>B22667</v>
          </cell>
          <cell r="G8">
            <v>37853</v>
          </cell>
        </row>
        <row r="9">
          <cell r="A9" t="str">
            <v>0310182</v>
          </cell>
          <cell r="B9">
            <v>714</v>
          </cell>
          <cell r="C9">
            <v>90</v>
          </cell>
          <cell r="D9" t="str">
            <v>Ster Trach Set/20</v>
          </cell>
          <cell r="E9" t="str">
            <v>INSP</v>
          </cell>
          <cell r="F9" t="str">
            <v>B22608</v>
          </cell>
          <cell r="G9">
            <v>37862</v>
          </cell>
        </row>
        <row r="10">
          <cell r="A10" t="str">
            <v>0310185</v>
          </cell>
          <cell r="B10">
            <v>2026</v>
          </cell>
          <cell r="C10">
            <v>80</v>
          </cell>
          <cell r="D10" t="str">
            <v>Ster GM25-2026 Drs/Try/30</v>
          </cell>
          <cell r="E10" t="str">
            <v>INSP</v>
          </cell>
          <cell r="F10" t="str">
            <v>B22610</v>
          </cell>
          <cell r="G10">
            <v>37859</v>
          </cell>
        </row>
        <row r="11">
          <cell r="A11" t="str">
            <v>0310188</v>
          </cell>
          <cell r="B11">
            <v>7036</v>
          </cell>
          <cell r="C11">
            <v>90</v>
          </cell>
          <cell r="D11" t="str">
            <v>GM#25-703 Ster Trach T/20</v>
          </cell>
          <cell r="E11" t="str">
            <v>INSP</v>
          </cell>
          <cell r="F11" t="str">
            <v>B22672</v>
          </cell>
          <cell r="G11">
            <v>37861</v>
          </cell>
        </row>
        <row r="12">
          <cell r="A12" t="str">
            <v>0310190</v>
          </cell>
          <cell r="B12">
            <v>715</v>
          </cell>
          <cell r="C12">
            <v>315</v>
          </cell>
          <cell r="D12" t="str">
            <v>Ster Trach Set/20</v>
          </cell>
          <cell r="E12" t="str">
            <v>INSP</v>
          </cell>
        </row>
        <row r="13">
          <cell r="A13" t="str">
            <v>0310192</v>
          </cell>
          <cell r="B13">
            <v>828</v>
          </cell>
          <cell r="C13">
            <v>80</v>
          </cell>
          <cell r="D13" t="str">
            <v>Ster TPN/CVP Tray/30</v>
          </cell>
          <cell r="E13" t="str">
            <v>INSP</v>
          </cell>
          <cell r="F13" t="str">
            <v>B22610</v>
          </cell>
          <cell r="G13">
            <v>37859</v>
          </cell>
        </row>
        <row r="14">
          <cell r="A14" t="str">
            <v>0310193</v>
          </cell>
          <cell r="B14">
            <v>759</v>
          </cell>
          <cell r="C14">
            <v>180</v>
          </cell>
          <cell r="D14" t="str">
            <v>Ster Dress Chg Tray 20cs</v>
          </cell>
          <cell r="E14" t="str">
            <v>INSP</v>
          </cell>
        </row>
        <row r="15">
          <cell r="A15" t="str">
            <v>0310195</v>
          </cell>
          <cell r="B15">
            <v>5898</v>
          </cell>
          <cell r="C15">
            <v>40</v>
          </cell>
          <cell r="D15" t="str">
            <v>Ster Suturing set 20cs</v>
          </cell>
          <cell r="E15" t="str">
            <v>INSP</v>
          </cell>
        </row>
        <row r="16">
          <cell r="A16" t="str">
            <v>0310196</v>
          </cell>
          <cell r="B16">
            <v>8361</v>
          </cell>
          <cell r="C16">
            <v>20</v>
          </cell>
          <cell r="D16" t="str">
            <v>Ster Dress Chg Tray 30cs</v>
          </cell>
          <cell r="E16" t="str">
            <v>INSP</v>
          </cell>
        </row>
        <row r="17">
          <cell r="A17" t="str">
            <v>0310202</v>
          </cell>
          <cell r="B17">
            <v>1443</v>
          </cell>
          <cell r="C17">
            <v>96</v>
          </cell>
          <cell r="D17" t="str">
            <v>Ster Dress Change Tray/20</v>
          </cell>
          <cell r="E17" t="str">
            <v>INSP</v>
          </cell>
          <cell r="F17" t="str">
            <v>B22609</v>
          </cell>
          <cell r="G17">
            <v>37859</v>
          </cell>
        </row>
        <row r="18">
          <cell r="A18" t="str">
            <v>0310203</v>
          </cell>
          <cell r="B18">
            <v>703</v>
          </cell>
          <cell r="C18">
            <v>225</v>
          </cell>
          <cell r="D18" t="str">
            <v>Ster Trach Set/20</v>
          </cell>
          <cell r="E18" t="str">
            <v>INSP</v>
          </cell>
        </row>
        <row r="19">
          <cell r="A19" t="str">
            <v>0320542</v>
          </cell>
          <cell r="B19">
            <v>737</v>
          </cell>
          <cell r="C19">
            <v>264</v>
          </cell>
          <cell r="D19" t="str">
            <v>Ster SRK w/Littauer S/48</v>
          </cell>
          <cell r="E19" t="str">
            <v>INSP</v>
          </cell>
          <cell r="F19" t="str">
            <v>B22607</v>
          </cell>
          <cell r="G19">
            <v>37854</v>
          </cell>
        </row>
        <row r="20">
          <cell r="A20" t="str">
            <v>0320571</v>
          </cell>
          <cell r="B20">
            <v>4369</v>
          </cell>
          <cell r="C20">
            <v>25</v>
          </cell>
          <cell r="D20" t="str">
            <v>Ster C/Line Dress Chg.T30</v>
          </cell>
          <cell r="E20" t="str">
            <v>INSP</v>
          </cell>
          <cell r="F20" t="str">
            <v>B22607</v>
          </cell>
          <cell r="G20">
            <v>37854</v>
          </cell>
        </row>
        <row r="21">
          <cell r="A21" t="str">
            <v>0320598</v>
          </cell>
          <cell r="B21">
            <v>744</v>
          </cell>
          <cell r="C21">
            <v>32</v>
          </cell>
          <cell r="D21" t="str">
            <v>Ster S/Debridement T/50CS</v>
          </cell>
          <cell r="E21" t="str">
            <v>INSP</v>
          </cell>
          <cell r="F21" t="str">
            <v>B22609</v>
          </cell>
          <cell r="G21">
            <v>37859</v>
          </cell>
        </row>
        <row r="22">
          <cell r="A22" t="str">
            <v>0320603</v>
          </cell>
          <cell r="B22">
            <v>4465</v>
          </cell>
          <cell r="C22">
            <v>135</v>
          </cell>
          <cell r="D22" t="str">
            <v>Ster PICC C/Line D/C K50C</v>
          </cell>
          <cell r="E22" t="str">
            <v>INSP</v>
          </cell>
          <cell r="F22" t="str">
            <v>B22609</v>
          </cell>
          <cell r="G22">
            <v>37859</v>
          </cell>
        </row>
        <row r="23">
          <cell r="A23" t="str">
            <v>0320604</v>
          </cell>
          <cell r="B23">
            <v>3607</v>
          </cell>
          <cell r="C23">
            <v>50</v>
          </cell>
          <cell r="D23" t="str">
            <v>Ster IV Start Kit/50</v>
          </cell>
          <cell r="E23" t="str">
            <v>INSP</v>
          </cell>
          <cell r="F23" t="str">
            <v>B22607</v>
          </cell>
          <cell r="G23">
            <v>37854</v>
          </cell>
        </row>
        <row r="24">
          <cell r="A24" t="str">
            <v>0320606</v>
          </cell>
          <cell r="B24">
            <v>758</v>
          </cell>
          <cell r="C24">
            <v>100</v>
          </cell>
          <cell r="D24" t="str">
            <v>Ster Incision&amp;Drainage/20</v>
          </cell>
          <cell r="E24" t="str">
            <v>INSP</v>
          </cell>
          <cell r="F24" t="str">
            <v>B22606</v>
          </cell>
          <cell r="G24">
            <v>37853</v>
          </cell>
        </row>
        <row r="25">
          <cell r="A25" t="str">
            <v>0320610</v>
          </cell>
          <cell r="B25">
            <v>4067</v>
          </cell>
          <cell r="C25">
            <v>540</v>
          </cell>
          <cell r="D25" t="str">
            <v>Ster SpTrapC30200-176 /24</v>
          </cell>
          <cell r="E25" t="str">
            <v>INSP</v>
          </cell>
          <cell r="F25" t="str">
            <v>B22672</v>
          </cell>
          <cell r="G25">
            <v>37861</v>
          </cell>
        </row>
        <row r="26">
          <cell r="A26" t="str">
            <v>0320613</v>
          </cell>
          <cell r="B26">
            <v>772</v>
          </cell>
          <cell r="C26">
            <v>100</v>
          </cell>
          <cell r="D26" t="str">
            <v>Ster StapleRemover S-H/30</v>
          </cell>
          <cell r="E26" t="str">
            <v>INSP</v>
          </cell>
          <cell r="F26" t="str">
            <v>B22609</v>
          </cell>
          <cell r="G26">
            <v>37859</v>
          </cell>
        </row>
        <row r="27">
          <cell r="A27" t="str">
            <v>0320618</v>
          </cell>
          <cell r="B27">
            <v>406</v>
          </cell>
          <cell r="C27">
            <v>720</v>
          </cell>
          <cell r="D27" t="str">
            <v>Ster 40cc Mucus Trap/24</v>
          </cell>
          <cell r="E27" t="str">
            <v>INSP</v>
          </cell>
          <cell r="F27" t="str">
            <v>B22672</v>
          </cell>
          <cell r="G27">
            <v>37861</v>
          </cell>
        </row>
        <row r="28">
          <cell r="A28" t="str">
            <v>0320623</v>
          </cell>
          <cell r="B28">
            <v>4254</v>
          </cell>
          <cell r="C28">
            <v>128</v>
          </cell>
          <cell r="D28" t="str">
            <v>Ster I.V.Start Kit 100/cs</v>
          </cell>
          <cell r="E28" t="str">
            <v>INSP</v>
          </cell>
          <cell r="F28" t="str">
            <v>B22608</v>
          </cell>
          <cell r="G28">
            <v>37862</v>
          </cell>
        </row>
        <row r="29">
          <cell r="A29" t="str">
            <v>0320624</v>
          </cell>
          <cell r="B29">
            <v>754</v>
          </cell>
          <cell r="C29">
            <v>100</v>
          </cell>
          <cell r="D29" t="str">
            <v>Ster Instrument Tray/20</v>
          </cell>
          <cell r="E29" t="str">
            <v>INSP</v>
          </cell>
          <cell r="F29" t="str">
            <v>B22609</v>
          </cell>
          <cell r="G29">
            <v>37859</v>
          </cell>
        </row>
        <row r="30">
          <cell r="A30" t="str">
            <v>0320627/</v>
          </cell>
          <cell r="B30">
            <v>750</v>
          </cell>
          <cell r="C30">
            <v>120</v>
          </cell>
          <cell r="D30" t="str">
            <v>Ster Mnr Laceration Pk/20</v>
          </cell>
          <cell r="E30" t="str">
            <v>INSP</v>
          </cell>
        </row>
        <row r="31">
          <cell r="A31" t="str">
            <v>0320628</v>
          </cell>
          <cell r="B31">
            <v>155</v>
          </cell>
          <cell r="C31">
            <v>42</v>
          </cell>
          <cell r="D31" t="str">
            <v>Ster 10' x 1/4" Tubing/50</v>
          </cell>
          <cell r="E31" t="str">
            <v>INSP</v>
          </cell>
          <cell r="F31" t="str">
            <v>B22667</v>
          </cell>
          <cell r="G31">
            <v>37853</v>
          </cell>
        </row>
        <row r="32">
          <cell r="A32" t="str">
            <v>0320631</v>
          </cell>
          <cell r="B32">
            <v>164</v>
          </cell>
          <cell r="C32">
            <v>48</v>
          </cell>
          <cell r="D32" t="str">
            <v>Ster 12FR Frazier/50</v>
          </cell>
          <cell r="E32" t="str">
            <v>INSP</v>
          </cell>
          <cell r="F32" t="str">
            <v>B22667</v>
          </cell>
          <cell r="G32">
            <v>37853</v>
          </cell>
        </row>
        <row r="33">
          <cell r="A33" t="str">
            <v>0320636</v>
          </cell>
          <cell r="B33">
            <v>163</v>
          </cell>
          <cell r="C33">
            <v>96</v>
          </cell>
          <cell r="D33" t="str">
            <v>Ster 10FR Frazier/50</v>
          </cell>
          <cell r="E33" t="str">
            <v>INSP</v>
          </cell>
          <cell r="F33" t="str">
            <v>B22667</v>
          </cell>
          <cell r="G33">
            <v>37853</v>
          </cell>
        </row>
        <row r="34">
          <cell r="A34" t="str">
            <v>0320643</v>
          </cell>
          <cell r="B34">
            <v>405</v>
          </cell>
          <cell r="C34">
            <v>540</v>
          </cell>
          <cell r="D34" t="str">
            <v>Ster 40cc Muc.TrpW/cap/24</v>
          </cell>
          <cell r="E34" t="str">
            <v>INSP</v>
          </cell>
          <cell r="F34" t="str">
            <v>B22669</v>
          </cell>
          <cell r="G34">
            <v>37855</v>
          </cell>
        </row>
        <row r="35">
          <cell r="A35" t="str">
            <v>0320644</v>
          </cell>
          <cell r="B35">
            <v>298</v>
          </cell>
          <cell r="C35">
            <v>980</v>
          </cell>
          <cell r="D35" t="str">
            <v>Ster Yank w/o vent blb/50</v>
          </cell>
          <cell r="E35" t="str">
            <v>INSP</v>
          </cell>
          <cell r="F35" t="str">
            <v>B22670</v>
          </cell>
          <cell r="G35">
            <v>37859</v>
          </cell>
        </row>
        <row r="36">
          <cell r="A36" t="str">
            <v>0320645</v>
          </cell>
          <cell r="B36">
            <v>7246</v>
          </cell>
          <cell r="C36">
            <v>200</v>
          </cell>
          <cell r="D36" t="str">
            <v>Ster 5 1/4" S/B Scr/100</v>
          </cell>
          <cell r="E36" t="str">
            <v>INSP</v>
          </cell>
        </row>
        <row r="37">
          <cell r="A37" t="str">
            <v>0320648</v>
          </cell>
          <cell r="B37">
            <v>1426</v>
          </cell>
          <cell r="C37">
            <v>270</v>
          </cell>
          <cell r="D37" t="str">
            <v>GM25-402 Ster 2oz Bulb/50</v>
          </cell>
          <cell r="E37" t="str">
            <v>INSP</v>
          </cell>
          <cell r="F37" t="str">
            <v>B22669</v>
          </cell>
          <cell r="G37">
            <v>37855</v>
          </cell>
        </row>
        <row r="38">
          <cell r="A38" t="str">
            <v>0320649</v>
          </cell>
          <cell r="B38">
            <v>143</v>
          </cell>
          <cell r="C38">
            <v>360</v>
          </cell>
          <cell r="D38" t="str">
            <v>Ster 3oz Bulb Syringe/50</v>
          </cell>
          <cell r="E38" t="str">
            <v>INSP</v>
          </cell>
          <cell r="F38" t="str">
            <v>B22670</v>
          </cell>
          <cell r="G38">
            <v>37859</v>
          </cell>
        </row>
        <row r="39">
          <cell r="A39" t="str">
            <v>0320652</v>
          </cell>
          <cell r="B39">
            <v>718</v>
          </cell>
          <cell r="C39">
            <v>880</v>
          </cell>
          <cell r="D39" t="str">
            <v>Ster Suture Kit/50</v>
          </cell>
          <cell r="E39" t="str">
            <v>INSP</v>
          </cell>
          <cell r="F39" t="str">
            <v>B22673</v>
          </cell>
          <cell r="G39">
            <v>37860</v>
          </cell>
        </row>
        <row r="40">
          <cell r="A40" t="str">
            <v>0320653</v>
          </cell>
          <cell r="B40">
            <v>723</v>
          </cell>
          <cell r="C40">
            <v>880</v>
          </cell>
          <cell r="D40" t="str">
            <v>Ster Suture Removal/50</v>
          </cell>
          <cell r="E40" t="str">
            <v>INSP</v>
          </cell>
        </row>
        <row r="41">
          <cell r="A41" t="str">
            <v>0320654</v>
          </cell>
          <cell r="B41">
            <v>8807</v>
          </cell>
          <cell r="C41">
            <v>128</v>
          </cell>
          <cell r="D41" t="str">
            <v>M/{63198}Ster I V S/KIT50</v>
          </cell>
          <cell r="E41" t="str">
            <v>INSP</v>
          </cell>
          <cell r="F41" t="str">
            <v>B22606</v>
          </cell>
          <cell r="G41">
            <v>37853</v>
          </cell>
        </row>
        <row r="42">
          <cell r="A42" t="str">
            <v>0320657</v>
          </cell>
          <cell r="B42">
            <v>5862</v>
          </cell>
          <cell r="C42">
            <v>256</v>
          </cell>
          <cell r="D42" t="str">
            <v>GM#25-5862 Ster IV Kit/50</v>
          </cell>
          <cell r="E42" t="str">
            <v>INSP</v>
          </cell>
          <cell r="F42" t="str">
            <v>B22606</v>
          </cell>
          <cell r="G42">
            <v>37853</v>
          </cell>
        </row>
        <row r="43">
          <cell r="A43" t="str">
            <v>0320662</v>
          </cell>
          <cell r="B43">
            <v>2269</v>
          </cell>
          <cell r="C43">
            <v>10</v>
          </cell>
          <cell r="D43" t="str">
            <v>Ster S/B 51/2"Scissor/50c</v>
          </cell>
          <cell r="E43" t="str">
            <v>INSP</v>
          </cell>
          <cell r="F43" t="str">
            <v>B22608</v>
          </cell>
          <cell r="G43">
            <v>37862</v>
          </cell>
        </row>
        <row r="44">
          <cell r="A44" t="str">
            <v>0320663</v>
          </cell>
          <cell r="B44">
            <v>2544</v>
          </cell>
          <cell r="C44">
            <v>100</v>
          </cell>
          <cell r="D44" t="str">
            <v>Ster Nu Gauze Tray/50</v>
          </cell>
          <cell r="E44" t="str">
            <v>INSP</v>
          </cell>
          <cell r="F44" t="str">
            <v>B22609</v>
          </cell>
          <cell r="G44">
            <v>37859</v>
          </cell>
        </row>
        <row r="45">
          <cell r="A45" t="str">
            <v>0320670</v>
          </cell>
          <cell r="B45">
            <v>4331</v>
          </cell>
          <cell r="C45">
            <v>85</v>
          </cell>
          <cell r="D45" t="str">
            <v>Ster I.V.Start Kit /50cs</v>
          </cell>
          <cell r="E45" t="str">
            <v>INSP</v>
          </cell>
          <cell r="F45" t="str">
            <v>B22607</v>
          </cell>
          <cell r="G45">
            <v>37854</v>
          </cell>
        </row>
        <row r="46">
          <cell r="A46" t="str">
            <v>0320675</v>
          </cell>
          <cell r="B46">
            <v>818</v>
          </cell>
          <cell r="C46">
            <v>256</v>
          </cell>
          <cell r="D46" t="str">
            <v>Ster I.V. Start KIT 50/CS</v>
          </cell>
          <cell r="E46" t="str">
            <v>INSP</v>
          </cell>
          <cell r="F46" t="str">
            <v>B22607</v>
          </cell>
          <cell r="G46">
            <v>37854</v>
          </cell>
        </row>
        <row r="47">
          <cell r="A47" t="str">
            <v>0320676</v>
          </cell>
          <cell r="B47">
            <v>680</v>
          </cell>
          <cell r="C47">
            <v>40</v>
          </cell>
          <cell r="D47" t="str">
            <v>Ster O.R Utility Drape/50</v>
          </cell>
          <cell r="E47" t="str">
            <v>INSP</v>
          </cell>
          <cell r="F47" t="str">
            <v>B22668</v>
          </cell>
          <cell r="G47">
            <v>37858</v>
          </cell>
        </row>
        <row r="48">
          <cell r="A48" t="str">
            <v>0320677</v>
          </cell>
          <cell r="B48">
            <v>832</v>
          </cell>
          <cell r="C48">
            <v>42</v>
          </cell>
          <cell r="D48" t="str">
            <v>Ster CVC Dress Chg Ty/50c</v>
          </cell>
          <cell r="E48" t="str">
            <v>INSP</v>
          </cell>
          <cell r="F48" t="str">
            <v>B22606</v>
          </cell>
          <cell r="G48">
            <v>37853</v>
          </cell>
        </row>
        <row r="49">
          <cell r="A49" t="str">
            <v>0320678</v>
          </cell>
          <cell r="B49">
            <v>756</v>
          </cell>
          <cell r="C49">
            <v>50</v>
          </cell>
          <cell r="D49" t="str">
            <v>Ster Wound Closure T/20</v>
          </cell>
          <cell r="E49" t="str">
            <v>INSP</v>
          </cell>
          <cell r="F49" t="str">
            <v>B22606</v>
          </cell>
          <cell r="G49">
            <v>37853</v>
          </cell>
        </row>
        <row r="50">
          <cell r="A50" t="str">
            <v>0320681</v>
          </cell>
          <cell r="B50">
            <v>297</v>
          </cell>
          <cell r="C50">
            <v>196</v>
          </cell>
          <cell r="D50" t="str">
            <v>Ster Yank w/vent/ 50</v>
          </cell>
          <cell r="E50" t="str">
            <v>INSP</v>
          </cell>
          <cell r="F50" t="str">
            <v>B22667</v>
          </cell>
          <cell r="G50">
            <v>37853</v>
          </cell>
        </row>
        <row r="51">
          <cell r="A51" t="str">
            <v>0320682</v>
          </cell>
          <cell r="B51">
            <v>299</v>
          </cell>
          <cell r="C51">
            <v>196</v>
          </cell>
          <cell r="D51" t="str">
            <v>Ster Yank w/vent/bulb/50</v>
          </cell>
          <cell r="E51" t="str">
            <v>INSP</v>
          </cell>
          <cell r="F51" t="str">
            <v>B22667</v>
          </cell>
          <cell r="G51">
            <v>37853</v>
          </cell>
        </row>
        <row r="52">
          <cell r="A52" t="str">
            <v>0320684</v>
          </cell>
          <cell r="B52">
            <v>406</v>
          </cell>
          <cell r="C52">
            <v>900</v>
          </cell>
          <cell r="D52" t="str">
            <v>Ster 40cc Mucus Trap/24</v>
          </cell>
          <cell r="E52" t="str">
            <v>INSP</v>
          </cell>
        </row>
        <row r="53">
          <cell r="A53" t="str">
            <v>0320686</v>
          </cell>
          <cell r="B53">
            <v>729</v>
          </cell>
          <cell r="C53">
            <v>44</v>
          </cell>
          <cell r="D53" t="str">
            <v>Ster Suture Removal/50</v>
          </cell>
          <cell r="E53" t="str">
            <v>INSP</v>
          </cell>
          <cell r="F53" t="str">
            <v>B22609</v>
          </cell>
          <cell r="G53">
            <v>37859</v>
          </cell>
        </row>
        <row r="54">
          <cell r="A54" t="str">
            <v>0320687</v>
          </cell>
          <cell r="B54">
            <v>732</v>
          </cell>
          <cell r="C54">
            <v>145</v>
          </cell>
          <cell r="D54" t="str">
            <v>Ster Suture Removal/50</v>
          </cell>
          <cell r="E54" t="str">
            <v>INSP</v>
          </cell>
          <cell r="F54" t="str">
            <v>B22667</v>
          </cell>
          <cell r="G54">
            <v>37853</v>
          </cell>
        </row>
        <row r="55">
          <cell r="A55" t="str">
            <v>0320688</v>
          </cell>
          <cell r="B55">
            <v>7208</v>
          </cell>
          <cell r="C55">
            <v>88</v>
          </cell>
          <cell r="D55" t="str">
            <v>Abco#266000 Ster Srk /50</v>
          </cell>
          <cell r="E55" t="str">
            <v>INSP</v>
          </cell>
        </row>
        <row r="56">
          <cell r="A56" t="str">
            <v>0320689</v>
          </cell>
          <cell r="B56">
            <v>773</v>
          </cell>
          <cell r="C56">
            <v>116</v>
          </cell>
          <cell r="D56" t="str">
            <v>Ster 51/4"S/BluntN/S/50CS</v>
          </cell>
          <cell r="E56" t="str">
            <v>INSP</v>
          </cell>
        </row>
        <row r="57">
          <cell r="A57" t="str">
            <v>0320690</v>
          </cell>
          <cell r="B57">
            <v>7166</v>
          </cell>
          <cell r="C57">
            <v>128</v>
          </cell>
          <cell r="D57" t="str">
            <v>GM#25-716 Ster Stpl Rv/48</v>
          </cell>
          <cell r="E57" t="str">
            <v>INSP</v>
          </cell>
          <cell r="F57" t="str">
            <v>B22610</v>
          </cell>
          <cell r="G57">
            <v>37859</v>
          </cell>
        </row>
        <row r="58">
          <cell r="A58" t="str">
            <v>0320691</v>
          </cell>
          <cell r="B58">
            <v>141</v>
          </cell>
          <cell r="C58">
            <v>180</v>
          </cell>
          <cell r="D58" t="str">
            <v>Ster 1oz Bulb Syringe 50c</v>
          </cell>
          <cell r="E58" t="str">
            <v>INSP</v>
          </cell>
          <cell r="F58" t="str">
            <v>B22670</v>
          </cell>
          <cell r="G58">
            <v>37859</v>
          </cell>
        </row>
        <row r="59">
          <cell r="A59" t="str">
            <v>0320692</v>
          </cell>
          <cell r="B59">
            <v>5425</v>
          </cell>
          <cell r="C59">
            <v>528</v>
          </cell>
          <cell r="D59" t="str">
            <v>GM#25-5425 Ster SRK /50</v>
          </cell>
          <cell r="E59" t="str">
            <v>INSP</v>
          </cell>
        </row>
        <row r="60">
          <cell r="A60" t="str">
            <v>0320693</v>
          </cell>
          <cell r="B60">
            <v>5427</v>
          </cell>
          <cell r="C60">
            <v>528</v>
          </cell>
          <cell r="D60" t="str">
            <v>GM#25-5427 Ster SRK /50</v>
          </cell>
          <cell r="E60" t="str">
            <v>INSP</v>
          </cell>
          <cell r="F60" t="str">
            <v>B22667</v>
          </cell>
          <cell r="G60">
            <v>37853</v>
          </cell>
        </row>
        <row r="61">
          <cell r="A61" t="str">
            <v>0320694</v>
          </cell>
          <cell r="B61">
            <v>142</v>
          </cell>
          <cell r="C61">
            <v>540</v>
          </cell>
          <cell r="D61" t="str">
            <v>Ster 2oz Bulb Syringe/50</v>
          </cell>
          <cell r="E61" t="str">
            <v>INSP</v>
          </cell>
          <cell r="F61" t="str">
            <v>B22668</v>
          </cell>
          <cell r="G61">
            <v>37858</v>
          </cell>
        </row>
        <row r="62">
          <cell r="A62" t="str">
            <v>0320696</v>
          </cell>
          <cell r="B62">
            <v>4241</v>
          </cell>
          <cell r="C62">
            <v>75</v>
          </cell>
          <cell r="D62" t="str">
            <v>Ster Suture Removal Kit50</v>
          </cell>
          <cell r="E62" t="str">
            <v>INSP</v>
          </cell>
        </row>
        <row r="63">
          <cell r="A63" t="str">
            <v>0320701</v>
          </cell>
          <cell r="B63">
            <v>775</v>
          </cell>
          <cell r="C63">
            <v>48</v>
          </cell>
          <cell r="D63" t="str">
            <v>Ster 51/2"Str Kelly H /50</v>
          </cell>
          <cell r="E63" t="str">
            <v>INSP</v>
          </cell>
          <cell r="F63" t="str">
            <v>B22607</v>
          </cell>
          <cell r="G63">
            <v>37854</v>
          </cell>
        </row>
        <row r="64">
          <cell r="A64" t="str">
            <v>0320705</v>
          </cell>
          <cell r="B64">
            <v>755</v>
          </cell>
          <cell r="C64">
            <v>50</v>
          </cell>
          <cell r="D64" t="str">
            <v>Ster Instrument Tray/20</v>
          </cell>
          <cell r="E64" t="str">
            <v>INSP</v>
          </cell>
          <cell r="F64" t="str">
            <v>B22609</v>
          </cell>
          <cell r="G64">
            <v>37859</v>
          </cell>
        </row>
        <row r="65">
          <cell r="A65" t="str">
            <v>0320706</v>
          </cell>
          <cell r="B65">
            <v>510</v>
          </cell>
          <cell r="C65">
            <v>120</v>
          </cell>
          <cell r="D65" t="str">
            <v>Ster Catheter Plug/200</v>
          </cell>
          <cell r="E65" t="str">
            <v>INSP</v>
          </cell>
        </row>
        <row r="66">
          <cell r="A66" t="str">
            <v>0320715</v>
          </cell>
          <cell r="B66">
            <v>153</v>
          </cell>
          <cell r="C66">
            <v>288</v>
          </cell>
          <cell r="D66" t="str">
            <v>Ster 3/8"Tubing&amp;Handle/25</v>
          </cell>
          <cell r="E66" t="str">
            <v>INSP</v>
          </cell>
          <cell r="F66" t="str">
            <v>B22655</v>
          </cell>
          <cell r="G66">
            <v>37862</v>
          </cell>
        </row>
        <row r="67">
          <cell r="A67" t="str">
            <v>0320717</v>
          </cell>
          <cell r="B67">
            <v>4067</v>
          </cell>
          <cell r="C67">
            <v>130</v>
          </cell>
          <cell r="D67" t="str">
            <v>Ster SpTrapC30200-176 /24</v>
          </cell>
          <cell r="E67" t="str">
            <v>INSP</v>
          </cell>
        </row>
        <row r="68">
          <cell r="A68" t="str">
            <v>0320719</v>
          </cell>
          <cell r="B68">
            <v>509</v>
          </cell>
          <cell r="C68">
            <v>54</v>
          </cell>
          <cell r="D68" t="str">
            <v>Ster 6 in 1 Connector/120</v>
          </cell>
          <cell r="E68" t="str">
            <v>INSP</v>
          </cell>
          <cell r="F68" t="str">
            <v>B22672</v>
          </cell>
          <cell r="G68">
            <v>37861</v>
          </cell>
        </row>
        <row r="69">
          <cell r="A69" t="str">
            <v>0320722</v>
          </cell>
          <cell r="B69">
            <v>7166</v>
          </cell>
          <cell r="C69">
            <v>256</v>
          </cell>
          <cell r="D69" t="str">
            <v>GM#25-716 Ster Stpl Rv/48</v>
          </cell>
          <cell r="E69" t="str">
            <v>INSP</v>
          </cell>
        </row>
        <row r="70">
          <cell r="A70" t="str">
            <v>0320726</v>
          </cell>
          <cell r="B70">
            <v>2270</v>
          </cell>
          <cell r="C70">
            <v>10</v>
          </cell>
          <cell r="D70" t="str">
            <v>Ster 6'Str Mosq Hemo /50C</v>
          </cell>
          <cell r="E70" t="str">
            <v>INSP</v>
          </cell>
        </row>
        <row r="71">
          <cell r="A71" t="str">
            <v>0320727</v>
          </cell>
          <cell r="B71">
            <v>4144</v>
          </cell>
          <cell r="C71">
            <v>65</v>
          </cell>
          <cell r="D71" t="str">
            <v>Ster C/Line Dress Chg T50</v>
          </cell>
          <cell r="E71" t="str">
            <v>INSP</v>
          </cell>
          <cell r="F71" t="str">
            <v>B22607</v>
          </cell>
          <cell r="G71">
            <v>37854</v>
          </cell>
        </row>
        <row r="72">
          <cell r="A72" t="str">
            <v>0320728</v>
          </cell>
          <cell r="B72">
            <v>3005</v>
          </cell>
          <cell r="C72">
            <v>50</v>
          </cell>
          <cell r="D72" t="str">
            <v>Ster Central L/Dress T/50</v>
          </cell>
          <cell r="E72" t="str">
            <v>INSP</v>
          </cell>
          <cell r="F72" t="str">
            <v>B22610</v>
          </cell>
          <cell r="G72">
            <v>37859</v>
          </cell>
        </row>
        <row r="73">
          <cell r="A73" t="str">
            <v>0320739</v>
          </cell>
          <cell r="B73">
            <v>834</v>
          </cell>
          <cell r="C73">
            <v>42</v>
          </cell>
          <cell r="D73" t="str">
            <v>STER C/Line Dress C/Ty/50</v>
          </cell>
          <cell r="E73" t="str">
            <v>INSP</v>
          </cell>
          <cell r="F73" t="str">
            <v>B22607</v>
          </cell>
          <cell r="G73">
            <v>37854</v>
          </cell>
        </row>
        <row r="74">
          <cell r="A74" t="str">
            <v>0320745</v>
          </cell>
          <cell r="B74">
            <v>1540</v>
          </cell>
          <cell r="C74">
            <v>128</v>
          </cell>
          <cell r="D74" t="str">
            <v>Ster 10'x3/8"Tubing/10</v>
          </cell>
          <cell r="E74" t="str">
            <v>INSP</v>
          </cell>
        </row>
        <row r="75">
          <cell r="A75" t="str">
            <v>0320771</v>
          </cell>
          <cell r="B75">
            <v>501</v>
          </cell>
          <cell r="C75">
            <v>184</v>
          </cell>
          <cell r="D75" t="str">
            <v>Ster 5in1 Connector/200</v>
          </cell>
          <cell r="E75" t="str">
            <v>INSP</v>
          </cell>
        </row>
        <row r="76">
          <cell r="A76" t="str">
            <v>0330204</v>
          </cell>
          <cell r="B76">
            <v>8710</v>
          </cell>
          <cell r="C76">
            <v>30</v>
          </cell>
          <cell r="D76" t="str">
            <v>Ster Dress Chg Tray/30cs</v>
          </cell>
          <cell r="E76" t="str">
            <v>INSP</v>
          </cell>
          <cell r="F76" t="str">
            <v>B22607</v>
          </cell>
          <cell r="G76">
            <v>37854</v>
          </cell>
        </row>
        <row r="77">
          <cell r="A77" t="str">
            <v>0330206</v>
          </cell>
          <cell r="B77">
            <v>4117</v>
          </cell>
          <cell r="C77">
            <v>21</v>
          </cell>
          <cell r="D77" t="str">
            <v>Ster C/Line Dress Chg T30</v>
          </cell>
          <cell r="E77" t="str">
            <v>INSP</v>
          </cell>
          <cell r="F77" t="str">
            <v>B22609</v>
          </cell>
          <cell r="G77">
            <v>37859</v>
          </cell>
        </row>
        <row r="78">
          <cell r="A78" t="str">
            <v>0330211</v>
          </cell>
          <cell r="B78">
            <v>4386</v>
          </cell>
          <cell r="C78">
            <v>25</v>
          </cell>
          <cell r="D78" t="str">
            <v>Ster V.A.D. Access Kit/20</v>
          </cell>
          <cell r="E78" t="str">
            <v>INSP</v>
          </cell>
          <cell r="F78" t="str">
            <v>B22606</v>
          </cell>
          <cell r="G78">
            <v>37853</v>
          </cell>
        </row>
        <row r="79">
          <cell r="A79" t="str">
            <v>0330227</v>
          </cell>
          <cell r="B79">
            <v>8713</v>
          </cell>
          <cell r="C79">
            <v>40</v>
          </cell>
          <cell r="D79" t="str">
            <v>Ster Laceration Tray /20</v>
          </cell>
          <cell r="E79" t="str">
            <v>INSP</v>
          </cell>
          <cell r="F79" t="str">
            <v>B22606</v>
          </cell>
          <cell r="G79">
            <v>37853</v>
          </cell>
        </row>
        <row r="80">
          <cell r="A80" t="str">
            <v>0330228</v>
          </cell>
          <cell r="B80">
            <v>2230</v>
          </cell>
          <cell r="C80">
            <v>50</v>
          </cell>
          <cell r="D80" t="str">
            <v>Ster E.R.Laceration T/20C</v>
          </cell>
          <cell r="E80" t="str">
            <v>INSP</v>
          </cell>
          <cell r="F80" t="str">
            <v>B22608</v>
          </cell>
          <cell r="G80">
            <v>37862</v>
          </cell>
        </row>
        <row r="81">
          <cell r="A81" t="str">
            <v>0330229</v>
          </cell>
          <cell r="B81">
            <v>4392</v>
          </cell>
          <cell r="C81">
            <v>169</v>
          </cell>
          <cell r="D81" t="str">
            <v>SterE.R.Laceration Ty30cs</v>
          </cell>
          <cell r="E81" t="str">
            <v>INSP</v>
          </cell>
          <cell r="F81" t="str">
            <v>B22608</v>
          </cell>
          <cell r="G81">
            <v>37862</v>
          </cell>
        </row>
        <row r="82">
          <cell r="A82" t="str">
            <v>0330231</v>
          </cell>
          <cell r="B82">
            <v>4333</v>
          </cell>
          <cell r="C82">
            <v>20</v>
          </cell>
          <cell r="D82" t="str">
            <v>STER SUTURING TRAY /20</v>
          </cell>
          <cell r="E82" t="str">
            <v>INSP</v>
          </cell>
          <cell r="F82" t="str">
            <v>B22608</v>
          </cell>
          <cell r="G82">
            <v>37862</v>
          </cell>
        </row>
        <row r="83">
          <cell r="A83" t="str">
            <v>0330237</v>
          </cell>
          <cell r="B83">
            <v>8754</v>
          </cell>
          <cell r="C83">
            <v>15</v>
          </cell>
          <cell r="D83" t="str">
            <v>Sterile Suture Tray /30cs</v>
          </cell>
          <cell r="E83" t="str">
            <v>INSP</v>
          </cell>
        </row>
        <row r="84">
          <cell r="A84" t="str">
            <v>0330238</v>
          </cell>
          <cell r="B84">
            <v>1792</v>
          </cell>
          <cell r="C84">
            <v>30</v>
          </cell>
          <cell r="D84" t="str">
            <v>Ster Dress Change Tray/20</v>
          </cell>
          <cell r="E84" t="str">
            <v>INSP</v>
          </cell>
          <cell r="F84" t="str">
            <v>B22610</v>
          </cell>
          <cell r="G84">
            <v>37859</v>
          </cell>
        </row>
        <row r="85">
          <cell r="A85" t="str">
            <v>0330239</v>
          </cell>
          <cell r="B85">
            <v>8784</v>
          </cell>
          <cell r="C85">
            <v>60</v>
          </cell>
          <cell r="D85" t="str">
            <v>Ster Laceration Tray/20cs</v>
          </cell>
          <cell r="E85" t="str">
            <v>INSP</v>
          </cell>
        </row>
        <row r="86">
          <cell r="A86" t="str">
            <v>0330242</v>
          </cell>
          <cell r="B86">
            <v>749</v>
          </cell>
          <cell r="C86">
            <v>225</v>
          </cell>
          <cell r="D86" t="str">
            <v>Ster E.R.Laceration Ty 20</v>
          </cell>
          <cell r="E86" t="str">
            <v>INSP</v>
          </cell>
          <cell r="F86" t="str">
            <v>B22610</v>
          </cell>
          <cell r="G86">
            <v>37859</v>
          </cell>
        </row>
        <row r="87">
          <cell r="A87" t="str">
            <v>0330245</v>
          </cell>
          <cell r="B87">
            <v>2226</v>
          </cell>
          <cell r="C87">
            <v>15</v>
          </cell>
          <cell r="D87" t="str">
            <v>Ster Spec/Proced Tray 20c</v>
          </cell>
          <cell r="E87" t="str">
            <v>INSP</v>
          </cell>
          <cell r="F87" t="str">
            <v>B22606</v>
          </cell>
          <cell r="G87">
            <v>37853</v>
          </cell>
        </row>
        <row r="88">
          <cell r="A88" t="str">
            <v>0330246</v>
          </cell>
          <cell r="B88">
            <v>8127</v>
          </cell>
          <cell r="C88">
            <v>20</v>
          </cell>
          <cell r="D88" t="str">
            <v>Ster Dress Chg TrayY/20cs</v>
          </cell>
          <cell r="E88" t="str">
            <v>INSP</v>
          </cell>
          <cell r="F88" t="str">
            <v>B22606</v>
          </cell>
          <cell r="G88">
            <v>37853</v>
          </cell>
        </row>
        <row r="89">
          <cell r="A89" t="str">
            <v>0330260</v>
          </cell>
          <cell r="B89">
            <v>749</v>
          </cell>
          <cell r="C89">
            <v>225</v>
          </cell>
          <cell r="D89" t="str">
            <v>Ster E.R.Laceration Ty 20</v>
          </cell>
          <cell r="E89" t="str">
            <v>INSP</v>
          </cell>
        </row>
        <row r="90">
          <cell r="A90" t="str">
            <v>0330266</v>
          </cell>
          <cell r="B90">
            <v>749</v>
          </cell>
          <cell r="C90">
            <v>190</v>
          </cell>
          <cell r="D90" t="str">
            <v>Ster E.R.Laceration Ty 20</v>
          </cell>
          <cell r="E90" t="str">
            <v>INSP</v>
          </cell>
        </row>
        <row r="91">
          <cell r="A91" t="str">
            <v>0330330</v>
          </cell>
          <cell r="B91">
            <v>8180</v>
          </cell>
          <cell r="C91">
            <v>25</v>
          </cell>
          <cell r="D91" t="str">
            <v>Ster Dress Chg Tray/20cs</v>
          </cell>
          <cell r="E91" t="str">
            <v>INSP</v>
          </cell>
          <cell r="F91" t="str">
            <v>B22609</v>
          </cell>
          <cell r="G91">
            <v>37859</v>
          </cell>
        </row>
        <row r="92">
          <cell r="A92" t="str">
            <v>0340120</v>
          </cell>
          <cell r="B92">
            <v>696</v>
          </cell>
          <cell r="C92">
            <v>480</v>
          </cell>
          <cell r="D92" t="str">
            <v>Ster Polylined Drape/300</v>
          </cell>
          <cell r="E92" t="str">
            <v>INSP</v>
          </cell>
          <cell r="F92" t="str">
            <v>B22660</v>
          </cell>
          <cell r="G92">
            <v>37855</v>
          </cell>
        </row>
        <row r="93">
          <cell r="A93" t="str">
            <v>0340126</v>
          </cell>
          <cell r="B93">
            <v>6366</v>
          </cell>
          <cell r="C93">
            <v>480</v>
          </cell>
          <cell r="D93" t="str">
            <v>GM#25-515 Ster Towel/300</v>
          </cell>
          <cell r="E93" t="str">
            <v>INSP</v>
          </cell>
          <cell r="F93" t="str">
            <v>B22675</v>
          </cell>
          <cell r="G93">
            <v>37866</v>
          </cell>
        </row>
        <row r="94">
          <cell r="A94" t="str">
            <v>0340127</v>
          </cell>
          <cell r="B94">
            <v>696</v>
          </cell>
          <cell r="C94">
            <v>477</v>
          </cell>
          <cell r="D94" t="str">
            <v>Ster Polylined Drape/300</v>
          </cell>
          <cell r="E94" t="str">
            <v>INSP</v>
          </cell>
          <cell r="F94" t="str">
            <v>B22663</v>
          </cell>
          <cell r="G94">
            <v>37854</v>
          </cell>
        </row>
        <row r="95">
          <cell r="A95" t="str">
            <v>0340128</v>
          </cell>
          <cell r="B95">
            <v>697</v>
          </cell>
          <cell r="C95">
            <v>200</v>
          </cell>
          <cell r="D95" t="str">
            <v>Ster Fenstrated Drape/300</v>
          </cell>
          <cell r="E95" t="str">
            <v>INSP</v>
          </cell>
          <cell r="F95" t="str">
            <v>B22671</v>
          </cell>
          <cell r="G95">
            <v>37858</v>
          </cell>
        </row>
        <row r="96">
          <cell r="A96" t="str">
            <v>0340129</v>
          </cell>
          <cell r="B96">
            <v>6367</v>
          </cell>
          <cell r="C96">
            <v>200</v>
          </cell>
          <cell r="D96" t="str">
            <v>GM#25-517 Ster Fn Twl/300</v>
          </cell>
          <cell r="E96" t="str">
            <v>INSP</v>
          </cell>
          <cell r="F96" t="str">
            <v>B22668</v>
          </cell>
          <cell r="G96">
            <v>37858</v>
          </cell>
        </row>
        <row r="97">
          <cell r="A97" t="str">
            <v>0340130</v>
          </cell>
          <cell r="B97">
            <v>6366</v>
          </cell>
          <cell r="C97">
            <v>480</v>
          </cell>
          <cell r="D97" t="str">
            <v>GM#25-515 Ster Towel/300</v>
          </cell>
          <cell r="E97" t="str">
            <v>INSP</v>
          </cell>
          <cell r="F97" t="str">
            <v>B22666</v>
          </cell>
          <cell r="G97">
            <v>37854</v>
          </cell>
        </row>
        <row r="98">
          <cell r="A98" t="str">
            <v>0340131</v>
          </cell>
          <cell r="B98">
            <v>696</v>
          </cell>
          <cell r="C98">
            <v>480</v>
          </cell>
          <cell r="D98" t="str">
            <v>Ster Polylined Drape/300</v>
          </cell>
          <cell r="E98" t="str">
            <v>INSP</v>
          </cell>
        </row>
        <row r="99">
          <cell r="A99" t="str">
            <v>0340132</v>
          </cell>
          <cell r="B99">
            <v>6116</v>
          </cell>
          <cell r="C99">
            <v>200</v>
          </cell>
          <cell r="D99" t="str">
            <v>Abco#611696 Ster Twl/300</v>
          </cell>
          <cell r="E99" t="str">
            <v>INSP</v>
          </cell>
          <cell r="F99" t="str">
            <v>B22669</v>
          </cell>
          <cell r="G99">
            <v>37855</v>
          </cell>
        </row>
        <row r="100">
          <cell r="A100" t="str">
            <v>0340133</v>
          </cell>
          <cell r="B100">
            <v>6117</v>
          </cell>
          <cell r="C100">
            <v>50</v>
          </cell>
          <cell r="D100" t="str">
            <v>Abco#611697 Ster FTwl/300</v>
          </cell>
          <cell r="E100" t="str">
            <v>INSP</v>
          </cell>
          <cell r="F100" t="str">
            <v>B22672</v>
          </cell>
          <cell r="G100">
            <v>37861</v>
          </cell>
        </row>
        <row r="101">
          <cell r="A101" t="str">
            <v>0340135</v>
          </cell>
          <cell r="B101">
            <v>6466</v>
          </cell>
          <cell r="C101">
            <v>212</v>
          </cell>
          <cell r="D101" t="str">
            <v>Schn#1009687 Ster Twl/300</v>
          </cell>
          <cell r="E101" t="str">
            <v>INSP</v>
          </cell>
          <cell r="F101" t="str">
            <v>B22673</v>
          </cell>
          <cell r="G101">
            <v>37860</v>
          </cell>
        </row>
        <row r="102">
          <cell r="A102" t="str">
            <v>0340138</v>
          </cell>
          <cell r="B102">
            <v>6367</v>
          </cell>
          <cell r="C102">
            <v>182</v>
          </cell>
          <cell r="D102" t="str">
            <v>GM#25-517 Ster Fn Twl/300</v>
          </cell>
          <cell r="E102" t="str">
            <v>INSP</v>
          </cell>
        </row>
        <row r="103">
          <cell r="A103" t="str">
            <v>0340139</v>
          </cell>
          <cell r="B103">
            <v>696</v>
          </cell>
          <cell r="C103">
            <v>49</v>
          </cell>
          <cell r="D103" t="str">
            <v>Ster Polylined Drape/300</v>
          </cell>
          <cell r="E103" t="str">
            <v>INSP</v>
          </cell>
        </row>
        <row r="105">
          <cell r="A105" t="str">
            <v>0330227</v>
          </cell>
          <cell r="B105">
            <v>8713</v>
          </cell>
          <cell r="C105">
            <v>40</v>
          </cell>
          <cell r="D105" t="str">
            <v>Ster Laceration Tray /20</v>
          </cell>
          <cell r="E105" t="str">
            <v>INSP</v>
          </cell>
          <cell r="F105" t="str">
            <v>B22606</v>
          </cell>
          <cell r="G105">
            <v>37854</v>
          </cell>
        </row>
        <row r="106">
          <cell r="A106" t="str">
            <v>0330236</v>
          </cell>
          <cell r="B106">
            <v>386</v>
          </cell>
          <cell r="C106">
            <v>36</v>
          </cell>
          <cell r="D106" t="str">
            <v>Ster Circumcision Tray10c</v>
          </cell>
          <cell r="E106" t="str">
            <v>INSP</v>
          </cell>
          <cell r="F106" t="str">
            <v>B22602</v>
          </cell>
          <cell r="G106">
            <v>37845</v>
          </cell>
        </row>
        <row r="107">
          <cell r="A107" t="str">
            <v>0330245</v>
          </cell>
          <cell r="B107">
            <v>2226</v>
          </cell>
          <cell r="C107">
            <v>15</v>
          </cell>
          <cell r="D107" t="str">
            <v>Ster Spec/Proced Tray 20c</v>
          </cell>
          <cell r="E107" t="str">
            <v>INSP</v>
          </cell>
          <cell r="F107" t="str">
            <v>B22606</v>
          </cell>
          <cell r="G107">
            <v>37854</v>
          </cell>
        </row>
        <row r="108">
          <cell r="A108" t="str">
            <v>0330246</v>
          </cell>
          <cell r="B108">
            <v>8127</v>
          </cell>
          <cell r="C108">
            <v>20</v>
          </cell>
          <cell r="D108" t="str">
            <v>Ster Dress Chg TrayY/20cs</v>
          </cell>
          <cell r="E108" t="str">
            <v>INSP</v>
          </cell>
          <cell r="F108" t="str">
            <v>B22606</v>
          </cell>
          <cell r="G108">
            <v>37854</v>
          </cell>
        </row>
        <row r="109">
          <cell r="A109" t="str">
            <v>0340084</v>
          </cell>
          <cell r="B109">
            <v>6964</v>
          </cell>
          <cell r="C109">
            <v>40</v>
          </cell>
          <cell r="D109" t="str">
            <v>Moore#14171 Ster FTwl/300</v>
          </cell>
          <cell r="E109" t="str">
            <v>INSP</v>
          </cell>
          <cell r="F109" t="str">
            <v>B22662</v>
          </cell>
          <cell r="G109">
            <v>37846</v>
          </cell>
        </row>
        <row r="110">
          <cell r="A110" t="str">
            <v>0340104</v>
          </cell>
          <cell r="B110">
            <v>6367</v>
          </cell>
          <cell r="C110">
            <v>200</v>
          </cell>
          <cell r="D110" t="str">
            <v>GM#25-517 Ster Fn Twl/300</v>
          </cell>
          <cell r="E110" t="str">
            <v>INSP</v>
          </cell>
          <cell r="F110" t="str">
            <v>B22627</v>
          </cell>
          <cell r="G110">
            <v>37841</v>
          </cell>
        </row>
        <row r="111">
          <cell r="A111" t="str">
            <v>0340107</v>
          </cell>
          <cell r="B111" t="str">
            <v>97-99687</v>
          </cell>
          <cell r="C111">
            <v>355</v>
          </cell>
          <cell r="D111" t="str">
            <v>Ster DE P/Lined N/F T/300</v>
          </cell>
          <cell r="E111" t="str">
            <v>INSP</v>
          </cell>
          <cell r="F111" t="str">
            <v>B22625</v>
          </cell>
          <cell r="G111">
            <v>37845</v>
          </cell>
        </row>
        <row r="112">
          <cell r="A112" t="str">
            <v>0340111</v>
          </cell>
          <cell r="B112">
            <v>6366</v>
          </cell>
          <cell r="C112">
            <v>200</v>
          </cell>
          <cell r="D112" t="str">
            <v>GM#25-515 Ster Towel/300</v>
          </cell>
          <cell r="E112" t="str">
            <v>INSP</v>
          </cell>
          <cell r="F112" t="str">
            <v>B22659</v>
          </cell>
          <cell r="G112">
            <v>37841</v>
          </cell>
        </row>
        <row r="113">
          <cell r="A113" t="str">
            <v>0340112</v>
          </cell>
          <cell r="B113">
            <v>697</v>
          </cell>
          <cell r="C113">
            <v>200</v>
          </cell>
          <cell r="D113" t="str">
            <v>Ster Fenstrated Drape/300</v>
          </cell>
          <cell r="E113" t="str">
            <v>INSP</v>
          </cell>
          <cell r="F113" t="str">
            <v>B22626</v>
          </cell>
          <cell r="G113">
            <v>37845</v>
          </cell>
        </row>
        <row r="114">
          <cell r="A114" t="str">
            <v>0340115</v>
          </cell>
          <cell r="B114">
            <v>6466</v>
          </cell>
          <cell r="C114">
            <v>324</v>
          </cell>
          <cell r="D114" t="str">
            <v>Schn#1009687 Ster Twl/300</v>
          </cell>
          <cell r="E114" t="str">
            <v>INSP</v>
          </cell>
          <cell r="F114" t="str">
            <v>B22661</v>
          </cell>
          <cell r="G114">
            <v>37848</v>
          </cell>
        </row>
        <row r="115">
          <cell r="A115" t="str">
            <v>0340116</v>
          </cell>
          <cell r="B115">
            <v>5564</v>
          </cell>
          <cell r="C115">
            <v>84</v>
          </cell>
          <cell r="D115" t="str">
            <v>Ster HS/CE 100-3039/T/300</v>
          </cell>
          <cell r="E115" t="str">
            <v>INSP</v>
          </cell>
          <cell r="F115" t="str">
            <v>B22661</v>
          </cell>
          <cell r="G115">
            <v>37848</v>
          </cell>
        </row>
        <row r="116">
          <cell r="A116" t="str">
            <v>0340118</v>
          </cell>
          <cell r="B116">
            <v>6963</v>
          </cell>
          <cell r="C116">
            <v>120</v>
          </cell>
          <cell r="D116" t="str">
            <v>Moore#14170 Ster Twl/300</v>
          </cell>
          <cell r="E116" t="str">
            <v>INSP</v>
          </cell>
          <cell r="F116" t="str">
            <v>B22664</v>
          </cell>
          <cell r="G116">
            <v>37847</v>
          </cell>
        </row>
        <row r="117">
          <cell r="A117" t="str">
            <v>0340119</v>
          </cell>
          <cell r="B117">
            <v>696</v>
          </cell>
          <cell r="C117">
            <v>440</v>
          </cell>
          <cell r="D117" t="str">
            <v>Ster Polylined Drape/300</v>
          </cell>
          <cell r="E117" t="str">
            <v>INSP</v>
          </cell>
          <cell r="F117" t="str">
            <v>B22629</v>
          </cell>
          <cell r="G117">
            <v>37845</v>
          </cell>
        </row>
        <row r="118">
          <cell r="A118" t="str">
            <v>0340120</v>
          </cell>
          <cell r="B118">
            <v>696</v>
          </cell>
          <cell r="C118">
            <v>480</v>
          </cell>
          <cell r="D118" t="str">
            <v>Ster Polylined Drape/300</v>
          </cell>
          <cell r="E118" t="str">
            <v>INSP</v>
          </cell>
          <cell r="F118" t="str">
            <v>B22660</v>
          </cell>
          <cell r="G118">
            <v>37852</v>
          </cell>
        </row>
        <row r="119">
          <cell r="A119" t="str">
            <v>0340122</v>
          </cell>
          <cell r="B119">
            <v>6466</v>
          </cell>
          <cell r="C119">
            <v>180</v>
          </cell>
          <cell r="D119" t="str">
            <v>Schn#1009687 Ster Twl/300</v>
          </cell>
          <cell r="E119" t="str">
            <v>INSP</v>
          </cell>
          <cell r="F119" t="str">
            <v>B22662</v>
          </cell>
          <cell r="G119">
            <v>37846</v>
          </cell>
        </row>
        <row r="120">
          <cell r="A120" t="str">
            <v>0340127</v>
          </cell>
          <cell r="B120">
            <v>696</v>
          </cell>
          <cell r="C120">
            <v>477</v>
          </cell>
          <cell r="D120" t="str">
            <v>Ster Polylined Drape/300</v>
          </cell>
          <cell r="E120" t="str">
            <v>INSP</v>
          </cell>
          <cell r="F120" t="str">
            <v>B22663</v>
          </cell>
          <cell r="G120">
            <v>37854</v>
          </cell>
        </row>
        <row r="121">
          <cell r="A121" t="str">
            <v>0340129</v>
          </cell>
          <cell r="B121">
            <v>6367</v>
          </cell>
          <cell r="C121">
            <v>200</v>
          </cell>
          <cell r="D121" t="str">
            <v>GM#25-517 Ster Fn Twl/300</v>
          </cell>
          <cell r="E121" t="str">
            <v>INSP</v>
          </cell>
          <cell r="F121" t="str">
            <v>B22668</v>
          </cell>
          <cell r="G121">
            <v>37858</v>
          </cell>
        </row>
        <row r="122">
          <cell r="A122" t="str">
            <v>0340130</v>
          </cell>
          <cell r="B122">
            <v>6366</v>
          </cell>
          <cell r="C122">
            <v>480</v>
          </cell>
          <cell r="D122" t="str">
            <v>GM#25-515 Ster Towel/300</v>
          </cell>
          <cell r="E122" t="str">
            <v>INSP</v>
          </cell>
          <cell r="F122" t="str">
            <v>B22666</v>
          </cell>
          <cell r="G122">
            <v>37853</v>
          </cell>
        </row>
        <row r="123">
          <cell r="A123" t="str">
            <v>0340132</v>
          </cell>
          <cell r="B123">
            <v>6116</v>
          </cell>
          <cell r="C123">
            <v>200</v>
          </cell>
          <cell r="D123" t="str">
            <v>Abco#611696 Ster Twl/300</v>
          </cell>
          <cell r="E123" t="str">
            <v>INSP</v>
          </cell>
        </row>
        <row r="124">
          <cell r="A124" t="str">
            <v>0350005</v>
          </cell>
          <cell r="B124">
            <v>707</v>
          </cell>
          <cell r="C124">
            <v>384</v>
          </cell>
          <cell r="D124" t="str">
            <v>Ster Trach Dress/300</v>
          </cell>
          <cell r="E124" t="str">
            <v>INSP</v>
          </cell>
          <cell r="F124" t="str">
            <v>B22605</v>
          </cell>
          <cell r="G124">
            <v>37847</v>
          </cell>
        </row>
        <row r="125">
          <cell r="A125" t="str">
            <v>0340128</v>
          </cell>
          <cell r="B125">
            <v>697</v>
          </cell>
          <cell r="C125">
            <v>200</v>
          </cell>
          <cell r="D125" t="str">
            <v>18" X 26" STER/FIELD B/W/T FENESTRATED L/F</v>
          </cell>
          <cell r="F125" t="str">
            <v>B22671</v>
          </cell>
        </row>
        <row r="126">
          <cell r="A126" t="str">
            <v>0310177</v>
          </cell>
          <cell r="B126">
            <v>715</v>
          </cell>
          <cell r="C126">
            <v>315</v>
          </cell>
          <cell r="D126" t="str">
            <v>Tracheostomy care set/ ster L/F</v>
          </cell>
          <cell r="F126" t="str">
            <v>B22671</v>
          </cell>
        </row>
        <row r="127">
          <cell r="A127" t="str">
            <v>0370024</v>
          </cell>
          <cell r="B127">
            <v>401</v>
          </cell>
          <cell r="C127">
            <v>240</v>
          </cell>
          <cell r="D127" t="str">
            <v>Ster 35oz Sponge Bowl L/F</v>
          </cell>
          <cell r="F127" t="str">
            <v>B21987</v>
          </cell>
        </row>
        <row r="128">
          <cell r="A128" t="str">
            <v>0370025</v>
          </cell>
          <cell r="B128">
            <v>401</v>
          </cell>
          <cell r="C128">
            <v>240</v>
          </cell>
          <cell r="D128" t="str">
            <v>Ster 35oz Sponge Bowl L/F</v>
          </cell>
          <cell r="F128" t="str">
            <v>B21988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CAT #</v>
          </cell>
          <cell r="B1" t="str">
            <v>Current Sterilization Method</v>
          </cell>
        </row>
        <row r="3">
          <cell r="A3">
            <v>133</v>
          </cell>
          <cell r="B3" t="str">
            <v>CLASS 1</v>
          </cell>
        </row>
        <row r="4">
          <cell r="A4">
            <v>134</v>
          </cell>
          <cell r="B4" t="str">
            <v>CLASS 1</v>
          </cell>
        </row>
        <row r="5">
          <cell r="A5">
            <v>135</v>
          </cell>
          <cell r="B5" t="str">
            <v>CLASS 1</v>
          </cell>
        </row>
        <row r="6">
          <cell r="A6">
            <v>136</v>
          </cell>
          <cell r="B6" t="str">
            <v>CLASS 1</v>
          </cell>
        </row>
        <row r="7">
          <cell r="A7">
            <v>137</v>
          </cell>
          <cell r="B7" t="str">
            <v>CLASS 1</v>
          </cell>
        </row>
        <row r="8">
          <cell r="A8">
            <v>138</v>
          </cell>
          <cell r="B8" t="str">
            <v>CLASS 1</v>
          </cell>
        </row>
        <row r="9">
          <cell r="A9">
            <v>139</v>
          </cell>
          <cell r="B9" t="str">
            <v>CLASS 3</v>
          </cell>
        </row>
        <row r="10">
          <cell r="A10">
            <v>141</v>
          </cell>
          <cell r="B10" t="str">
            <v>CLASS 1</v>
          </cell>
        </row>
        <row r="11">
          <cell r="A11">
            <v>142</v>
          </cell>
          <cell r="B11" t="str">
            <v>CLASS 1</v>
          </cell>
        </row>
        <row r="12">
          <cell r="A12">
            <v>143</v>
          </cell>
          <cell r="B12" t="str">
            <v>CLASS 1</v>
          </cell>
        </row>
        <row r="13">
          <cell r="A13">
            <v>148</v>
          </cell>
          <cell r="B13" t="str">
            <v>CLASS 1</v>
          </cell>
        </row>
        <row r="14">
          <cell r="A14">
            <v>149</v>
          </cell>
          <cell r="B14" t="str">
            <v>CLASS 1</v>
          </cell>
        </row>
        <row r="15">
          <cell r="A15">
            <v>150</v>
          </cell>
          <cell r="B15" t="str">
            <v>CLASS 1</v>
          </cell>
        </row>
        <row r="16">
          <cell r="A16">
            <v>151</v>
          </cell>
          <cell r="B16" t="str">
            <v>CLASS 1</v>
          </cell>
        </row>
        <row r="17">
          <cell r="A17">
            <v>153</v>
          </cell>
          <cell r="B17" t="str">
            <v>CLASS 1</v>
          </cell>
        </row>
        <row r="18">
          <cell r="A18">
            <v>154</v>
          </cell>
          <cell r="B18" t="str">
            <v>CLASS 1</v>
          </cell>
        </row>
        <row r="19">
          <cell r="A19">
            <v>155</v>
          </cell>
          <cell r="B19" t="str">
            <v>CLASS 1</v>
          </cell>
        </row>
        <row r="20">
          <cell r="A20">
            <v>157</v>
          </cell>
          <cell r="B20" t="str">
            <v>CLASS 1</v>
          </cell>
        </row>
        <row r="21">
          <cell r="A21">
            <v>162</v>
          </cell>
          <cell r="B21" t="str">
            <v>CLASS 1</v>
          </cell>
        </row>
        <row r="22">
          <cell r="A22">
            <v>163</v>
          </cell>
          <cell r="B22" t="str">
            <v>CLASS 1</v>
          </cell>
        </row>
        <row r="23">
          <cell r="A23">
            <v>164</v>
          </cell>
          <cell r="B23" t="str">
            <v>CLASS 1</v>
          </cell>
        </row>
        <row r="24">
          <cell r="A24">
            <v>165</v>
          </cell>
          <cell r="B24" t="str">
            <v>CLASS 1</v>
          </cell>
        </row>
        <row r="25">
          <cell r="A25">
            <v>167</v>
          </cell>
          <cell r="B25" t="str">
            <v>CLASS 1</v>
          </cell>
        </row>
        <row r="26">
          <cell r="A26">
            <v>198</v>
          </cell>
          <cell r="B26" t="str">
            <v>N/Ster</v>
          </cell>
        </row>
        <row r="27">
          <cell r="A27">
            <v>206</v>
          </cell>
          <cell r="B27" t="str">
            <v>EO PROCESSED</v>
          </cell>
        </row>
        <row r="28">
          <cell r="A28">
            <v>207</v>
          </cell>
          <cell r="B28" t="str">
            <v>EO PROCESSED</v>
          </cell>
        </row>
        <row r="29">
          <cell r="A29">
            <v>208</v>
          </cell>
          <cell r="B29" t="str">
            <v>EO PROCESSED</v>
          </cell>
        </row>
        <row r="30">
          <cell r="A30">
            <v>209</v>
          </cell>
          <cell r="B30" t="str">
            <v>EO PROCESSED</v>
          </cell>
        </row>
        <row r="31">
          <cell r="A31">
            <v>279</v>
          </cell>
          <cell r="B31" t="str">
            <v>CLASS 1</v>
          </cell>
        </row>
        <row r="32">
          <cell r="A32">
            <v>280</v>
          </cell>
          <cell r="B32" t="str">
            <v>CLASS 1</v>
          </cell>
        </row>
        <row r="33">
          <cell r="A33">
            <v>281</v>
          </cell>
          <cell r="B33" t="str">
            <v>CLASS 1</v>
          </cell>
        </row>
        <row r="34">
          <cell r="A34">
            <v>282</v>
          </cell>
          <cell r="B34" t="str">
            <v>CLASS 1</v>
          </cell>
        </row>
        <row r="35">
          <cell r="A35">
            <v>283</v>
          </cell>
          <cell r="B35" t="str">
            <v>CLASS 1</v>
          </cell>
        </row>
        <row r="36">
          <cell r="A36">
            <v>284</v>
          </cell>
          <cell r="B36" t="str">
            <v>CLASS 1</v>
          </cell>
        </row>
        <row r="37">
          <cell r="A37">
            <v>285</v>
          </cell>
          <cell r="B37" t="str">
            <v>CLASS 3</v>
          </cell>
        </row>
        <row r="38">
          <cell r="A38">
            <v>290</v>
          </cell>
          <cell r="B38" t="str">
            <v>CLASS 1</v>
          </cell>
        </row>
        <row r="39">
          <cell r="A39">
            <v>291</v>
          </cell>
          <cell r="B39" t="str">
            <v>CLASS 1</v>
          </cell>
        </row>
        <row r="40">
          <cell r="A40">
            <v>296</v>
          </cell>
          <cell r="B40" t="str">
            <v>CLASS 1</v>
          </cell>
        </row>
        <row r="41">
          <cell r="A41">
            <v>297</v>
          </cell>
          <cell r="B41" t="str">
            <v>CLASS 1</v>
          </cell>
        </row>
        <row r="42">
          <cell r="A42">
            <v>298</v>
          </cell>
          <cell r="B42" t="str">
            <v>CLASS 1</v>
          </cell>
        </row>
        <row r="43">
          <cell r="A43">
            <v>299</v>
          </cell>
          <cell r="B43" t="str">
            <v>CLASS 1</v>
          </cell>
        </row>
        <row r="44">
          <cell r="A44">
            <v>302</v>
          </cell>
          <cell r="B44" t="str">
            <v>CLASS 1</v>
          </cell>
        </row>
        <row r="45">
          <cell r="A45">
            <v>303</v>
          </cell>
          <cell r="B45" t="str">
            <v>CLASS 1</v>
          </cell>
        </row>
        <row r="46">
          <cell r="A46">
            <v>305</v>
          </cell>
          <cell r="B46" t="str">
            <v>CLASS 1</v>
          </cell>
        </row>
        <row r="47">
          <cell r="A47">
            <v>384</v>
          </cell>
          <cell r="B47" t="str">
            <v>CLASS 3</v>
          </cell>
        </row>
        <row r="48">
          <cell r="A48">
            <v>388</v>
          </cell>
          <cell r="B48" t="str">
            <v>N/Ster</v>
          </cell>
        </row>
        <row r="49">
          <cell r="A49">
            <v>389</v>
          </cell>
          <cell r="B49" t="str">
            <v>N/Ster</v>
          </cell>
        </row>
        <row r="50">
          <cell r="A50">
            <v>405</v>
          </cell>
          <cell r="B50" t="str">
            <v>CLASS 1</v>
          </cell>
        </row>
        <row r="51">
          <cell r="A51">
            <v>406</v>
          </cell>
          <cell r="B51" t="str">
            <v>CLASS 1</v>
          </cell>
        </row>
        <row r="52">
          <cell r="A52">
            <v>407</v>
          </cell>
          <cell r="B52" t="str">
            <v>CLASS 1</v>
          </cell>
        </row>
        <row r="53">
          <cell r="A53">
            <v>501</v>
          </cell>
          <cell r="B53" t="str">
            <v>CLASS 1</v>
          </cell>
        </row>
        <row r="54">
          <cell r="A54">
            <v>502</v>
          </cell>
          <cell r="B54" t="str">
            <v>CLASS 1</v>
          </cell>
        </row>
        <row r="55">
          <cell r="A55">
            <v>503</v>
          </cell>
          <cell r="B55" t="str">
            <v>CLASS 1</v>
          </cell>
        </row>
        <row r="56">
          <cell r="A56">
            <v>504</v>
          </cell>
          <cell r="B56" t="str">
            <v>CLASS 1</v>
          </cell>
        </row>
        <row r="57">
          <cell r="A57">
            <v>505</v>
          </cell>
          <cell r="B57" t="str">
            <v>CLASS 1</v>
          </cell>
        </row>
        <row r="58">
          <cell r="A58">
            <v>506</v>
          </cell>
          <cell r="B58" t="str">
            <v>CLASS 1</v>
          </cell>
        </row>
        <row r="59">
          <cell r="A59">
            <v>507</v>
          </cell>
          <cell r="B59" t="str">
            <v>CLASS 1</v>
          </cell>
        </row>
        <row r="60">
          <cell r="A60">
            <v>508</v>
          </cell>
          <cell r="B60" t="str">
            <v>CLASS 1</v>
          </cell>
        </row>
        <row r="61">
          <cell r="A61">
            <v>509</v>
          </cell>
          <cell r="B61" t="str">
            <v>CLASS 1</v>
          </cell>
        </row>
        <row r="62">
          <cell r="A62">
            <v>510</v>
          </cell>
          <cell r="B62" t="str">
            <v>CLASS 1</v>
          </cell>
        </row>
        <row r="63">
          <cell r="A63">
            <v>680</v>
          </cell>
          <cell r="B63" t="str">
            <v>CLASS 1</v>
          </cell>
        </row>
        <row r="64">
          <cell r="A64">
            <v>696</v>
          </cell>
          <cell r="B64" t="str">
            <v>CLASS 1</v>
          </cell>
        </row>
        <row r="65">
          <cell r="A65">
            <v>697</v>
          </cell>
          <cell r="B65" t="str">
            <v>CLASS 1</v>
          </cell>
        </row>
        <row r="66">
          <cell r="A66">
            <v>698</v>
          </cell>
          <cell r="B66" t="str">
            <v>CLASS 1</v>
          </cell>
        </row>
        <row r="67">
          <cell r="A67">
            <v>703</v>
          </cell>
          <cell r="B67" t="str">
            <v>CLASS 1</v>
          </cell>
        </row>
        <row r="68">
          <cell r="A68">
            <v>706</v>
          </cell>
          <cell r="B68" t="str">
            <v>CLASS 1</v>
          </cell>
        </row>
        <row r="69">
          <cell r="A69">
            <v>707</v>
          </cell>
          <cell r="B69" t="str">
            <v>CLASS 3</v>
          </cell>
        </row>
        <row r="70">
          <cell r="A70">
            <v>710</v>
          </cell>
          <cell r="B70" t="str">
            <v>CLASS 1</v>
          </cell>
        </row>
        <row r="71">
          <cell r="A71">
            <v>711</v>
          </cell>
          <cell r="B71" t="str">
            <v>CLASS 1</v>
          </cell>
        </row>
        <row r="72">
          <cell r="A72">
            <v>713</v>
          </cell>
          <cell r="B72" t="str">
            <v>CLASS 1</v>
          </cell>
        </row>
        <row r="73">
          <cell r="A73">
            <v>714</v>
          </cell>
          <cell r="B73" t="str">
            <v>CLASS 3</v>
          </cell>
        </row>
        <row r="74">
          <cell r="A74">
            <v>715</v>
          </cell>
          <cell r="B74" t="str">
            <v>CLASS 1</v>
          </cell>
        </row>
        <row r="75">
          <cell r="A75">
            <v>716</v>
          </cell>
          <cell r="B75" t="str">
            <v>CLASS 3</v>
          </cell>
        </row>
        <row r="76">
          <cell r="A76">
            <v>717</v>
          </cell>
          <cell r="B76" t="str">
            <v>CLASS 1</v>
          </cell>
        </row>
        <row r="77">
          <cell r="A77">
            <v>718</v>
          </cell>
          <cell r="B77" t="str">
            <v>CLASS 1</v>
          </cell>
        </row>
        <row r="78">
          <cell r="A78">
            <v>723</v>
          </cell>
          <cell r="B78" t="str">
            <v>CLASS 3</v>
          </cell>
        </row>
        <row r="79">
          <cell r="A79">
            <v>724</v>
          </cell>
          <cell r="B79" t="str">
            <v>CLASS 3</v>
          </cell>
        </row>
        <row r="80">
          <cell r="A80">
            <v>726</v>
          </cell>
          <cell r="B80" t="str">
            <v>CLASS 3</v>
          </cell>
        </row>
        <row r="81">
          <cell r="A81">
            <v>729</v>
          </cell>
          <cell r="B81" t="str">
            <v>CLASS 3</v>
          </cell>
        </row>
        <row r="82">
          <cell r="A82">
            <v>732</v>
          </cell>
          <cell r="B82" t="str">
            <v>CLASS 1</v>
          </cell>
        </row>
        <row r="83">
          <cell r="A83">
            <v>737</v>
          </cell>
          <cell r="B83" t="str">
            <v>CLASS 3</v>
          </cell>
        </row>
        <row r="84">
          <cell r="A84">
            <v>744</v>
          </cell>
          <cell r="B84" t="str">
            <v>CLASS 3</v>
          </cell>
        </row>
        <row r="85">
          <cell r="A85">
            <v>746</v>
          </cell>
          <cell r="B85" t="str">
            <v>CLASS 3</v>
          </cell>
        </row>
        <row r="86">
          <cell r="A86">
            <v>747</v>
          </cell>
          <cell r="B86" t="str">
            <v>CLASS 3</v>
          </cell>
        </row>
        <row r="87">
          <cell r="A87">
            <v>748</v>
          </cell>
          <cell r="B87" t="str">
            <v>CLASS 3</v>
          </cell>
        </row>
        <row r="88">
          <cell r="A88">
            <v>749</v>
          </cell>
          <cell r="B88" t="str">
            <v>CLASS 3</v>
          </cell>
        </row>
        <row r="89">
          <cell r="A89">
            <v>750</v>
          </cell>
          <cell r="B89" t="str">
            <v>CLASS 3</v>
          </cell>
        </row>
        <row r="90">
          <cell r="A90">
            <v>751</v>
          </cell>
          <cell r="B90" t="str">
            <v>CLASS 3</v>
          </cell>
        </row>
        <row r="91">
          <cell r="A91">
            <v>752</v>
          </cell>
          <cell r="B91" t="str">
            <v>CLASS 3</v>
          </cell>
        </row>
        <row r="92">
          <cell r="A92">
            <v>753</v>
          </cell>
          <cell r="B92" t="str">
            <v>CLASS 3</v>
          </cell>
        </row>
        <row r="93">
          <cell r="A93">
            <v>754</v>
          </cell>
          <cell r="B93" t="str">
            <v>CLASS 3</v>
          </cell>
        </row>
        <row r="94">
          <cell r="A94">
            <v>755</v>
          </cell>
          <cell r="B94" t="str">
            <v>CLASS 3</v>
          </cell>
        </row>
        <row r="95">
          <cell r="A95">
            <v>756</v>
          </cell>
          <cell r="B95" t="str">
            <v>CLASS 3</v>
          </cell>
        </row>
        <row r="96">
          <cell r="A96">
            <v>757</v>
          </cell>
          <cell r="B96" t="str">
            <v>CLASS 3</v>
          </cell>
        </row>
        <row r="97">
          <cell r="A97">
            <v>758</v>
          </cell>
          <cell r="B97" t="str">
            <v>CLASS 3</v>
          </cell>
        </row>
        <row r="98">
          <cell r="A98">
            <v>759</v>
          </cell>
          <cell r="B98" t="str">
            <v>CLASS 3</v>
          </cell>
        </row>
        <row r="99">
          <cell r="A99">
            <v>766</v>
          </cell>
          <cell r="B99" t="str">
            <v>CLASS 1</v>
          </cell>
        </row>
        <row r="100">
          <cell r="A100">
            <v>770</v>
          </cell>
          <cell r="B100" t="str">
            <v>CLASS 3</v>
          </cell>
        </row>
        <row r="101">
          <cell r="A101">
            <v>772</v>
          </cell>
          <cell r="B101" t="str">
            <v>CLASS 3</v>
          </cell>
        </row>
        <row r="102">
          <cell r="A102">
            <v>773</v>
          </cell>
          <cell r="B102" t="str">
            <v>CLASS 3</v>
          </cell>
        </row>
        <row r="103">
          <cell r="A103">
            <v>774</v>
          </cell>
          <cell r="B103" t="str">
            <v>CLASS 3</v>
          </cell>
        </row>
        <row r="104">
          <cell r="A104">
            <v>775</v>
          </cell>
          <cell r="B104" t="str">
            <v>CLASS 3</v>
          </cell>
        </row>
        <row r="105">
          <cell r="A105">
            <v>776</v>
          </cell>
          <cell r="B105" t="str">
            <v>CLASS 3</v>
          </cell>
        </row>
        <row r="106">
          <cell r="A106">
            <v>777</v>
          </cell>
          <cell r="B106" t="str">
            <v>CLASS 3</v>
          </cell>
        </row>
        <row r="107">
          <cell r="A107">
            <v>780</v>
          </cell>
          <cell r="B107" t="str">
            <v>CLASS 3</v>
          </cell>
        </row>
        <row r="108">
          <cell r="A108">
            <v>799</v>
          </cell>
          <cell r="B108" t="str">
            <v>CLASS 1</v>
          </cell>
        </row>
        <row r="109">
          <cell r="A109">
            <v>800</v>
          </cell>
          <cell r="B109" t="str">
            <v>CLASS 3</v>
          </cell>
        </row>
        <row r="110">
          <cell r="A110">
            <v>818</v>
          </cell>
          <cell r="B110" t="str">
            <v>CLASS 3</v>
          </cell>
        </row>
        <row r="111">
          <cell r="A111">
            <v>819</v>
          </cell>
          <cell r="B111" t="str">
            <v>CLASS 3</v>
          </cell>
        </row>
        <row r="112">
          <cell r="A112">
            <v>820</v>
          </cell>
          <cell r="B112" t="str">
            <v>CLASS 3</v>
          </cell>
        </row>
        <row r="113">
          <cell r="A113">
            <v>821</v>
          </cell>
          <cell r="B113" t="str">
            <v>CLASS 3</v>
          </cell>
        </row>
        <row r="114">
          <cell r="A114">
            <v>827</v>
          </cell>
          <cell r="B114" t="str">
            <v>CLASS 3</v>
          </cell>
        </row>
        <row r="115">
          <cell r="A115">
            <v>828</v>
          </cell>
          <cell r="B115" t="str">
            <v>CLASS 3</v>
          </cell>
        </row>
        <row r="116">
          <cell r="A116">
            <v>829</v>
          </cell>
          <cell r="B116" t="str">
            <v>CLASS 3</v>
          </cell>
        </row>
        <row r="117">
          <cell r="A117">
            <v>830</v>
          </cell>
          <cell r="B117" t="str">
            <v>CLASS 3</v>
          </cell>
        </row>
        <row r="118">
          <cell r="A118">
            <v>831</v>
          </cell>
          <cell r="B118" t="str">
            <v>CLASS 3</v>
          </cell>
        </row>
        <row r="119">
          <cell r="A119">
            <v>832</v>
          </cell>
          <cell r="B119" t="str">
            <v>CLASS 3</v>
          </cell>
        </row>
        <row r="120">
          <cell r="A120">
            <v>833</v>
          </cell>
          <cell r="B120" t="str">
            <v>CLASS 3</v>
          </cell>
        </row>
        <row r="121">
          <cell r="A121">
            <v>834</v>
          </cell>
          <cell r="B121" t="str">
            <v>CLASS 3</v>
          </cell>
        </row>
        <row r="122">
          <cell r="A122">
            <v>835</v>
          </cell>
          <cell r="B122" t="str">
            <v>CLASS 3</v>
          </cell>
        </row>
        <row r="123">
          <cell r="A123">
            <v>1071</v>
          </cell>
          <cell r="B123" t="str">
            <v>CLASS 3</v>
          </cell>
        </row>
        <row r="124">
          <cell r="A124">
            <v>1102</v>
          </cell>
          <cell r="B124" t="str">
            <v>CLASS 3</v>
          </cell>
        </row>
        <row r="125">
          <cell r="A125">
            <v>1110</v>
          </cell>
          <cell r="B125" t="str">
            <v>CLASS 3</v>
          </cell>
        </row>
        <row r="126">
          <cell r="A126">
            <v>1124</v>
          </cell>
          <cell r="B126" t="str">
            <v>CLASS 3</v>
          </cell>
        </row>
        <row r="127">
          <cell r="A127">
            <v>1135</v>
          </cell>
          <cell r="B127" t="str">
            <v>CLASS 3</v>
          </cell>
        </row>
        <row r="128">
          <cell r="A128">
            <v>1145</v>
          </cell>
          <cell r="B128" t="str">
            <v>CLASS 3</v>
          </cell>
        </row>
        <row r="129">
          <cell r="A129">
            <v>1169</v>
          </cell>
          <cell r="B129" t="str">
            <v>CLASS 3</v>
          </cell>
        </row>
        <row r="130">
          <cell r="A130">
            <v>1182</v>
          </cell>
          <cell r="B130" t="str">
            <v>CLASS 3</v>
          </cell>
        </row>
        <row r="131">
          <cell r="A131">
            <v>1188</v>
          </cell>
          <cell r="B131" t="str">
            <v>CLASS 3</v>
          </cell>
        </row>
        <row r="132">
          <cell r="A132">
            <v>1191</v>
          </cell>
          <cell r="B132" t="str">
            <v>CLASS 3</v>
          </cell>
        </row>
        <row r="133">
          <cell r="A133">
            <v>1192</v>
          </cell>
          <cell r="B133" t="str">
            <v>CLASS 3</v>
          </cell>
        </row>
        <row r="134">
          <cell r="A134">
            <v>1200</v>
          </cell>
          <cell r="B134" t="str">
            <v>CLASS 3</v>
          </cell>
        </row>
        <row r="135">
          <cell r="A135">
            <v>1426</v>
          </cell>
          <cell r="B135" t="str">
            <v>CLASS 1</v>
          </cell>
        </row>
        <row r="136">
          <cell r="A136">
            <v>1427</v>
          </cell>
          <cell r="B136" t="str">
            <v>CLASS 1</v>
          </cell>
        </row>
        <row r="137">
          <cell r="A137">
            <v>1429</v>
          </cell>
          <cell r="B137" t="str">
            <v>CLASS 1</v>
          </cell>
        </row>
        <row r="138">
          <cell r="A138">
            <v>1443</v>
          </cell>
          <cell r="B138" t="str">
            <v>CLASS 3</v>
          </cell>
        </row>
        <row r="139">
          <cell r="A139">
            <v>1509</v>
          </cell>
          <cell r="B139" t="str">
            <v>N/Ster</v>
          </cell>
        </row>
        <row r="140">
          <cell r="A140">
            <v>1533</v>
          </cell>
          <cell r="B140" t="str">
            <v>CLASS 1</v>
          </cell>
        </row>
        <row r="141">
          <cell r="A141">
            <v>1535</v>
          </cell>
          <cell r="B141" t="str">
            <v>CLASS 1</v>
          </cell>
        </row>
        <row r="142">
          <cell r="A142">
            <v>1539</v>
          </cell>
          <cell r="B142" t="str">
            <v>CLASS 1</v>
          </cell>
        </row>
        <row r="143">
          <cell r="A143">
            <v>1540</v>
          </cell>
          <cell r="B143" t="str">
            <v>CLASS 1</v>
          </cell>
        </row>
        <row r="144">
          <cell r="A144">
            <v>1549</v>
          </cell>
          <cell r="B144" t="str">
            <v>CLASS 1</v>
          </cell>
        </row>
        <row r="145">
          <cell r="A145">
            <v>1594</v>
          </cell>
          <cell r="B145" t="str">
            <v>CLASS 1</v>
          </cell>
        </row>
        <row r="146">
          <cell r="A146">
            <v>1624</v>
          </cell>
          <cell r="B146" t="str">
            <v>CLASS 1</v>
          </cell>
        </row>
        <row r="147">
          <cell r="A147">
            <v>1634</v>
          </cell>
          <cell r="B147" t="str">
            <v>CLASS 1</v>
          </cell>
        </row>
        <row r="148">
          <cell r="A148">
            <v>1644</v>
          </cell>
          <cell r="B148" t="str">
            <v>CLASS 1</v>
          </cell>
        </row>
        <row r="149">
          <cell r="A149">
            <v>1697</v>
          </cell>
          <cell r="B149" t="str">
            <v>CLASS 3</v>
          </cell>
        </row>
        <row r="150">
          <cell r="A150">
            <v>1711</v>
          </cell>
          <cell r="B150" t="str">
            <v>CLASS 3</v>
          </cell>
        </row>
        <row r="151">
          <cell r="A151">
            <v>1758</v>
          </cell>
          <cell r="B151" t="str">
            <v>CLASS 3</v>
          </cell>
        </row>
        <row r="152">
          <cell r="A152">
            <v>1792</v>
          </cell>
          <cell r="B152" t="str">
            <v>CLASS 3</v>
          </cell>
        </row>
        <row r="153">
          <cell r="A153">
            <v>1797</v>
          </cell>
          <cell r="B153" t="str">
            <v>CLASS 3</v>
          </cell>
        </row>
        <row r="154">
          <cell r="A154">
            <v>1836</v>
          </cell>
          <cell r="B154" t="str">
            <v>CLASS 3</v>
          </cell>
        </row>
        <row r="155">
          <cell r="A155">
            <v>1846</v>
          </cell>
          <cell r="B155" t="str">
            <v>CLASS 3</v>
          </cell>
        </row>
        <row r="156">
          <cell r="A156">
            <v>1892</v>
          </cell>
          <cell r="B156" t="str">
            <v>CLASS 3</v>
          </cell>
        </row>
        <row r="157">
          <cell r="A157">
            <v>2008</v>
          </cell>
          <cell r="B157" t="str">
            <v>CLASS 3</v>
          </cell>
        </row>
        <row r="158">
          <cell r="A158">
            <v>2026</v>
          </cell>
          <cell r="B158" t="str">
            <v>CLASS 3</v>
          </cell>
        </row>
        <row r="159">
          <cell r="A159">
            <v>2200</v>
          </cell>
          <cell r="B159" t="str">
            <v>CLASS 3</v>
          </cell>
        </row>
        <row r="160">
          <cell r="A160">
            <v>2207</v>
          </cell>
          <cell r="B160" t="str">
            <v>N/Ster</v>
          </cell>
        </row>
        <row r="161">
          <cell r="A161">
            <v>2209</v>
          </cell>
          <cell r="B161" t="str">
            <v>CLASS 3</v>
          </cell>
        </row>
        <row r="162">
          <cell r="A162">
            <v>2211</v>
          </cell>
          <cell r="B162" t="str">
            <v>CLASS 3</v>
          </cell>
        </row>
        <row r="163">
          <cell r="A163">
            <v>2213</v>
          </cell>
          <cell r="B163" t="str">
            <v>CLASS 3</v>
          </cell>
        </row>
        <row r="164">
          <cell r="A164">
            <v>2226</v>
          </cell>
          <cell r="B164" t="str">
            <v>CLASS 3</v>
          </cell>
        </row>
        <row r="165">
          <cell r="A165">
            <v>2230</v>
          </cell>
          <cell r="B165" t="str">
            <v>CLASS 3</v>
          </cell>
        </row>
        <row r="166">
          <cell r="A166">
            <v>2233</v>
          </cell>
          <cell r="B166" t="str">
            <v>CLASS 3</v>
          </cell>
        </row>
        <row r="167">
          <cell r="A167">
            <v>2234</v>
          </cell>
          <cell r="B167" t="str">
            <v>CLASS 3</v>
          </cell>
        </row>
        <row r="168">
          <cell r="A168">
            <v>2238</v>
          </cell>
          <cell r="B168" t="str">
            <v>CLASS 3</v>
          </cell>
        </row>
        <row r="169">
          <cell r="A169">
            <v>2269</v>
          </cell>
          <cell r="B169" t="str">
            <v>CLASS 3</v>
          </cell>
        </row>
        <row r="170">
          <cell r="A170">
            <v>2270</v>
          </cell>
          <cell r="B170" t="str">
            <v>CLASS 3</v>
          </cell>
        </row>
        <row r="171">
          <cell r="A171">
            <v>2280</v>
          </cell>
          <cell r="B171" t="str">
            <v>CLASS 3</v>
          </cell>
        </row>
        <row r="172">
          <cell r="A172">
            <v>2320</v>
          </cell>
          <cell r="B172" t="str">
            <v>CLASS 3</v>
          </cell>
        </row>
        <row r="173">
          <cell r="A173">
            <v>2544</v>
          </cell>
          <cell r="B173" t="str">
            <v>CLASS 3</v>
          </cell>
        </row>
        <row r="174">
          <cell r="A174">
            <v>2685</v>
          </cell>
          <cell r="B174" t="str">
            <v>CLASS 3</v>
          </cell>
        </row>
        <row r="175">
          <cell r="A175">
            <v>2691</v>
          </cell>
          <cell r="B175" t="str">
            <v>CLASS 3</v>
          </cell>
        </row>
        <row r="176">
          <cell r="A176">
            <v>2904</v>
          </cell>
          <cell r="B176" t="str">
            <v>CLASS 1</v>
          </cell>
        </row>
        <row r="177">
          <cell r="A177">
            <v>2914</v>
          </cell>
          <cell r="B177" t="str">
            <v>CLASS 1</v>
          </cell>
        </row>
        <row r="178">
          <cell r="A178">
            <v>3005</v>
          </cell>
          <cell r="B178" t="str">
            <v>CLASS 3</v>
          </cell>
        </row>
        <row r="179">
          <cell r="A179">
            <v>3009</v>
          </cell>
          <cell r="B179" t="str">
            <v>CLASS 3</v>
          </cell>
        </row>
        <row r="180">
          <cell r="A180">
            <v>3055</v>
          </cell>
          <cell r="B180" t="str">
            <v>CLASS 3</v>
          </cell>
        </row>
        <row r="181">
          <cell r="A181">
            <v>3142</v>
          </cell>
          <cell r="B181" t="str">
            <v>CLASS 3</v>
          </cell>
        </row>
        <row r="182">
          <cell r="A182">
            <v>3220</v>
          </cell>
          <cell r="B182" t="str">
            <v>CLASS 3</v>
          </cell>
        </row>
        <row r="183">
          <cell r="A183">
            <v>3582</v>
          </cell>
          <cell r="B183" t="str">
            <v>CLASS 3</v>
          </cell>
        </row>
        <row r="184">
          <cell r="A184">
            <v>3607</v>
          </cell>
          <cell r="B184" t="str">
            <v>CLASS 3</v>
          </cell>
        </row>
        <row r="185">
          <cell r="A185">
            <v>3665</v>
          </cell>
          <cell r="B185" t="str">
            <v>CLASS 3</v>
          </cell>
        </row>
        <row r="186">
          <cell r="A186">
            <v>3667</v>
          </cell>
          <cell r="B186" t="str">
            <v>CLASS 3</v>
          </cell>
        </row>
        <row r="187">
          <cell r="A187">
            <v>3668</v>
          </cell>
          <cell r="B187" t="str">
            <v>CLASS 3</v>
          </cell>
        </row>
        <row r="188">
          <cell r="A188">
            <v>3673</v>
          </cell>
          <cell r="B188" t="str">
            <v>CLASS 3</v>
          </cell>
        </row>
        <row r="189">
          <cell r="A189">
            <v>3680</v>
          </cell>
          <cell r="B189" t="str">
            <v>CLASS 3</v>
          </cell>
        </row>
        <row r="190">
          <cell r="A190">
            <v>3804</v>
          </cell>
          <cell r="B190" t="str">
            <v>CLASS 3</v>
          </cell>
        </row>
        <row r="191">
          <cell r="A191">
            <v>3952</v>
          </cell>
          <cell r="B191" t="str">
            <v>CLASS 3</v>
          </cell>
        </row>
        <row r="192">
          <cell r="A192">
            <v>4067</v>
          </cell>
          <cell r="B192" t="str">
            <v>CLASS 1</v>
          </cell>
        </row>
        <row r="193">
          <cell r="A193">
            <v>4075</v>
          </cell>
          <cell r="B193" t="str">
            <v>N/Ster</v>
          </cell>
        </row>
        <row r="194">
          <cell r="A194">
            <v>4079</v>
          </cell>
          <cell r="B194" t="str">
            <v>N/Ster</v>
          </cell>
        </row>
        <row r="195">
          <cell r="A195">
            <v>4107</v>
          </cell>
          <cell r="B195" t="str">
            <v>class 3</v>
          </cell>
        </row>
        <row r="196">
          <cell r="A196">
            <v>4117</v>
          </cell>
          <cell r="B196" t="str">
            <v>CLASS 3</v>
          </cell>
        </row>
        <row r="197">
          <cell r="A197">
            <v>4134</v>
          </cell>
          <cell r="B197" t="str">
            <v>CLASS 3</v>
          </cell>
        </row>
        <row r="198">
          <cell r="A198">
            <v>4139</v>
          </cell>
          <cell r="B198" t="str">
            <v>CLASS 3</v>
          </cell>
        </row>
        <row r="199">
          <cell r="A199">
            <v>4142</v>
          </cell>
          <cell r="B199" t="str">
            <v>N/Ster</v>
          </cell>
        </row>
        <row r="200">
          <cell r="A200">
            <v>4144</v>
          </cell>
          <cell r="B200" t="str">
            <v>CLASS 3</v>
          </cell>
        </row>
        <row r="201">
          <cell r="A201">
            <v>4146</v>
          </cell>
          <cell r="B201" t="str">
            <v>N/Ster</v>
          </cell>
        </row>
        <row r="202">
          <cell r="A202">
            <v>4149</v>
          </cell>
          <cell r="B202" t="str">
            <v>CLASS 3</v>
          </cell>
        </row>
        <row r="203">
          <cell r="A203">
            <v>4159</v>
          </cell>
          <cell r="B203" t="str">
            <v>CLASS 3</v>
          </cell>
        </row>
        <row r="204">
          <cell r="A204">
            <v>4169</v>
          </cell>
          <cell r="B204" t="str">
            <v>CLASS 3</v>
          </cell>
        </row>
        <row r="205">
          <cell r="A205">
            <v>4178</v>
          </cell>
          <cell r="B205" t="str">
            <v>CLASS 3</v>
          </cell>
        </row>
        <row r="206">
          <cell r="A206">
            <v>4189</v>
          </cell>
          <cell r="B206" t="str">
            <v>CLASS 3</v>
          </cell>
        </row>
        <row r="207">
          <cell r="A207">
            <v>4210</v>
          </cell>
          <cell r="B207" t="str">
            <v>CLASS 3</v>
          </cell>
        </row>
        <row r="208">
          <cell r="A208">
            <v>4218</v>
          </cell>
          <cell r="B208" t="str">
            <v>CLASS 3</v>
          </cell>
        </row>
        <row r="209">
          <cell r="A209">
            <v>4223</v>
          </cell>
          <cell r="B209" t="str">
            <v>CLASS 3</v>
          </cell>
        </row>
        <row r="210">
          <cell r="A210">
            <v>4225</v>
          </cell>
          <cell r="B210" t="str">
            <v>CLASS 3</v>
          </cell>
        </row>
        <row r="211">
          <cell r="A211">
            <v>4241</v>
          </cell>
          <cell r="B211" t="str">
            <v>CLASS 3</v>
          </cell>
        </row>
        <row r="212">
          <cell r="A212">
            <v>4243</v>
          </cell>
          <cell r="B212" t="str">
            <v>CLASS 3</v>
          </cell>
        </row>
        <row r="213">
          <cell r="A213">
            <v>4246</v>
          </cell>
          <cell r="B213" t="str">
            <v>CLASS 3</v>
          </cell>
        </row>
        <row r="214">
          <cell r="A214">
            <v>4247</v>
          </cell>
          <cell r="B214" t="str">
            <v>CLASS 3</v>
          </cell>
        </row>
        <row r="215">
          <cell r="A215">
            <v>4254</v>
          </cell>
          <cell r="B215" t="str">
            <v>CLASS 3</v>
          </cell>
        </row>
        <row r="216">
          <cell r="A216">
            <v>4255</v>
          </cell>
          <cell r="B216" t="str">
            <v>CLASS 3</v>
          </cell>
        </row>
        <row r="217">
          <cell r="A217">
            <v>4259</v>
          </cell>
          <cell r="B217" t="str">
            <v>CLASS 3</v>
          </cell>
        </row>
        <row r="218">
          <cell r="A218">
            <v>4260</v>
          </cell>
          <cell r="B218" t="str">
            <v>CLASS 3</v>
          </cell>
        </row>
        <row r="219">
          <cell r="A219">
            <v>4261</v>
          </cell>
          <cell r="B219" t="str">
            <v>CLASS 3</v>
          </cell>
        </row>
        <row r="220">
          <cell r="A220">
            <v>4263</v>
          </cell>
          <cell r="B220" t="str">
            <v>CLASS 3</v>
          </cell>
        </row>
        <row r="221">
          <cell r="A221">
            <v>4265</v>
          </cell>
          <cell r="B221" t="str">
            <v>CLASS 3</v>
          </cell>
        </row>
        <row r="222">
          <cell r="A222">
            <v>4267</v>
          </cell>
          <cell r="B222" t="str">
            <v>CLASS 3</v>
          </cell>
        </row>
        <row r="223">
          <cell r="A223">
            <v>4268</v>
          </cell>
          <cell r="B223" t="str">
            <v>CLASS 3</v>
          </cell>
        </row>
        <row r="224">
          <cell r="A224">
            <v>4271</v>
          </cell>
          <cell r="B224" t="str">
            <v>CLASS 3</v>
          </cell>
        </row>
        <row r="225">
          <cell r="A225">
            <v>4275</v>
          </cell>
          <cell r="B225" t="str">
            <v>CLASS 3</v>
          </cell>
        </row>
        <row r="226">
          <cell r="A226">
            <v>4327</v>
          </cell>
          <cell r="B226" t="str">
            <v>CLASS 3</v>
          </cell>
        </row>
        <row r="227">
          <cell r="A227">
            <v>4328</v>
          </cell>
          <cell r="B227" t="str">
            <v>CLASS 1</v>
          </cell>
        </row>
        <row r="228">
          <cell r="A228">
            <v>4332</v>
          </cell>
          <cell r="B228" t="str">
            <v>CLASS 3</v>
          </cell>
        </row>
        <row r="229">
          <cell r="A229">
            <v>4333</v>
          </cell>
          <cell r="B229" t="str">
            <v>CLASS 3</v>
          </cell>
        </row>
        <row r="230">
          <cell r="A230">
            <v>4336</v>
          </cell>
          <cell r="B230" t="str">
            <v>CLASS 3</v>
          </cell>
        </row>
        <row r="231">
          <cell r="A231">
            <v>4338</v>
          </cell>
          <cell r="B231" t="str">
            <v>CLASS 3</v>
          </cell>
        </row>
        <row r="232">
          <cell r="A232">
            <v>4347</v>
          </cell>
          <cell r="B232" t="str">
            <v>CLASS 3</v>
          </cell>
        </row>
        <row r="233">
          <cell r="A233">
            <v>4352</v>
          </cell>
          <cell r="B233" t="str">
            <v>CLASS 3</v>
          </cell>
        </row>
        <row r="234">
          <cell r="A234">
            <v>4361</v>
          </cell>
          <cell r="B234" t="str">
            <v>CLASS 3</v>
          </cell>
        </row>
        <row r="235">
          <cell r="A235">
            <v>4369</v>
          </cell>
          <cell r="B235" t="str">
            <v>CLASS 3</v>
          </cell>
        </row>
        <row r="236">
          <cell r="A236">
            <v>4370</v>
          </cell>
          <cell r="B236" t="str">
            <v>CLASS 3</v>
          </cell>
        </row>
        <row r="237">
          <cell r="A237">
            <v>4398</v>
          </cell>
          <cell r="B237" t="str">
            <v>CLASS 3</v>
          </cell>
        </row>
        <row r="238">
          <cell r="A238">
            <v>4404</v>
          </cell>
          <cell r="B238" t="str">
            <v>CLASS 3</v>
          </cell>
        </row>
        <row r="239">
          <cell r="A239">
            <v>4405</v>
          </cell>
          <cell r="B239" t="str">
            <v>CLASS 3</v>
          </cell>
        </row>
        <row r="240">
          <cell r="A240">
            <v>4416</v>
          </cell>
          <cell r="B240" t="str">
            <v>CLASS 3</v>
          </cell>
        </row>
        <row r="241">
          <cell r="A241">
            <v>4606</v>
          </cell>
          <cell r="B241" t="str">
            <v>N/Ster</v>
          </cell>
        </row>
        <row r="242">
          <cell r="A242">
            <v>5417</v>
          </cell>
          <cell r="B242" t="str">
            <v>CLASS 3</v>
          </cell>
        </row>
        <row r="243">
          <cell r="A243">
            <v>5425</v>
          </cell>
          <cell r="B243" t="str">
            <v>CLASS 1</v>
          </cell>
        </row>
        <row r="244">
          <cell r="A244">
            <v>5427</v>
          </cell>
          <cell r="B244" t="str">
            <v>CLASS 1</v>
          </cell>
        </row>
        <row r="245">
          <cell r="A245">
            <v>5491</v>
          </cell>
          <cell r="B245" t="str">
            <v>CLASS 3</v>
          </cell>
        </row>
        <row r="246">
          <cell r="A246">
            <v>5508</v>
          </cell>
          <cell r="B246" t="str">
            <v>CLASS 1</v>
          </cell>
        </row>
        <row r="247">
          <cell r="A247">
            <v>5564</v>
          </cell>
          <cell r="B247" t="str">
            <v>CLASS 1</v>
          </cell>
        </row>
        <row r="248">
          <cell r="A248">
            <v>5632</v>
          </cell>
          <cell r="B248" t="str">
            <v>CLASS 3</v>
          </cell>
        </row>
        <row r="249">
          <cell r="A249">
            <v>5644</v>
          </cell>
          <cell r="B249" t="str">
            <v>CLASS 3</v>
          </cell>
        </row>
        <row r="250">
          <cell r="A250">
            <v>5692</v>
          </cell>
          <cell r="B250" t="str">
            <v>CLASS 3</v>
          </cell>
        </row>
        <row r="251">
          <cell r="A251">
            <v>5694</v>
          </cell>
          <cell r="B251" t="str">
            <v>CLASS 3</v>
          </cell>
        </row>
        <row r="252">
          <cell r="A252">
            <v>5696</v>
          </cell>
          <cell r="B252" t="str">
            <v>CLASS 3</v>
          </cell>
        </row>
        <row r="253">
          <cell r="A253">
            <v>5814</v>
          </cell>
          <cell r="B253" t="str">
            <v>CLASS 3</v>
          </cell>
        </row>
        <row r="254">
          <cell r="A254">
            <v>5816</v>
          </cell>
          <cell r="B254" t="str">
            <v>CLASS 3</v>
          </cell>
        </row>
        <row r="255">
          <cell r="A255">
            <v>5838</v>
          </cell>
          <cell r="B255" t="str">
            <v>CLASS 3</v>
          </cell>
        </row>
        <row r="256">
          <cell r="A256">
            <v>5840</v>
          </cell>
          <cell r="B256" t="str">
            <v>CLASS 3</v>
          </cell>
        </row>
        <row r="257">
          <cell r="A257">
            <v>5862</v>
          </cell>
          <cell r="B257" t="str">
            <v>CLASS 3</v>
          </cell>
        </row>
        <row r="258">
          <cell r="A258">
            <v>5880</v>
          </cell>
          <cell r="B258" t="str">
            <v>CLASS 3</v>
          </cell>
        </row>
        <row r="259">
          <cell r="A259">
            <v>5888</v>
          </cell>
          <cell r="B259" t="str">
            <v>CLASS 3</v>
          </cell>
        </row>
        <row r="260">
          <cell r="A260">
            <v>5890</v>
          </cell>
          <cell r="B260" t="str">
            <v>CLASS 3</v>
          </cell>
        </row>
        <row r="261">
          <cell r="A261">
            <v>5898</v>
          </cell>
          <cell r="B261" t="str">
            <v>CLASS 3</v>
          </cell>
        </row>
        <row r="262">
          <cell r="A262">
            <v>6015</v>
          </cell>
          <cell r="B262" t="str">
            <v>CLASS 1</v>
          </cell>
        </row>
        <row r="263">
          <cell r="A263">
            <v>6016</v>
          </cell>
          <cell r="B263" t="str">
            <v>CLASS 1</v>
          </cell>
        </row>
        <row r="264">
          <cell r="A264">
            <v>6017</v>
          </cell>
          <cell r="B264" t="str">
            <v>CLASS 1</v>
          </cell>
        </row>
        <row r="265">
          <cell r="A265">
            <v>6044</v>
          </cell>
          <cell r="B265" t="str">
            <v>CLASS 1</v>
          </cell>
        </row>
        <row r="266">
          <cell r="A266">
            <v>6060</v>
          </cell>
          <cell r="B266" t="str">
            <v>CLASS 3</v>
          </cell>
        </row>
        <row r="267">
          <cell r="A267">
            <v>6066</v>
          </cell>
          <cell r="B267" t="str">
            <v>CLASS 1</v>
          </cell>
        </row>
        <row r="268">
          <cell r="A268">
            <v>6067</v>
          </cell>
          <cell r="B268" t="str">
            <v>CLASS 1</v>
          </cell>
        </row>
        <row r="269">
          <cell r="A269">
            <v>6116</v>
          </cell>
          <cell r="B269" t="str">
            <v>CLASS 1</v>
          </cell>
        </row>
        <row r="270">
          <cell r="A270">
            <v>6117</v>
          </cell>
          <cell r="B270" t="str">
            <v>CLASS 1</v>
          </cell>
        </row>
        <row r="271">
          <cell r="A271">
            <v>6146</v>
          </cell>
          <cell r="B271" t="str">
            <v>CLASS 3</v>
          </cell>
        </row>
        <row r="272">
          <cell r="A272">
            <v>6148</v>
          </cell>
          <cell r="B272" t="str">
            <v>CLASS 3</v>
          </cell>
        </row>
        <row r="273">
          <cell r="A273">
            <v>6154</v>
          </cell>
          <cell r="B273" t="str">
            <v>N/Ster</v>
          </cell>
        </row>
        <row r="274">
          <cell r="A274">
            <v>6246</v>
          </cell>
          <cell r="B274" t="str">
            <v>CLASS 3</v>
          </cell>
        </row>
        <row r="275">
          <cell r="A275">
            <v>6292</v>
          </cell>
          <cell r="B275" t="str">
            <v>CLASS 3</v>
          </cell>
        </row>
        <row r="276">
          <cell r="A276">
            <v>6366</v>
          </cell>
          <cell r="B276" t="str">
            <v>CLASS 1</v>
          </cell>
        </row>
        <row r="277">
          <cell r="A277">
            <v>6367</v>
          </cell>
          <cell r="B277" t="str">
            <v>CLASS 1</v>
          </cell>
        </row>
        <row r="278">
          <cell r="A278">
            <v>6466</v>
          </cell>
          <cell r="B278" t="str">
            <v>CLASS 1</v>
          </cell>
        </row>
        <row r="279">
          <cell r="A279">
            <v>6963</v>
          </cell>
          <cell r="B279" t="str">
            <v>CLASS 1</v>
          </cell>
        </row>
        <row r="280">
          <cell r="A280">
            <v>6964</v>
          </cell>
          <cell r="B280" t="str">
            <v>CLASS 1</v>
          </cell>
        </row>
        <row r="281">
          <cell r="A281">
            <v>6969</v>
          </cell>
          <cell r="B281" t="str">
            <v>CLASS 1</v>
          </cell>
        </row>
        <row r="282">
          <cell r="A282">
            <v>6979</v>
          </cell>
          <cell r="B282" t="str">
            <v>CLASS 1</v>
          </cell>
        </row>
        <row r="283">
          <cell r="A283">
            <v>7036</v>
          </cell>
          <cell r="B283" t="str">
            <v>CLASS 1</v>
          </cell>
        </row>
        <row r="284">
          <cell r="A284">
            <v>7136</v>
          </cell>
          <cell r="B284" t="str">
            <v>CLASS 1</v>
          </cell>
        </row>
        <row r="285">
          <cell r="A285">
            <v>7156</v>
          </cell>
          <cell r="B285" t="str">
            <v>CLASS 1</v>
          </cell>
        </row>
        <row r="286">
          <cell r="A286">
            <v>7166</v>
          </cell>
          <cell r="B286" t="str">
            <v>CLASS 3</v>
          </cell>
        </row>
        <row r="287">
          <cell r="A287">
            <v>7190</v>
          </cell>
          <cell r="B287" t="str">
            <v>CLASS 1</v>
          </cell>
        </row>
        <row r="288">
          <cell r="A288">
            <v>7208</v>
          </cell>
          <cell r="B288" t="str">
            <v>CLASS 1</v>
          </cell>
        </row>
        <row r="289">
          <cell r="A289">
            <v>7246</v>
          </cell>
          <cell r="B289" t="str">
            <v>CLASS 3</v>
          </cell>
        </row>
        <row r="290">
          <cell r="A290">
            <v>8026</v>
          </cell>
          <cell r="B290" t="str">
            <v>CLASS 3</v>
          </cell>
        </row>
        <row r="291">
          <cell r="A291">
            <v>8028</v>
          </cell>
          <cell r="B291" t="str">
            <v>CLASS 3</v>
          </cell>
        </row>
        <row r="292">
          <cell r="A292">
            <v>8042</v>
          </cell>
          <cell r="B292" t="str">
            <v>CLASS 3</v>
          </cell>
        </row>
        <row r="293">
          <cell r="A293">
            <v>8045</v>
          </cell>
          <cell r="B293" t="str">
            <v>CLASS 3</v>
          </cell>
        </row>
        <row r="294">
          <cell r="A294">
            <v>8047</v>
          </cell>
          <cell r="B294" t="str">
            <v>CLASS 3</v>
          </cell>
        </row>
        <row r="295">
          <cell r="A295">
            <v>8050</v>
          </cell>
          <cell r="B295" t="str">
            <v>CLASS 3</v>
          </cell>
        </row>
        <row r="296">
          <cell r="A296">
            <v>8066</v>
          </cell>
          <cell r="B296" t="str">
            <v>CLASS 3</v>
          </cell>
        </row>
        <row r="297">
          <cell r="A297">
            <v>8074</v>
          </cell>
          <cell r="B297" t="str">
            <v>N/Ster</v>
          </cell>
        </row>
        <row r="298">
          <cell r="A298">
            <v>8075</v>
          </cell>
          <cell r="B298" t="str">
            <v>CLASS 3</v>
          </cell>
        </row>
        <row r="299">
          <cell r="A299">
            <v>8077</v>
          </cell>
          <cell r="B299" t="str">
            <v>CLASS 3</v>
          </cell>
        </row>
        <row r="300">
          <cell r="A300">
            <v>8080</v>
          </cell>
          <cell r="B300" t="str">
            <v>CLASS 3</v>
          </cell>
        </row>
        <row r="301">
          <cell r="A301">
            <v>8088</v>
          </cell>
          <cell r="B301" t="str">
            <v>N/Ster</v>
          </cell>
        </row>
        <row r="302">
          <cell r="A302">
            <v>8122</v>
          </cell>
          <cell r="B302" t="str">
            <v>CLASS 3</v>
          </cell>
        </row>
        <row r="303">
          <cell r="A303">
            <v>8125</v>
          </cell>
          <cell r="B303" t="str">
            <v>CLASS 3</v>
          </cell>
        </row>
        <row r="304">
          <cell r="A304">
            <v>8126</v>
          </cell>
          <cell r="B304" t="str">
            <v>CLASS 3</v>
          </cell>
        </row>
        <row r="305">
          <cell r="A305">
            <v>8127</v>
          </cell>
          <cell r="B305" t="str">
            <v>CLASS 3</v>
          </cell>
        </row>
        <row r="306">
          <cell r="A306">
            <v>8130</v>
          </cell>
          <cell r="B306" t="str">
            <v>CLASS 3</v>
          </cell>
        </row>
        <row r="307">
          <cell r="A307">
            <v>8131</v>
          </cell>
          <cell r="B307" t="str">
            <v>CLASS 3</v>
          </cell>
        </row>
        <row r="308">
          <cell r="A308">
            <v>8132</v>
          </cell>
          <cell r="B308" t="str">
            <v>CLASS 3</v>
          </cell>
        </row>
        <row r="309">
          <cell r="A309">
            <v>8146</v>
          </cell>
          <cell r="B309" t="str">
            <v>CLASS 3</v>
          </cell>
        </row>
        <row r="310">
          <cell r="A310">
            <v>8150</v>
          </cell>
          <cell r="B310" t="str">
            <v>CLASS 3</v>
          </cell>
        </row>
        <row r="311">
          <cell r="A311">
            <v>8167</v>
          </cell>
          <cell r="B311" t="str">
            <v>CLASS 3</v>
          </cell>
        </row>
        <row r="312">
          <cell r="A312">
            <v>8179</v>
          </cell>
          <cell r="B312" t="str">
            <v>N/Ster</v>
          </cell>
        </row>
        <row r="313">
          <cell r="A313">
            <v>8180</v>
          </cell>
          <cell r="B313" t="str">
            <v>CLASS 3</v>
          </cell>
        </row>
        <row r="314">
          <cell r="A314">
            <v>8186</v>
          </cell>
          <cell r="B314" t="str">
            <v>CLASS 3</v>
          </cell>
        </row>
        <row r="315">
          <cell r="A315">
            <v>8198</v>
          </cell>
          <cell r="B315" t="str">
            <v>CLASS 3</v>
          </cell>
        </row>
        <row r="316">
          <cell r="A316">
            <v>8248</v>
          </cell>
          <cell r="B316" t="str">
            <v>CLASS 3</v>
          </cell>
        </row>
        <row r="317">
          <cell r="A317">
            <v>8316</v>
          </cell>
          <cell r="B317" t="str">
            <v>CLASS 3</v>
          </cell>
        </row>
        <row r="318">
          <cell r="A318">
            <v>8328</v>
          </cell>
          <cell r="B318" t="str">
            <v>CLASS 3</v>
          </cell>
        </row>
        <row r="319">
          <cell r="A319">
            <v>8330</v>
          </cell>
          <cell r="B319" t="str">
            <v>CLASS 3</v>
          </cell>
        </row>
        <row r="320">
          <cell r="A320">
            <v>8331</v>
          </cell>
          <cell r="B320" t="str">
            <v>CLASS 3</v>
          </cell>
        </row>
        <row r="321">
          <cell r="A321">
            <v>8336</v>
          </cell>
          <cell r="B321" t="str">
            <v>CLASS 3</v>
          </cell>
        </row>
        <row r="322">
          <cell r="A322">
            <v>8342</v>
          </cell>
          <cell r="B322" t="str">
            <v>CLASS 3</v>
          </cell>
        </row>
        <row r="323">
          <cell r="A323">
            <v>8344</v>
          </cell>
          <cell r="B323" t="str">
            <v>CLASS 3</v>
          </cell>
        </row>
        <row r="324">
          <cell r="A324">
            <v>8345</v>
          </cell>
          <cell r="B324" t="str">
            <v>CLASS 3</v>
          </cell>
        </row>
        <row r="325">
          <cell r="A325">
            <v>8350</v>
          </cell>
          <cell r="B325" t="str">
            <v>CLASS 3</v>
          </cell>
        </row>
        <row r="326">
          <cell r="A326">
            <v>8353</v>
          </cell>
          <cell r="B326" t="str">
            <v>CLASS 3</v>
          </cell>
        </row>
        <row r="327">
          <cell r="A327">
            <v>8356</v>
          </cell>
          <cell r="B327" t="str">
            <v>CLASS 3</v>
          </cell>
        </row>
        <row r="328">
          <cell r="A328">
            <v>8361</v>
          </cell>
          <cell r="B328" t="str">
            <v>CLASS 3</v>
          </cell>
        </row>
        <row r="329">
          <cell r="A329">
            <v>8368</v>
          </cell>
          <cell r="B329" t="str">
            <v>CLASS 3</v>
          </cell>
        </row>
        <row r="330">
          <cell r="A330">
            <v>8369</v>
          </cell>
          <cell r="B330" t="str">
            <v>CLASS 3</v>
          </cell>
        </row>
        <row r="331">
          <cell r="A331">
            <v>8372</v>
          </cell>
          <cell r="B331" t="str">
            <v>CLASS 3</v>
          </cell>
        </row>
        <row r="332">
          <cell r="A332">
            <v>8380</v>
          </cell>
          <cell r="B332" t="str">
            <v>CLASS 3</v>
          </cell>
        </row>
        <row r="333">
          <cell r="A333">
            <v>8399</v>
          </cell>
          <cell r="B333" t="str">
            <v>CLASS 3</v>
          </cell>
        </row>
        <row r="334">
          <cell r="A334">
            <v>8705</v>
          </cell>
          <cell r="B334" t="str">
            <v>CLASS 3</v>
          </cell>
        </row>
        <row r="335">
          <cell r="A335">
            <v>8710</v>
          </cell>
          <cell r="B335" t="str">
            <v>CLASS 3</v>
          </cell>
        </row>
        <row r="336">
          <cell r="A336">
            <v>8711</v>
          </cell>
          <cell r="B336" t="str">
            <v>CLASS 3</v>
          </cell>
        </row>
        <row r="337">
          <cell r="A337">
            <v>8712</v>
          </cell>
          <cell r="B337" t="str">
            <v>CLASS 3</v>
          </cell>
        </row>
        <row r="338">
          <cell r="A338">
            <v>8713</v>
          </cell>
          <cell r="B338" t="str">
            <v>CLASS 3</v>
          </cell>
        </row>
        <row r="339">
          <cell r="A339">
            <v>8714</v>
          </cell>
          <cell r="B339" t="str">
            <v>CLASS 3</v>
          </cell>
        </row>
        <row r="340">
          <cell r="A340">
            <v>8716</v>
          </cell>
          <cell r="B340" t="str">
            <v>CLASS 3</v>
          </cell>
        </row>
        <row r="341">
          <cell r="A341">
            <v>8725</v>
          </cell>
          <cell r="B341" t="str">
            <v>CLASS 3</v>
          </cell>
        </row>
        <row r="342">
          <cell r="A342">
            <v>8732</v>
          </cell>
          <cell r="B342" t="str">
            <v>CLASS 3</v>
          </cell>
        </row>
        <row r="343">
          <cell r="A343">
            <v>8733</v>
          </cell>
          <cell r="B343" t="str">
            <v>CLASS 3</v>
          </cell>
        </row>
        <row r="344">
          <cell r="A344">
            <v>8743</v>
          </cell>
          <cell r="B344" t="str">
            <v>CLASS 3</v>
          </cell>
        </row>
        <row r="345">
          <cell r="A345">
            <v>8754</v>
          </cell>
          <cell r="B345" t="str">
            <v>CLASS 3</v>
          </cell>
        </row>
        <row r="346">
          <cell r="A346">
            <v>8756</v>
          </cell>
          <cell r="B346" t="str">
            <v>CLASS 3</v>
          </cell>
        </row>
        <row r="347">
          <cell r="A347">
            <v>8758</v>
          </cell>
        </row>
        <row r="348">
          <cell r="A348">
            <v>8759</v>
          </cell>
        </row>
        <row r="349">
          <cell r="A349">
            <v>8760</v>
          </cell>
        </row>
        <row r="350">
          <cell r="A350">
            <v>8762</v>
          </cell>
          <cell r="B350" t="str">
            <v>CLASS 3</v>
          </cell>
        </row>
        <row r="351">
          <cell r="A351">
            <v>8765</v>
          </cell>
          <cell r="B351" t="str">
            <v>CLASS 3</v>
          </cell>
        </row>
        <row r="352">
          <cell r="A352">
            <v>8774</v>
          </cell>
          <cell r="B352" t="str">
            <v>N/Ster</v>
          </cell>
        </row>
        <row r="353">
          <cell r="A353">
            <v>8777</v>
          </cell>
          <cell r="B353" t="str">
            <v>CLASS 3</v>
          </cell>
        </row>
        <row r="354">
          <cell r="A354">
            <v>8780</v>
          </cell>
          <cell r="B354" t="str">
            <v>CLASS 3</v>
          </cell>
        </row>
        <row r="355">
          <cell r="A355">
            <v>8783</v>
          </cell>
          <cell r="B355" t="str">
            <v>CLASS 3</v>
          </cell>
        </row>
        <row r="356">
          <cell r="A356">
            <v>8784</v>
          </cell>
          <cell r="B356" t="str">
            <v>CLASS 3</v>
          </cell>
        </row>
        <row r="357">
          <cell r="A357">
            <v>8787</v>
          </cell>
          <cell r="B357" t="str">
            <v>CLASS 3</v>
          </cell>
        </row>
        <row r="358">
          <cell r="A358">
            <v>8792</v>
          </cell>
          <cell r="B358" t="str">
            <v>CLASS 3</v>
          </cell>
        </row>
        <row r="359">
          <cell r="A359">
            <v>8793</v>
          </cell>
          <cell r="B359" t="str">
            <v>CLASS 3</v>
          </cell>
        </row>
        <row r="360">
          <cell r="A360">
            <v>8802</v>
          </cell>
          <cell r="B360" t="str">
            <v>CLASS 3</v>
          </cell>
        </row>
        <row r="361">
          <cell r="A361">
            <v>8804</v>
          </cell>
          <cell r="B361" t="str">
            <v>CLASS 3</v>
          </cell>
        </row>
        <row r="362">
          <cell r="A362">
            <v>8807</v>
          </cell>
          <cell r="B362" t="str">
            <v>CLASS 3</v>
          </cell>
        </row>
        <row r="363">
          <cell r="A363">
            <v>8817</v>
          </cell>
          <cell r="B363" t="str">
            <v>CLASS 3</v>
          </cell>
        </row>
        <row r="364">
          <cell r="A364">
            <v>8824</v>
          </cell>
          <cell r="B364" t="str">
            <v>CLASS 3</v>
          </cell>
        </row>
        <row r="365">
          <cell r="A365">
            <v>8828</v>
          </cell>
          <cell r="B365" t="str">
            <v>CLASS 3</v>
          </cell>
        </row>
        <row r="366">
          <cell r="A366">
            <v>8852</v>
          </cell>
          <cell r="B366" t="str">
            <v>CLASS 3</v>
          </cell>
        </row>
        <row r="367">
          <cell r="A367">
            <v>8855</v>
          </cell>
          <cell r="B367" t="str">
            <v>CLASS 3</v>
          </cell>
        </row>
        <row r="368">
          <cell r="A368">
            <v>8877</v>
          </cell>
          <cell r="B368" t="str">
            <v>CLASS 3</v>
          </cell>
        </row>
        <row r="369">
          <cell r="A369">
            <v>8878</v>
          </cell>
          <cell r="B369" t="str">
            <v>CLASS 3</v>
          </cell>
        </row>
        <row r="370">
          <cell r="A370">
            <v>8886</v>
          </cell>
          <cell r="B370" t="str">
            <v>CLASS 3</v>
          </cell>
        </row>
        <row r="371">
          <cell r="A371">
            <v>8898</v>
          </cell>
          <cell r="B371" t="str">
            <v>CLASS 3</v>
          </cell>
        </row>
        <row r="372">
          <cell r="A372">
            <v>8905</v>
          </cell>
          <cell r="B372" t="str">
            <v>CLASS 3</v>
          </cell>
        </row>
        <row r="373">
          <cell r="A373">
            <v>8906</v>
          </cell>
          <cell r="B373" t="str">
            <v>CLASS 3</v>
          </cell>
        </row>
        <row r="374">
          <cell r="A374">
            <v>8908</v>
          </cell>
          <cell r="B374" t="str">
            <v>CLASS 3</v>
          </cell>
        </row>
        <row r="375">
          <cell r="A375">
            <v>8944</v>
          </cell>
          <cell r="B375" t="str">
            <v>CLASS 3</v>
          </cell>
        </row>
        <row r="376">
          <cell r="A376">
            <v>8949</v>
          </cell>
          <cell r="B376" t="str">
            <v>CLASS 3</v>
          </cell>
        </row>
        <row r="377">
          <cell r="A377">
            <v>8958</v>
          </cell>
          <cell r="B377" t="str">
            <v>CLASS 3</v>
          </cell>
        </row>
        <row r="378">
          <cell r="A378">
            <v>8960</v>
          </cell>
          <cell r="B378" t="str">
            <v>CLASS 3</v>
          </cell>
        </row>
        <row r="379">
          <cell r="A379">
            <v>8963</v>
          </cell>
          <cell r="B379" t="str">
            <v>CLASS 3</v>
          </cell>
        </row>
        <row r="380">
          <cell r="A380">
            <v>8991</v>
          </cell>
          <cell r="B380" t="str">
            <v>CLASS 3</v>
          </cell>
        </row>
        <row r="381">
          <cell r="A381">
            <v>8992</v>
          </cell>
          <cell r="B381" t="str">
            <v>CLASS 3</v>
          </cell>
        </row>
        <row r="382">
          <cell r="A382">
            <v>9113</v>
          </cell>
          <cell r="B382" t="str">
            <v>CLASS 3</v>
          </cell>
        </row>
        <row r="383">
          <cell r="A383">
            <v>9153</v>
          </cell>
          <cell r="B383" t="str">
            <v>CLASS 3</v>
          </cell>
        </row>
        <row r="384">
          <cell r="A384">
            <v>9157</v>
          </cell>
          <cell r="B384" t="str">
            <v>CLASS 3</v>
          </cell>
        </row>
        <row r="385">
          <cell r="A385">
            <v>9350</v>
          </cell>
          <cell r="B385" t="str">
            <v>CLASS 3</v>
          </cell>
        </row>
        <row r="386">
          <cell r="A386">
            <v>9364</v>
          </cell>
          <cell r="B386" t="str">
            <v>CLASS 3</v>
          </cell>
        </row>
        <row r="387">
          <cell r="A387">
            <v>9384</v>
          </cell>
          <cell r="B387" t="str">
            <v>CLASS 3</v>
          </cell>
        </row>
        <row r="388">
          <cell r="A388">
            <v>9407</v>
          </cell>
          <cell r="B388" t="str">
            <v>CLASS 3</v>
          </cell>
        </row>
        <row r="389">
          <cell r="A389">
            <v>9520</v>
          </cell>
          <cell r="B389" t="str">
            <v>CLASS 3</v>
          </cell>
        </row>
        <row r="390">
          <cell r="A390">
            <v>9526</v>
          </cell>
          <cell r="B390" t="str">
            <v>CLASS 3</v>
          </cell>
        </row>
        <row r="391">
          <cell r="A391">
            <v>9562</v>
          </cell>
          <cell r="B391" t="str">
            <v>CLASS 3</v>
          </cell>
        </row>
        <row r="392">
          <cell r="A392">
            <v>9588</v>
          </cell>
          <cell r="B392" t="str">
            <v>CLASS 3</v>
          </cell>
        </row>
        <row r="393">
          <cell r="A393">
            <v>9714</v>
          </cell>
          <cell r="B393" t="str">
            <v>CLASS 1</v>
          </cell>
        </row>
        <row r="394">
          <cell r="A394">
            <v>9767</v>
          </cell>
          <cell r="B394" t="str">
            <v>CLASS 3</v>
          </cell>
        </row>
        <row r="395">
          <cell r="A395">
            <v>71021</v>
          </cell>
          <cell r="B395" t="str">
            <v>N/Ster</v>
          </cell>
        </row>
        <row r="396">
          <cell r="A396">
            <v>71022</v>
          </cell>
          <cell r="B396" t="str">
            <v>N/Ster</v>
          </cell>
        </row>
        <row r="397">
          <cell r="A397">
            <v>71023</v>
          </cell>
          <cell r="B397" t="str">
            <v>N/Ster</v>
          </cell>
        </row>
        <row r="398">
          <cell r="A398" t="str">
            <v>1999-A/CAT</v>
          </cell>
          <cell r="B398" t="str">
            <v>CLASS 3</v>
          </cell>
        </row>
        <row r="399">
          <cell r="A399" t="str">
            <v>2001/CAT</v>
          </cell>
          <cell r="B399" t="str">
            <v>CLASS 3</v>
          </cell>
        </row>
        <row r="400">
          <cell r="A400" t="str">
            <v>4060AS</v>
          </cell>
          <cell r="B400" t="str">
            <v>N/Ster</v>
          </cell>
        </row>
        <row r="401">
          <cell r="A401" t="str">
            <v>4067AS</v>
          </cell>
          <cell r="B401" t="str">
            <v>N/Ster</v>
          </cell>
        </row>
        <row r="402">
          <cell r="A402" t="str">
            <v>4070AS</v>
          </cell>
          <cell r="B402" t="str">
            <v>N/Ster</v>
          </cell>
        </row>
        <row r="403">
          <cell r="A403" t="str">
            <v>4075AS</v>
          </cell>
          <cell r="B403" t="str">
            <v>N/Ster</v>
          </cell>
        </row>
        <row r="404">
          <cell r="A404" t="str">
            <v>4079AS</v>
          </cell>
          <cell r="B404" t="str">
            <v>N/Ster</v>
          </cell>
        </row>
        <row r="405">
          <cell r="A405" t="str">
            <v>8242A</v>
          </cell>
          <cell r="B405" t="str">
            <v>N/Ster</v>
          </cell>
        </row>
        <row r="406">
          <cell r="A406" t="str">
            <v>97-93039</v>
          </cell>
          <cell r="B406" t="str">
            <v>CLASS 1</v>
          </cell>
        </row>
        <row r="407">
          <cell r="A407" t="str">
            <v>97-99687</v>
          </cell>
          <cell r="B407" t="str">
            <v>CLASS 1</v>
          </cell>
        </row>
        <row r="408">
          <cell r="A408">
            <v>8329</v>
          </cell>
          <cell r="B408" t="str">
            <v>CLASS 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PAGE2"/>
      <sheetName val="PAGE3"/>
      <sheetName val="PAGE4"/>
      <sheetName val="DROPTAG"/>
      <sheetName val="matreqdload"/>
      <sheetName val=" 09-26-01"/>
      <sheetName val="08-02-01 "/>
      <sheetName val="CHECKLIST"/>
      <sheetName val="09-61-01"/>
      <sheetName val="09-61-02"/>
      <sheetName val="expedite form"/>
      <sheetName val="10-02-01"/>
      <sheetName val="DATAPAGE"/>
      <sheetName val="Sheet1"/>
      <sheetName val="Complocrpt"/>
      <sheetName val="Directions"/>
      <sheetName val="100-01 -ignore"/>
      <sheetName val="SAMPLE SIZE"/>
      <sheetName val="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3">
          <cell r="A3">
            <v>1</v>
          </cell>
          <cell r="B3" t="str">
            <v>5010D</v>
          </cell>
          <cell r="C3" t="str">
            <v>UNPRINTED INNER CTN</v>
          </cell>
          <cell r="D3" t="str">
            <v>161</v>
          </cell>
          <cell r="E3" t="str">
            <v>EA</v>
          </cell>
          <cell r="F3" t="str">
            <v>0001</v>
          </cell>
          <cell r="G3" t="str">
            <v>1</v>
          </cell>
        </row>
        <row r="4">
          <cell r="A4">
            <v>2</v>
          </cell>
          <cell r="B4" t="str">
            <v>5011M-1</v>
          </cell>
          <cell r="C4" t="str">
            <v>SHIPPER CTN</v>
          </cell>
          <cell r="D4" t="str">
            <v>20</v>
          </cell>
          <cell r="E4" t="str">
            <v>EA</v>
          </cell>
          <cell r="F4" t="str">
            <v>0001</v>
          </cell>
          <cell r="G4" t="str">
            <v>1</v>
          </cell>
        </row>
        <row r="5">
          <cell r="A5">
            <v>3</v>
          </cell>
          <cell r="B5" t="str">
            <v>2042FS</v>
          </cell>
          <cell r="C5" t="str">
            <v>2FS TYVEK UNCOATED 308MM</v>
          </cell>
          <cell r="D5" t="str">
            <v>87</v>
          </cell>
          <cell r="E5" t="str">
            <v>MI</v>
          </cell>
          <cell r="F5" t="str">
            <v>0009</v>
          </cell>
          <cell r="G5" t="str">
            <v>1</v>
          </cell>
        </row>
        <row r="6">
          <cell r="A6">
            <v>4</v>
          </cell>
          <cell r="B6" t="str">
            <v>2962</v>
          </cell>
          <cell r="C6" t="str">
            <v>8MIL PLYLENE,322MM WIDE</v>
          </cell>
          <cell r="D6" t="str">
            <v>26</v>
          </cell>
          <cell r="E6" t="str">
            <v>LB</v>
          </cell>
          <cell r="F6" t="str">
            <v>0009</v>
          </cell>
          <cell r="G6" t="str">
            <v>1</v>
          </cell>
        </row>
        <row r="7">
          <cell r="A7">
            <v>5</v>
          </cell>
          <cell r="B7" t="str">
            <v>5080B</v>
          </cell>
          <cell r="C7" t="str">
            <v>3/8 Y-Connector</v>
          </cell>
          <cell r="D7" t="str">
            <v>4021</v>
          </cell>
          <cell r="E7" t="str">
            <v>EA</v>
          </cell>
          <cell r="F7" t="str">
            <v>0050</v>
          </cell>
          <cell r="G7" t="str">
            <v>1</v>
          </cell>
        </row>
        <row r="8">
          <cell r="A8">
            <v>6</v>
          </cell>
          <cell r="B8" t="str">
            <v>LU100</v>
          </cell>
          <cell r="C8" t="str">
            <v>CORNER SHIPPER LABEL</v>
          </cell>
          <cell r="D8" t="str">
            <v>21</v>
          </cell>
          <cell r="E8" t="str">
            <v>EA</v>
          </cell>
          <cell r="F8" t="str">
            <v>0091</v>
          </cell>
          <cell r="G8" t="str">
            <v>1</v>
          </cell>
        </row>
        <row r="9">
          <cell r="A9">
            <v>7</v>
          </cell>
          <cell r="B9" t="str">
            <v>LU102</v>
          </cell>
          <cell r="C9" t="str">
            <v>3" X 4" DISPENSER LABEL</v>
          </cell>
          <cell r="D9" t="str">
            <v>162</v>
          </cell>
          <cell r="E9" t="str">
            <v>EA</v>
          </cell>
          <cell r="F9" t="str">
            <v>0091</v>
          </cell>
          <cell r="G9" t="str">
            <v>1</v>
          </cell>
        </row>
        <row r="10">
          <cell r="A10">
            <v>8</v>
          </cell>
          <cell r="B10" t="str">
            <v>End of Report</v>
          </cell>
          <cell r="G10" t="str">
            <v>1</v>
          </cell>
        </row>
        <row r="11">
          <cell r="A11">
            <v>9</v>
          </cell>
          <cell r="G11" t="str">
            <v>1</v>
          </cell>
        </row>
        <row r="12">
          <cell r="A12">
            <v>10</v>
          </cell>
          <cell r="G12" t="str">
            <v>1</v>
          </cell>
        </row>
        <row r="13">
          <cell r="A13">
            <v>11</v>
          </cell>
          <cell r="G13" t="str">
            <v>1</v>
          </cell>
        </row>
        <row r="14">
          <cell r="A14">
            <v>12</v>
          </cell>
          <cell r="G14" t="str">
            <v>1</v>
          </cell>
        </row>
        <row r="15">
          <cell r="A15">
            <v>13</v>
          </cell>
          <cell r="G15" t="str">
            <v>1</v>
          </cell>
        </row>
        <row r="16">
          <cell r="A16">
            <v>14</v>
          </cell>
          <cell r="G16" t="str">
            <v>1</v>
          </cell>
        </row>
        <row r="17">
          <cell r="A17">
            <v>15</v>
          </cell>
          <cell r="G17" t="str">
            <v>1</v>
          </cell>
        </row>
        <row r="18">
          <cell r="A18">
            <v>16</v>
          </cell>
          <cell r="G18" t="str">
            <v>1</v>
          </cell>
        </row>
        <row r="19">
          <cell r="A19">
            <v>17</v>
          </cell>
          <cell r="G19" t="str">
            <v>1</v>
          </cell>
        </row>
        <row r="20">
          <cell r="A20">
            <v>18</v>
          </cell>
          <cell r="G20" t="str">
            <v>1</v>
          </cell>
        </row>
        <row r="21">
          <cell r="A21">
            <v>19</v>
          </cell>
          <cell r="G21" t="str">
            <v>1</v>
          </cell>
        </row>
        <row r="22">
          <cell r="A22">
            <v>20</v>
          </cell>
          <cell r="G22" t="str">
            <v>1</v>
          </cell>
        </row>
        <row r="23">
          <cell r="A23">
            <v>21</v>
          </cell>
          <cell r="G23" t="str">
            <v>1</v>
          </cell>
        </row>
        <row r="24">
          <cell r="A24">
            <v>22</v>
          </cell>
          <cell r="G24" t="str">
            <v>1</v>
          </cell>
        </row>
        <row r="25">
          <cell r="A25">
            <v>23</v>
          </cell>
          <cell r="G25" t="str">
            <v>1</v>
          </cell>
        </row>
        <row r="26">
          <cell r="A26">
            <v>24</v>
          </cell>
          <cell r="G26" t="str">
            <v>1</v>
          </cell>
        </row>
        <row r="27">
          <cell r="A27">
            <v>25</v>
          </cell>
          <cell r="G27" t="str">
            <v>1</v>
          </cell>
        </row>
        <row r="28">
          <cell r="A28">
            <v>26</v>
          </cell>
          <cell r="G28" t="str">
            <v>1</v>
          </cell>
        </row>
        <row r="29">
          <cell r="A29">
            <v>27</v>
          </cell>
          <cell r="G29" t="str">
            <v>2</v>
          </cell>
        </row>
        <row r="30">
          <cell r="A30">
            <v>28</v>
          </cell>
          <cell r="G30" t="str">
            <v>2</v>
          </cell>
        </row>
        <row r="31">
          <cell r="A31">
            <v>29</v>
          </cell>
          <cell r="G31" t="str">
            <v>2</v>
          </cell>
        </row>
        <row r="32">
          <cell r="A32">
            <v>30</v>
          </cell>
          <cell r="G32" t="str">
            <v>2</v>
          </cell>
        </row>
        <row r="33">
          <cell r="A33">
            <v>31</v>
          </cell>
          <cell r="G33" t="str">
            <v>2</v>
          </cell>
        </row>
        <row r="34">
          <cell r="A34">
            <v>32</v>
          </cell>
          <cell r="G34" t="str">
            <v>2</v>
          </cell>
        </row>
        <row r="35">
          <cell r="A35">
            <v>33</v>
          </cell>
          <cell r="G35" t="str">
            <v>2</v>
          </cell>
        </row>
        <row r="36">
          <cell r="A36">
            <v>34</v>
          </cell>
          <cell r="G36" t="str">
            <v>2</v>
          </cell>
        </row>
        <row r="37">
          <cell r="A37">
            <v>35</v>
          </cell>
          <cell r="G37" t="str">
            <v>2</v>
          </cell>
        </row>
        <row r="38">
          <cell r="A38">
            <v>36</v>
          </cell>
          <cell r="G38" t="str">
            <v>2</v>
          </cell>
        </row>
        <row r="39">
          <cell r="A39">
            <v>37</v>
          </cell>
          <cell r="G39" t="str">
            <v>2</v>
          </cell>
        </row>
        <row r="40">
          <cell r="A40">
            <v>38</v>
          </cell>
          <cell r="G40" t="str">
            <v>2</v>
          </cell>
        </row>
        <row r="41">
          <cell r="A41">
            <v>39</v>
          </cell>
          <cell r="G41" t="str">
            <v>2</v>
          </cell>
        </row>
        <row r="42">
          <cell r="A42">
            <v>40</v>
          </cell>
          <cell r="G42" t="str">
            <v>2</v>
          </cell>
        </row>
        <row r="43">
          <cell r="A43">
            <v>41</v>
          </cell>
          <cell r="G43" t="str">
            <v>2</v>
          </cell>
        </row>
        <row r="44">
          <cell r="A44">
            <v>42</v>
          </cell>
          <cell r="G44" t="str">
            <v>2</v>
          </cell>
        </row>
        <row r="45">
          <cell r="A45">
            <v>43</v>
          </cell>
          <cell r="G45" t="str">
            <v>2</v>
          </cell>
        </row>
        <row r="46">
          <cell r="A46">
            <v>44</v>
          </cell>
          <cell r="G46" t="str">
            <v>2</v>
          </cell>
        </row>
        <row r="47">
          <cell r="A47">
            <v>45</v>
          </cell>
          <cell r="G47" t="str">
            <v>2</v>
          </cell>
        </row>
        <row r="48">
          <cell r="A48">
            <v>46</v>
          </cell>
          <cell r="G48" t="str">
            <v>2</v>
          </cell>
        </row>
        <row r="49">
          <cell r="A49">
            <v>47</v>
          </cell>
          <cell r="G49" t="str">
            <v>2</v>
          </cell>
        </row>
        <row r="50">
          <cell r="A50">
            <v>48</v>
          </cell>
          <cell r="G50" t="str">
            <v>2</v>
          </cell>
        </row>
        <row r="51">
          <cell r="A51">
            <v>49</v>
          </cell>
          <cell r="G51" t="str">
            <v>2</v>
          </cell>
        </row>
        <row r="52">
          <cell r="A52">
            <v>50</v>
          </cell>
          <cell r="G52" t="str">
            <v>2</v>
          </cell>
        </row>
        <row r="53">
          <cell r="A53">
            <v>51</v>
          </cell>
          <cell r="G53" t="str">
            <v>2</v>
          </cell>
        </row>
        <row r="54">
          <cell r="A54">
            <v>52</v>
          </cell>
          <cell r="G54" t="str">
            <v>3</v>
          </cell>
        </row>
        <row r="55">
          <cell r="A55">
            <v>53</v>
          </cell>
          <cell r="G55" t="str">
            <v>3</v>
          </cell>
        </row>
        <row r="56">
          <cell r="A56">
            <v>54</v>
          </cell>
          <cell r="G56" t="str">
            <v>3</v>
          </cell>
        </row>
        <row r="57">
          <cell r="A57">
            <v>55</v>
          </cell>
          <cell r="G57" t="str">
            <v>3</v>
          </cell>
        </row>
        <row r="58">
          <cell r="A58">
            <v>56</v>
          </cell>
          <cell r="G58" t="str">
            <v>3</v>
          </cell>
        </row>
        <row r="59">
          <cell r="A59">
            <v>57</v>
          </cell>
          <cell r="G59" t="str">
            <v>3</v>
          </cell>
        </row>
        <row r="60">
          <cell r="A60">
            <v>58</v>
          </cell>
          <cell r="G60" t="str">
            <v>3</v>
          </cell>
        </row>
        <row r="61">
          <cell r="A61">
            <v>59</v>
          </cell>
          <cell r="G61" t="str">
            <v>3</v>
          </cell>
        </row>
        <row r="62">
          <cell r="A62">
            <v>60</v>
          </cell>
          <cell r="G62" t="str">
            <v>3</v>
          </cell>
        </row>
        <row r="63">
          <cell r="A63">
            <v>61</v>
          </cell>
          <cell r="G63" t="str">
            <v>3</v>
          </cell>
        </row>
        <row r="64">
          <cell r="A64">
            <v>62</v>
          </cell>
          <cell r="G64" t="str">
            <v>3</v>
          </cell>
        </row>
        <row r="65">
          <cell r="A65">
            <v>63</v>
          </cell>
          <cell r="G65" t="str">
            <v>3</v>
          </cell>
        </row>
        <row r="66">
          <cell r="A66">
            <v>64</v>
          </cell>
          <cell r="G66" t="str">
            <v>3</v>
          </cell>
        </row>
        <row r="67">
          <cell r="A67">
            <v>65</v>
          </cell>
          <cell r="G67" t="str">
            <v>3</v>
          </cell>
        </row>
        <row r="68">
          <cell r="A68">
            <v>66</v>
          </cell>
          <cell r="G68" t="str">
            <v>3</v>
          </cell>
        </row>
        <row r="69">
          <cell r="A69">
            <v>67</v>
          </cell>
          <cell r="G69" t="str">
            <v>3</v>
          </cell>
        </row>
        <row r="70">
          <cell r="A70">
            <v>68</v>
          </cell>
          <cell r="G70" t="str">
            <v>3</v>
          </cell>
        </row>
        <row r="71">
          <cell r="A71">
            <v>69</v>
          </cell>
          <cell r="G71" t="str">
            <v>3</v>
          </cell>
        </row>
        <row r="72">
          <cell r="A72">
            <v>70</v>
          </cell>
          <cell r="G72" t="str">
            <v>3</v>
          </cell>
        </row>
        <row r="73">
          <cell r="A73">
            <v>71</v>
          </cell>
          <cell r="G73" t="str">
            <v>3</v>
          </cell>
        </row>
        <row r="74">
          <cell r="A74">
            <v>72</v>
          </cell>
          <cell r="G74" t="str">
            <v>3</v>
          </cell>
        </row>
        <row r="75">
          <cell r="A75">
            <v>73</v>
          </cell>
          <cell r="G75" t="str">
            <v>3</v>
          </cell>
        </row>
        <row r="76">
          <cell r="A76">
            <v>74</v>
          </cell>
          <cell r="G76" t="str">
            <v>3</v>
          </cell>
        </row>
        <row r="77">
          <cell r="A77">
            <v>75</v>
          </cell>
          <cell r="G77" t="str">
            <v>3</v>
          </cell>
        </row>
        <row r="78">
          <cell r="A78">
            <v>76</v>
          </cell>
          <cell r="G78" t="str">
            <v>3</v>
          </cell>
        </row>
        <row r="79">
          <cell r="A79">
            <v>77</v>
          </cell>
          <cell r="G79" t="str">
            <v>4</v>
          </cell>
        </row>
        <row r="80">
          <cell r="A80">
            <v>78</v>
          </cell>
          <cell r="G80" t="str">
            <v>4</v>
          </cell>
        </row>
        <row r="81">
          <cell r="A81">
            <v>79</v>
          </cell>
          <cell r="G81" t="str">
            <v>4</v>
          </cell>
        </row>
        <row r="82">
          <cell r="A82">
            <v>80</v>
          </cell>
          <cell r="G82" t="str">
            <v>4</v>
          </cell>
        </row>
        <row r="83">
          <cell r="A83">
            <v>81</v>
          </cell>
          <cell r="G83" t="str">
            <v>4</v>
          </cell>
        </row>
        <row r="84">
          <cell r="A84">
            <v>82</v>
          </cell>
          <cell r="G84" t="str">
            <v>4</v>
          </cell>
        </row>
        <row r="85">
          <cell r="A85">
            <v>83</v>
          </cell>
          <cell r="G85" t="str">
            <v>4</v>
          </cell>
        </row>
        <row r="86">
          <cell r="A86">
            <v>84</v>
          </cell>
          <cell r="G86" t="str">
            <v>4</v>
          </cell>
        </row>
        <row r="87">
          <cell r="A87">
            <v>85</v>
          </cell>
          <cell r="G87" t="str">
            <v>4</v>
          </cell>
        </row>
        <row r="88">
          <cell r="A88">
            <v>86</v>
          </cell>
          <cell r="G88" t="str">
            <v>4</v>
          </cell>
        </row>
        <row r="89">
          <cell r="A89">
            <v>87</v>
          </cell>
          <cell r="G89" t="str">
            <v>4</v>
          </cell>
        </row>
        <row r="90">
          <cell r="A90">
            <v>88</v>
          </cell>
          <cell r="G90" t="str">
            <v>4</v>
          </cell>
        </row>
        <row r="91">
          <cell r="A91">
            <v>89</v>
          </cell>
          <cell r="G91" t="str">
            <v>4</v>
          </cell>
        </row>
        <row r="92">
          <cell r="A92">
            <v>90</v>
          </cell>
          <cell r="G92" t="str">
            <v>4</v>
          </cell>
        </row>
        <row r="93">
          <cell r="A93">
            <v>91</v>
          </cell>
          <cell r="G93" t="str">
            <v>4</v>
          </cell>
        </row>
        <row r="94">
          <cell r="A94">
            <v>92</v>
          </cell>
          <cell r="G94" t="str">
            <v>4</v>
          </cell>
        </row>
        <row r="95">
          <cell r="A95">
            <v>93</v>
          </cell>
          <cell r="G95" t="str">
            <v>4</v>
          </cell>
        </row>
        <row r="96">
          <cell r="A96">
            <v>94</v>
          </cell>
          <cell r="G96" t="str">
            <v>4</v>
          </cell>
        </row>
        <row r="97">
          <cell r="A97">
            <v>95</v>
          </cell>
          <cell r="G97" t="str">
            <v>4</v>
          </cell>
        </row>
        <row r="98">
          <cell r="A98">
            <v>96</v>
          </cell>
          <cell r="G98" t="str">
            <v>4</v>
          </cell>
        </row>
        <row r="99">
          <cell r="A99">
            <v>97</v>
          </cell>
          <cell r="G99" t="str">
            <v>4</v>
          </cell>
        </row>
        <row r="100">
          <cell r="A100">
            <v>98</v>
          </cell>
          <cell r="G100" t="str">
            <v>4</v>
          </cell>
        </row>
        <row r="101">
          <cell r="A101">
            <v>99</v>
          </cell>
          <cell r="G101" t="str">
            <v>4</v>
          </cell>
        </row>
        <row r="102">
          <cell r="A102">
            <v>100</v>
          </cell>
          <cell r="G102" t="str">
            <v>4</v>
          </cell>
        </row>
        <row r="103">
          <cell r="A103">
            <v>101</v>
          </cell>
          <cell r="G103" t="str">
            <v>4</v>
          </cell>
        </row>
        <row r="104">
          <cell r="A104">
            <v>102</v>
          </cell>
          <cell r="G104" t="str">
            <v>4</v>
          </cell>
        </row>
        <row r="105">
          <cell r="A105">
            <v>103</v>
          </cell>
          <cell r="G105" t="str">
            <v>4</v>
          </cell>
        </row>
        <row r="106">
          <cell r="A106">
            <v>104</v>
          </cell>
          <cell r="G106" t="str">
            <v>4</v>
          </cell>
        </row>
        <row r="107">
          <cell r="A107">
            <v>105</v>
          </cell>
          <cell r="G107" t="str">
            <v>4</v>
          </cell>
        </row>
        <row r="108">
          <cell r="A108">
            <v>106</v>
          </cell>
          <cell r="G108" t="str">
            <v>4</v>
          </cell>
        </row>
        <row r="109">
          <cell r="A109">
            <v>107</v>
          </cell>
          <cell r="G109" t="str">
            <v>4</v>
          </cell>
        </row>
        <row r="110">
          <cell r="A110">
            <v>108</v>
          </cell>
          <cell r="G110" t="str">
            <v>4</v>
          </cell>
        </row>
        <row r="111">
          <cell r="A111">
            <v>109</v>
          </cell>
          <cell r="G111" t="str">
            <v>4</v>
          </cell>
        </row>
        <row r="112">
          <cell r="A112">
            <v>110</v>
          </cell>
          <cell r="G112" t="str">
            <v>4</v>
          </cell>
        </row>
        <row r="113">
          <cell r="G113" t="str">
            <v>incomplete!</v>
          </cell>
        </row>
        <row r="114">
          <cell r="G114" t="str">
            <v>incomplete!</v>
          </cell>
        </row>
        <row r="115">
          <cell r="G115" t="str">
            <v>incomplete!</v>
          </cell>
        </row>
        <row r="116">
          <cell r="G116" t="str">
            <v>incomplete!</v>
          </cell>
        </row>
        <row r="117">
          <cell r="G117" t="str">
            <v>incomplete!</v>
          </cell>
        </row>
        <row r="118">
          <cell r="G118" t="str">
            <v>incomplete!</v>
          </cell>
        </row>
        <row r="119">
          <cell r="G119" t="str">
            <v>incomplete!</v>
          </cell>
        </row>
        <row r="120">
          <cell r="G120" t="str">
            <v>incomplete!</v>
          </cell>
        </row>
        <row r="121">
          <cell r="G121" t="str">
            <v>incomplete!</v>
          </cell>
        </row>
        <row r="122">
          <cell r="G122" t="str">
            <v>incomplete!</v>
          </cell>
        </row>
        <row r="123">
          <cell r="G123" t="str">
            <v>incomplete!</v>
          </cell>
        </row>
        <row r="124">
          <cell r="G124" t="str">
            <v>incomplete!</v>
          </cell>
        </row>
        <row r="125">
          <cell r="G125" t="str">
            <v>incomplete!</v>
          </cell>
        </row>
        <row r="126">
          <cell r="G126" t="str">
            <v>incomplete!</v>
          </cell>
        </row>
        <row r="127">
          <cell r="G127" t="str">
            <v>incomplete!</v>
          </cell>
        </row>
        <row r="128">
          <cell r="G128" t="str">
            <v>incomplete!</v>
          </cell>
        </row>
        <row r="129">
          <cell r="G129" t="str">
            <v>incomplete!</v>
          </cell>
        </row>
        <row r="130">
          <cell r="G130" t="str">
            <v>incomplete!</v>
          </cell>
        </row>
        <row r="131">
          <cell r="G131" t="str">
            <v>incomplete!</v>
          </cell>
        </row>
        <row r="132">
          <cell r="G132" t="str">
            <v>incomplete!</v>
          </cell>
        </row>
        <row r="133">
          <cell r="G133" t="str">
            <v>incomplete!</v>
          </cell>
        </row>
        <row r="134">
          <cell r="G134" t="str">
            <v>incomplete!</v>
          </cell>
        </row>
        <row r="135">
          <cell r="G135" t="str">
            <v>incomplete!</v>
          </cell>
        </row>
        <row r="136">
          <cell r="G136" t="str">
            <v>incomplete!</v>
          </cell>
        </row>
        <row r="137">
          <cell r="G137" t="str">
            <v>incomplete!</v>
          </cell>
        </row>
        <row r="138">
          <cell r="G138" t="str">
            <v>incomplete!</v>
          </cell>
        </row>
        <row r="139">
          <cell r="G139" t="str">
            <v>incomplete!</v>
          </cell>
        </row>
        <row r="140">
          <cell r="G140" t="str">
            <v>incomplete!</v>
          </cell>
        </row>
        <row r="141">
          <cell r="G141" t="str">
            <v>incomplete!</v>
          </cell>
        </row>
        <row r="142">
          <cell r="G142" t="str">
            <v>incomplete!</v>
          </cell>
        </row>
        <row r="143">
          <cell r="G143" t="str">
            <v>incomplete!</v>
          </cell>
        </row>
        <row r="144">
          <cell r="G144" t="str">
            <v>incomplete!</v>
          </cell>
        </row>
        <row r="145">
          <cell r="G145" t="str">
            <v>incomplete!</v>
          </cell>
        </row>
        <row r="146">
          <cell r="G146" t="str">
            <v>incomplete!</v>
          </cell>
        </row>
        <row r="147">
          <cell r="G147" t="str">
            <v>incomplete!</v>
          </cell>
        </row>
        <row r="148">
          <cell r="G148" t="str">
            <v>incomplete!</v>
          </cell>
        </row>
        <row r="149">
          <cell r="G149" t="str">
            <v>incomplete!</v>
          </cell>
        </row>
        <row r="150">
          <cell r="G150" t="str">
            <v>incomplete!</v>
          </cell>
        </row>
        <row r="151">
          <cell r="G151" t="str">
            <v>incomplete!</v>
          </cell>
        </row>
        <row r="152">
          <cell r="G152" t="str">
            <v>incomplete!</v>
          </cell>
        </row>
        <row r="153">
          <cell r="G153" t="str">
            <v>incomplete!</v>
          </cell>
        </row>
        <row r="154">
          <cell r="G154" t="str">
            <v>incomplete!</v>
          </cell>
        </row>
        <row r="155">
          <cell r="G155" t="str">
            <v>incomplete!</v>
          </cell>
        </row>
        <row r="156">
          <cell r="G156" t="str">
            <v>incomplete!</v>
          </cell>
        </row>
        <row r="157">
          <cell r="G157" t="str">
            <v>incomplete!</v>
          </cell>
        </row>
        <row r="158">
          <cell r="G158" t="str">
            <v>incomplete!</v>
          </cell>
        </row>
        <row r="159">
          <cell r="G159" t="str">
            <v>incomplete!</v>
          </cell>
        </row>
        <row r="160">
          <cell r="G160" t="str">
            <v>incomplete!</v>
          </cell>
        </row>
        <row r="161">
          <cell r="G161" t="str">
            <v>incomplete!</v>
          </cell>
        </row>
        <row r="162">
          <cell r="G162" t="str">
            <v>incomplete!</v>
          </cell>
        </row>
        <row r="163">
          <cell r="G163" t="str">
            <v>incomplete!</v>
          </cell>
        </row>
        <row r="164">
          <cell r="G164" t="str">
            <v>incomplete!</v>
          </cell>
        </row>
        <row r="165">
          <cell r="G165" t="str">
            <v>incomplete!</v>
          </cell>
        </row>
        <row r="166">
          <cell r="G166" t="str">
            <v>incomplete!</v>
          </cell>
        </row>
        <row r="167">
          <cell r="G167" t="str">
            <v>incomplete!</v>
          </cell>
        </row>
        <row r="168">
          <cell r="G168" t="str">
            <v>incomplete!</v>
          </cell>
        </row>
        <row r="169">
          <cell r="G169" t="str">
            <v>incomplete!</v>
          </cell>
        </row>
        <row r="170">
          <cell r="G170" t="str">
            <v>incomplete!</v>
          </cell>
        </row>
        <row r="171">
          <cell r="G171" t="str">
            <v>incomplete!</v>
          </cell>
        </row>
        <row r="172">
          <cell r="G172" t="str">
            <v>incomplete!</v>
          </cell>
        </row>
        <row r="173">
          <cell r="G173" t="str">
            <v>incomplete!</v>
          </cell>
        </row>
        <row r="174">
          <cell r="G174" t="str">
            <v>incomplete!</v>
          </cell>
        </row>
        <row r="175">
          <cell r="G175" t="str">
            <v>incomplete!</v>
          </cell>
        </row>
        <row r="176">
          <cell r="G176" t="str">
            <v>incomplete!</v>
          </cell>
        </row>
        <row r="177">
          <cell r="G177" t="str">
            <v>incomplete!</v>
          </cell>
        </row>
        <row r="178">
          <cell r="G178" t="str">
            <v>incomplete!</v>
          </cell>
        </row>
        <row r="179">
          <cell r="G179" t="str">
            <v>incomplete!</v>
          </cell>
        </row>
        <row r="180">
          <cell r="G180" t="str">
            <v>incomplete!</v>
          </cell>
        </row>
        <row r="181">
          <cell r="G181" t="str">
            <v>incomplete!</v>
          </cell>
        </row>
        <row r="182">
          <cell r="G182" t="str">
            <v>incomplete!</v>
          </cell>
        </row>
        <row r="183">
          <cell r="G183" t="str">
            <v>incomplete!</v>
          </cell>
        </row>
        <row r="184">
          <cell r="G184" t="str">
            <v>incomplete!</v>
          </cell>
        </row>
        <row r="185">
          <cell r="G185" t="str">
            <v>incomplete!</v>
          </cell>
        </row>
        <row r="186">
          <cell r="G186" t="str">
            <v>incomplete!</v>
          </cell>
        </row>
        <row r="187">
          <cell r="G187" t="str">
            <v>incomplete!</v>
          </cell>
        </row>
        <row r="188">
          <cell r="G188" t="str">
            <v>incomplete!</v>
          </cell>
        </row>
        <row r="189">
          <cell r="G189" t="str">
            <v>incomplete!</v>
          </cell>
        </row>
        <row r="190">
          <cell r="G190" t="str">
            <v>incomplete!</v>
          </cell>
        </row>
        <row r="191">
          <cell r="G191" t="str">
            <v>incomplete!</v>
          </cell>
        </row>
        <row r="192">
          <cell r="G192" t="str">
            <v>incomplete!</v>
          </cell>
        </row>
        <row r="193">
          <cell r="G193" t="str">
            <v>incomplete!</v>
          </cell>
        </row>
        <row r="194">
          <cell r="G194" t="str">
            <v>incomplete!</v>
          </cell>
        </row>
        <row r="195">
          <cell r="G195" t="str">
            <v>incomplete!</v>
          </cell>
        </row>
        <row r="196">
          <cell r="G196" t="str">
            <v>incomplete!</v>
          </cell>
        </row>
        <row r="197">
          <cell r="G197" t="str">
            <v>incomplete!</v>
          </cell>
        </row>
      </sheetData>
      <sheetData sheetId="14" refreshError="1"/>
      <sheetData sheetId="15">
        <row r="1">
          <cell r="A1" t="str">
            <v>061319-1B</v>
          </cell>
          <cell r="B1" t="str">
            <v>FLOWONIX PROMETRA KIT</v>
          </cell>
          <cell r="C1" t="str">
            <v>EA</v>
          </cell>
        </row>
        <row r="2">
          <cell r="A2" t="str">
            <v>061319-1C</v>
          </cell>
          <cell r="B2" t="str">
            <v>FLOWONIX PROMETRA KIT</v>
          </cell>
          <cell r="C2" t="str">
            <v>EA</v>
          </cell>
        </row>
        <row r="3">
          <cell r="A3" t="str">
            <v>061319-1D</v>
          </cell>
          <cell r="B3" t="str">
            <v>FLOWONIX PROMETRA KIT</v>
          </cell>
          <cell r="C3" t="str">
            <v>EA</v>
          </cell>
        </row>
        <row r="4">
          <cell r="A4" t="str">
            <v>061319-1E</v>
          </cell>
          <cell r="B4" t="str">
            <v>FLOWONIX PROMETRA KIT</v>
          </cell>
          <cell r="C4" t="str">
            <v>EA</v>
          </cell>
        </row>
        <row r="5">
          <cell r="A5" t="str">
            <v>1052A</v>
          </cell>
          <cell r="B5" t="str">
            <v>2 SIDED SHAVE PREP RAZOR</v>
          </cell>
          <cell r="C5" t="str">
            <v>EA</v>
          </cell>
          <cell r="D5">
            <v>29</v>
          </cell>
          <cell r="E5">
            <v>200</v>
          </cell>
        </row>
        <row r="6">
          <cell r="A6" t="str">
            <v>1052B</v>
          </cell>
          <cell r="B6" t="str">
            <v>T/Antibiotic Ointment .9G</v>
          </cell>
          <cell r="C6" t="str">
            <v>EA</v>
          </cell>
          <cell r="D6">
            <v>28</v>
          </cell>
          <cell r="E6">
            <v>80</v>
          </cell>
        </row>
        <row r="7">
          <cell r="A7" t="str">
            <v>1052C</v>
          </cell>
          <cell r="B7" t="str">
            <v>4" Cross A/Retractor, S/P</v>
          </cell>
          <cell r="C7" t="str">
            <v>EA</v>
          </cell>
          <cell r="D7">
            <v>28</v>
          </cell>
          <cell r="E7">
            <v>314</v>
          </cell>
        </row>
        <row r="8">
          <cell r="A8" t="str">
            <v>1052D</v>
          </cell>
          <cell r="B8" t="str">
            <v>3-0 Redilon B/Suture 18"</v>
          </cell>
          <cell r="C8" t="str">
            <v>EA</v>
          </cell>
          <cell r="D8">
            <v>14</v>
          </cell>
          <cell r="E8">
            <v>411</v>
          </cell>
        </row>
        <row r="9">
          <cell r="A9" t="str">
            <v>1052E</v>
          </cell>
          <cell r="B9" t="str">
            <v>Content Sheet Color</v>
          </cell>
          <cell r="C9" t="str">
            <v>EA</v>
          </cell>
        </row>
        <row r="10">
          <cell r="A10" t="str">
            <v>1056A</v>
          </cell>
          <cell r="B10" t="str">
            <v>1/4" Packing Strip</v>
          </cell>
          <cell r="C10" t="str">
            <v>YD</v>
          </cell>
          <cell r="D10">
            <v>34</v>
          </cell>
          <cell r="E10">
            <v>8</v>
          </cell>
        </row>
        <row r="11">
          <cell r="A11" t="str">
            <v>1101A</v>
          </cell>
          <cell r="B11" t="str">
            <v>HARTMEN NASAL SPECULUM</v>
          </cell>
          <cell r="C11" t="str">
            <v>EA</v>
          </cell>
          <cell r="D11">
            <v>26</v>
          </cell>
          <cell r="E11">
            <v>233</v>
          </cell>
        </row>
        <row r="12">
          <cell r="A12" t="str">
            <v>1101B</v>
          </cell>
          <cell r="B12" t="str">
            <v>5.5" GRUENWALD NASAL FCEP</v>
          </cell>
          <cell r="C12" t="str">
            <v>EA</v>
          </cell>
          <cell r="D12">
            <v>34</v>
          </cell>
          <cell r="E12">
            <v>299</v>
          </cell>
        </row>
        <row r="13">
          <cell r="A13" t="str">
            <v>1104-1</v>
          </cell>
          <cell r="B13" t="str">
            <v>UNPTD CTN275TEST</v>
          </cell>
          <cell r="C13" t="str">
            <v>EA</v>
          </cell>
          <cell r="D13" t="str">
            <v>MZ3</v>
          </cell>
          <cell r="E13">
            <v>708</v>
          </cell>
        </row>
        <row r="14">
          <cell r="A14" t="str">
            <v>1107A</v>
          </cell>
          <cell r="B14" t="str">
            <v>3-0 Redisilk 18" Suture B</v>
          </cell>
          <cell r="C14" t="str">
            <v>EA</v>
          </cell>
          <cell r="D14">
            <v>14</v>
          </cell>
          <cell r="E14">
            <v>213</v>
          </cell>
        </row>
        <row r="15">
          <cell r="A15" t="str">
            <v>1108A</v>
          </cell>
          <cell r="B15" t="str">
            <v>POVIDONE IOD SOLUTION 2OZ</v>
          </cell>
          <cell r="C15" t="str">
            <v>EA</v>
          </cell>
          <cell r="D15">
            <v>14</v>
          </cell>
          <cell r="E15">
            <v>118</v>
          </cell>
        </row>
        <row r="16">
          <cell r="A16" t="str">
            <v>1108C</v>
          </cell>
          <cell r="B16" t="str">
            <v>25GX1"NEEDLE STERILE</v>
          </cell>
          <cell r="C16" t="str">
            <v>EA</v>
          </cell>
          <cell r="D16" t="str">
            <v>N4</v>
          </cell>
          <cell r="E16">
            <v>88</v>
          </cell>
        </row>
        <row r="17">
          <cell r="A17" t="str">
            <v>1119A-1</v>
          </cell>
          <cell r="B17" t="str">
            <v>ROUNDSTICK 11/2"X/RAY/SP</v>
          </cell>
          <cell r="C17" t="str">
            <v>EA</v>
          </cell>
          <cell r="D17">
            <v>20</v>
          </cell>
          <cell r="E17">
            <v>2725</v>
          </cell>
        </row>
        <row r="18">
          <cell r="A18" t="str">
            <v>1119B</v>
          </cell>
          <cell r="B18" t="str">
            <v>SPIKE ACESS DEVICE STER</v>
          </cell>
          <cell r="C18" t="str">
            <v>EA</v>
          </cell>
          <cell r="D18">
            <v>14</v>
          </cell>
          <cell r="E18">
            <v>2265</v>
          </cell>
        </row>
        <row r="19">
          <cell r="A19" t="str">
            <v>1119C</v>
          </cell>
          <cell r="B19" t="str">
            <v>21G X 1.5 MAGELLAN NEEDLE</v>
          </cell>
          <cell r="C19" t="str">
            <v>EA</v>
          </cell>
          <cell r="D19" t="str">
            <v>N5</v>
          </cell>
          <cell r="E19">
            <v>3111</v>
          </cell>
        </row>
        <row r="20">
          <cell r="A20" t="str">
            <v>1123</v>
          </cell>
          <cell r="B20" t="str">
            <v>2x2 Nu Gauze Sponges</v>
          </cell>
          <cell r="C20" t="str">
            <v>EA</v>
          </cell>
          <cell r="D20">
            <v>28</v>
          </cell>
          <cell r="E20">
            <v>19756</v>
          </cell>
        </row>
        <row r="21">
          <cell r="A21" t="str">
            <v>1155A-1</v>
          </cell>
          <cell r="B21" t="str">
            <v>1.175X.05 LABEL 27SHEET</v>
          </cell>
          <cell r="C21" t="str">
            <v>EA</v>
          </cell>
        </row>
        <row r="22">
          <cell r="A22" t="str">
            <v>1205A</v>
          </cell>
          <cell r="B22" t="str">
            <v>DEPO MEDROL 80MG LABEL</v>
          </cell>
          <cell r="C22" t="str">
            <v>EA</v>
          </cell>
        </row>
        <row r="23">
          <cell r="A23" t="str">
            <v>1205B</v>
          </cell>
          <cell r="B23" t="str">
            <v>DEPO MEDROL 40MG LABEL</v>
          </cell>
          <cell r="C23" t="str">
            <v>EA</v>
          </cell>
        </row>
        <row r="24">
          <cell r="A24" t="str">
            <v>1205G</v>
          </cell>
          <cell r="B24" t="str">
            <v>LAB1.75X0.5DEXAM10MG</v>
          </cell>
          <cell r="C24" t="str">
            <v>EA</v>
          </cell>
        </row>
        <row r="25">
          <cell r="A25" t="str">
            <v>1205H</v>
          </cell>
          <cell r="B25" t="str">
            <v>LAB1.75X0.5DEXAM20MG</v>
          </cell>
          <cell r="C25" t="str">
            <v>EA</v>
          </cell>
        </row>
        <row r="26">
          <cell r="A26" t="str">
            <v>1229A</v>
          </cell>
          <cell r="B26" t="str">
            <v>6" EXT SETW/F&amp;M LUER LOCK</v>
          </cell>
          <cell r="C26" t="str">
            <v>EA</v>
          </cell>
        </row>
        <row r="27">
          <cell r="A27" t="str">
            <v>1233A</v>
          </cell>
          <cell r="B27" t="str">
            <v>1-9/16 X 3.5 P/M LABEL</v>
          </cell>
          <cell r="C27" t="str">
            <v>EA</v>
          </cell>
          <cell r="D27">
            <v>5</v>
          </cell>
          <cell r="E27">
            <v>45553</v>
          </cell>
        </row>
        <row r="28">
          <cell r="A28" t="str">
            <v>1264B</v>
          </cell>
          <cell r="B28" t="str">
            <v>2 1/2" X 2 3/4" TEGADERM</v>
          </cell>
          <cell r="C28" t="str">
            <v>EA</v>
          </cell>
        </row>
        <row r="29">
          <cell r="A29" t="str">
            <v>1281</v>
          </cell>
          <cell r="B29" t="str">
            <v>2X2 6PLY PRE-SPLIT GAUZE</v>
          </cell>
          <cell r="C29" t="str">
            <v>EA</v>
          </cell>
          <cell r="D29">
            <v>24</v>
          </cell>
          <cell r="E29">
            <v>5777</v>
          </cell>
        </row>
        <row r="30">
          <cell r="A30" t="str">
            <v>1291A</v>
          </cell>
          <cell r="B30" t="str">
            <v>OMNIPAQUE 300 L/1.75X0.5</v>
          </cell>
          <cell r="C30" t="str">
            <v>EA</v>
          </cell>
        </row>
        <row r="31">
          <cell r="A31" t="str">
            <v>1303A-1</v>
          </cell>
          <cell r="B31" t="str">
            <v>DRAPE SHEET 55"X75"</v>
          </cell>
          <cell r="C31" t="str">
            <v>EA</v>
          </cell>
          <cell r="D31">
            <v>19</v>
          </cell>
          <cell r="E31">
            <v>2453</v>
          </cell>
        </row>
        <row r="32">
          <cell r="A32" t="str">
            <v>1311A</v>
          </cell>
          <cell r="B32" t="str">
            <v>MYCO 18GX3.5" TUOHY/REMWG</v>
          </cell>
          <cell r="C32" t="str">
            <v>EA</v>
          </cell>
          <cell r="D32" t="str">
            <v>N1</v>
          </cell>
          <cell r="E32">
            <v>231</v>
          </cell>
        </row>
        <row r="33">
          <cell r="A33" t="str">
            <v>1330C</v>
          </cell>
          <cell r="B33" t="str">
            <v>7MM STRAIGHT CURETTE</v>
          </cell>
          <cell r="C33" t="str">
            <v>EA</v>
          </cell>
          <cell r="D33">
            <v>32</v>
          </cell>
          <cell r="E33">
            <v>7743</v>
          </cell>
        </row>
        <row r="34">
          <cell r="A34" t="str">
            <v>1340C</v>
          </cell>
          <cell r="B34" t="str">
            <v>8MM STRAIGHT CURETTE</v>
          </cell>
          <cell r="C34" t="str">
            <v>EA</v>
          </cell>
          <cell r="D34">
            <v>62</v>
          </cell>
          <cell r="E34">
            <v>12169</v>
          </cell>
        </row>
        <row r="35">
          <cell r="A35" t="str">
            <v>1346C</v>
          </cell>
          <cell r="B35" t="str">
            <v>LABEL PRINT CELESTONE</v>
          </cell>
          <cell r="C35" t="str">
            <v>EA</v>
          </cell>
        </row>
        <row r="36">
          <cell r="A36" t="str">
            <v>1346F</v>
          </cell>
          <cell r="B36" t="str">
            <v>LABEL PRT MARCAINE 025%</v>
          </cell>
          <cell r="C36" t="str">
            <v>EA</v>
          </cell>
        </row>
        <row r="37">
          <cell r="A37" t="str">
            <v>1350C</v>
          </cell>
          <cell r="B37" t="str">
            <v>9MM STRAIGHT CURETTE</v>
          </cell>
          <cell r="C37" t="str">
            <v>EA</v>
          </cell>
          <cell r="D37">
            <v>25</v>
          </cell>
          <cell r="E37">
            <v>10154</v>
          </cell>
        </row>
        <row r="38">
          <cell r="A38" t="str">
            <v>1360C</v>
          </cell>
          <cell r="B38" t="str">
            <v>10MM STRAIGHT CURETTE</v>
          </cell>
          <cell r="C38" t="str">
            <v>EA</v>
          </cell>
          <cell r="D38">
            <v>59</v>
          </cell>
          <cell r="E38">
            <v>6299</v>
          </cell>
        </row>
        <row r="39">
          <cell r="A39" t="str">
            <v>1370C</v>
          </cell>
          <cell r="B39" t="str">
            <v>11MM STRAIGHT CURETTE</v>
          </cell>
          <cell r="C39" t="str">
            <v>EA</v>
          </cell>
          <cell r="D39">
            <v>61</v>
          </cell>
          <cell r="E39">
            <v>5969</v>
          </cell>
        </row>
        <row r="40">
          <cell r="A40" t="str">
            <v>1380C</v>
          </cell>
          <cell r="B40" t="str">
            <v>12MM STRAIGHT CURETTE</v>
          </cell>
          <cell r="C40" t="str">
            <v>EA</v>
          </cell>
          <cell r="D40">
            <v>59</v>
          </cell>
          <cell r="E40">
            <v>7349</v>
          </cell>
        </row>
        <row r="41">
          <cell r="A41" t="str">
            <v>1390C</v>
          </cell>
          <cell r="B41" t="str">
            <v>14MM STRAIGHT CURETTE</v>
          </cell>
          <cell r="C41" t="str">
            <v>EA</v>
          </cell>
          <cell r="D41">
            <v>23</v>
          </cell>
          <cell r="E41">
            <v>9398</v>
          </cell>
        </row>
        <row r="42">
          <cell r="A42" t="str">
            <v>1401A</v>
          </cell>
          <cell r="B42" t="str">
            <v>DYNAFLEX G2755 RESIN</v>
          </cell>
          <cell r="C42" t="str">
            <v>LB</v>
          </cell>
        </row>
        <row r="43">
          <cell r="A43" t="str">
            <v>1410B-2</v>
          </cell>
          <cell r="B43" t="str">
            <v>1OZ BULB SYR ASSEM/N/LOGO</v>
          </cell>
          <cell r="C43" t="str">
            <v>EA</v>
          </cell>
          <cell r="D43">
            <v>50</v>
          </cell>
          <cell r="E43">
            <v>7107</v>
          </cell>
        </row>
        <row r="44">
          <cell r="A44" t="str">
            <v>1410B-2</v>
          </cell>
          <cell r="B44" t="str">
            <v>1OZ BULB SYR ASSEM/N/LOGO</v>
          </cell>
          <cell r="C44" t="str">
            <v>EA</v>
          </cell>
          <cell r="D44" t="str">
            <v>149PKG</v>
          </cell>
          <cell r="E44">
            <v>800</v>
          </cell>
        </row>
        <row r="45">
          <cell r="A45" t="str">
            <v>1411A</v>
          </cell>
          <cell r="B45" t="str">
            <v>9 MIL SURLYN FILM G/2102</v>
          </cell>
          <cell r="C45" t="str">
            <v>LB</v>
          </cell>
          <cell r="D45">
            <v>35</v>
          </cell>
          <cell r="E45">
            <v>5764</v>
          </cell>
        </row>
        <row r="46">
          <cell r="A46" t="str">
            <v>1420C-1</v>
          </cell>
          <cell r="B46" t="str">
            <v>BLUE PVC 3305C-62NT</v>
          </cell>
          <cell r="C46" t="str">
            <v>LB</v>
          </cell>
          <cell r="D46">
            <v>145</v>
          </cell>
          <cell r="E46">
            <v>3310</v>
          </cell>
        </row>
        <row r="47">
          <cell r="A47" t="str">
            <v>1421A</v>
          </cell>
          <cell r="B47" t="str">
            <v>2 OZ ROUNDED TOP</v>
          </cell>
          <cell r="C47" t="str">
            <v>EA</v>
          </cell>
          <cell r="D47">
            <v>144</v>
          </cell>
          <cell r="E47">
            <v>3200</v>
          </cell>
        </row>
        <row r="48">
          <cell r="A48" t="str">
            <v>1421BN</v>
          </cell>
          <cell r="B48" t="str">
            <v>2OZ BULB SYRINGE</v>
          </cell>
          <cell r="C48" t="str">
            <v>EA</v>
          </cell>
          <cell r="D48" t="str">
            <v>F14</v>
          </cell>
          <cell r="E48">
            <v>45953</v>
          </cell>
        </row>
        <row r="49">
          <cell r="A49" t="str">
            <v>1421BN</v>
          </cell>
          <cell r="B49" t="str">
            <v>2OZ BULB SYRINGE</v>
          </cell>
          <cell r="C49" t="str">
            <v>EA</v>
          </cell>
          <cell r="D49" t="str">
            <v>149PKG</v>
          </cell>
          <cell r="E49">
            <v>1055</v>
          </cell>
        </row>
        <row r="50">
          <cell r="A50" t="str">
            <v>1421D-1</v>
          </cell>
          <cell r="B50" t="str">
            <v>BLUE PVC 3305C-65NT</v>
          </cell>
          <cell r="C50" t="str">
            <v>LB</v>
          </cell>
          <cell r="D50">
            <v>145</v>
          </cell>
          <cell r="E50">
            <v>1587</v>
          </cell>
        </row>
        <row r="51">
          <cell r="A51" t="str">
            <v>1421T</v>
          </cell>
          <cell r="B51" t="str">
            <v>2OZ BOTTOM TIP</v>
          </cell>
          <cell r="C51" t="str">
            <v>EA</v>
          </cell>
        </row>
        <row r="52">
          <cell r="A52" t="str">
            <v>1422A</v>
          </cell>
          <cell r="B52" t="str">
            <v>18GX1-1/2"STER NEEDLE</v>
          </cell>
          <cell r="C52" t="str">
            <v>EA</v>
          </cell>
          <cell r="D52" t="str">
            <v>N1</v>
          </cell>
          <cell r="E52">
            <v>233</v>
          </cell>
        </row>
        <row r="53">
          <cell r="A53" t="str">
            <v>1422B</v>
          </cell>
          <cell r="B53" t="str">
            <v>6" BLUNT EYE PROBE</v>
          </cell>
          <cell r="C53" t="str">
            <v>EA</v>
          </cell>
          <cell r="D53">
            <v>38</v>
          </cell>
          <cell r="E53">
            <v>739</v>
          </cell>
        </row>
        <row r="54">
          <cell r="A54" t="str">
            <v>1430C</v>
          </cell>
          <cell r="B54" t="str">
            <v>GREEN PVC 3201C-55NT</v>
          </cell>
          <cell r="C54" t="str">
            <v>LB</v>
          </cell>
          <cell r="D54">
            <v>145</v>
          </cell>
          <cell r="E54">
            <v>6971</v>
          </cell>
        </row>
        <row r="55">
          <cell r="A55" t="str">
            <v>1431B-1</v>
          </cell>
          <cell r="B55" t="str">
            <v>N/STER 3OZ BULB SYRINGE</v>
          </cell>
          <cell r="C55" t="str">
            <v>EA</v>
          </cell>
          <cell r="D55" t="str">
            <v>F16</v>
          </cell>
          <cell r="E55">
            <v>36900</v>
          </cell>
        </row>
        <row r="56">
          <cell r="A56" t="str">
            <v>1431B-1</v>
          </cell>
          <cell r="B56" t="str">
            <v>N/STER 3OZ BULB SYRINGE</v>
          </cell>
          <cell r="C56" t="str">
            <v>EA</v>
          </cell>
          <cell r="D56" t="str">
            <v>F15</v>
          </cell>
          <cell r="E56">
            <v>12740</v>
          </cell>
        </row>
        <row r="57">
          <cell r="A57" t="str">
            <v>1431B-1</v>
          </cell>
          <cell r="B57" t="str">
            <v>N/STER 3OZ BULB SYRINGE</v>
          </cell>
          <cell r="C57" t="str">
            <v>EA</v>
          </cell>
          <cell r="D57" t="str">
            <v>149PKG</v>
          </cell>
          <cell r="E57">
            <v>5360</v>
          </cell>
        </row>
        <row r="58">
          <cell r="A58" t="str">
            <v>1431D</v>
          </cell>
          <cell r="B58" t="str">
            <v>3305A-70NT GREEN 1260 PVC</v>
          </cell>
          <cell r="C58" t="str">
            <v>LB</v>
          </cell>
          <cell r="D58">
            <v>145</v>
          </cell>
          <cell r="E58">
            <v>3800</v>
          </cell>
        </row>
        <row r="59">
          <cell r="A59" t="str">
            <v>1439</v>
          </cell>
          <cell r="B59" t="str">
            <v>Unprintd Shippr Ctn/Bulbs</v>
          </cell>
          <cell r="C59" t="str">
            <v>EA</v>
          </cell>
          <cell r="D59" t="str">
            <v>MZ3</v>
          </cell>
          <cell r="E59">
            <v>516</v>
          </cell>
        </row>
        <row r="60">
          <cell r="A60" t="str">
            <v>1442</v>
          </cell>
          <cell r="B60" t="str">
            <v>12x6x18 Red P.E Bag w/tie</v>
          </cell>
          <cell r="C60" t="str">
            <v>EA</v>
          </cell>
          <cell r="D60">
            <v>21</v>
          </cell>
          <cell r="E60">
            <v>11936</v>
          </cell>
        </row>
        <row r="61">
          <cell r="A61" t="str">
            <v>1479A</v>
          </cell>
          <cell r="B61" t="str">
            <v>17GX31/2"TUOHY W/FX WING</v>
          </cell>
          <cell r="C61" t="str">
            <v>EA</v>
          </cell>
        </row>
        <row r="62">
          <cell r="A62" t="str">
            <v>1481A-1</v>
          </cell>
          <cell r="B62" t="str">
            <v>R/TOP 2OZ BULB SYRINGE</v>
          </cell>
          <cell r="C62" t="str">
            <v>EA</v>
          </cell>
        </row>
        <row r="63">
          <cell r="A63" t="str">
            <v>1481B</v>
          </cell>
          <cell r="B63" t="str">
            <v>ASSEM 2OZ RED BLEND B/SYR</v>
          </cell>
          <cell r="C63" t="str">
            <v>EA</v>
          </cell>
          <cell r="D63">
            <v>54</v>
          </cell>
          <cell r="E63">
            <v>8400</v>
          </cell>
        </row>
        <row r="64">
          <cell r="A64" t="str">
            <v>1481B</v>
          </cell>
          <cell r="B64" t="str">
            <v>ASSEM 2OZ RED BLEND B/SYR</v>
          </cell>
          <cell r="C64" t="str">
            <v>EA</v>
          </cell>
          <cell r="D64" t="str">
            <v>149PKG</v>
          </cell>
          <cell r="E64">
            <v>2936</v>
          </cell>
        </row>
        <row r="65">
          <cell r="A65" t="str">
            <v>1481B</v>
          </cell>
          <cell r="B65" t="str">
            <v>ASSEM 2OZ RED BLEND B/SYR</v>
          </cell>
          <cell r="C65" t="str">
            <v>EA</v>
          </cell>
          <cell r="D65">
            <v>64</v>
          </cell>
          <cell r="E65">
            <v>2484</v>
          </cell>
        </row>
        <row r="66">
          <cell r="A66" t="str">
            <v>1481T-1</v>
          </cell>
          <cell r="B66" t="str">
            <v>TIP 2OZ RED BULB SYRINGE</v>
          </cell>
          <cell r="C66" t="str">
            <v>EA</v>
          </cell>
        </row>
        <row r="67">
          <cell r="A67" t="str">
            <v>1487A-1</v>
          </cell>
          <cell r="B67" t="str">
            <v>13"SMALL BORE EXT SET</v>
          </cell>
          <cell r="C67" t="str">
            <v>EA</v>
          </cell>
          <cell r="D67">
            <v>18</v>
          </cell>
          <cell r="E67">
            <v>6703</v>
          </cell>
        </row>
        <row r="68">
          <cell r="A68" t="str">
            <v>1491A</v>
          </cell>
          <cell r="B68" t="str">
            <v>R/TOP 3OZ K/BLEND B/SYR</v>
          </cell>
          <cell r="C68" t="str">
            <v>EA</v>
          </cell>
        </row>
        <row r="69">
          <cell r="A69" t="str">
            <v>1491B</v>
          </cell>
          <cell r="B69" t="str">
            <v>ASSEM 3OZ K/BLEND B/SYR</v>
          </cell>
          <cell r="C69" t="str">
            <v>EA</v>
          </cell>
          <cell r="D69">
            <v>64</v>
          </cell>
          <cell r="E69">
            <v>1600</v>
          </cell>
        </row>
        <row r="70">
          <cell r="A70" t="str">
            <v>1491T</v>
          </cell>
          <cell r="B70" t="str">
            <v>TIP 3OZ K/BLEND B/SYR.</v>
          </cell>
          <cell r="C70" t="str">
            <v>EA</v>
          </cell>
        </row>
        <row r="71">
          <cell r="A71" t="str">
            <v>1495B</v>
          </cell>
          <cell r="B71" t="str">
            <v>12"SM/BORE/W/R/M@F EX/SET</v>
          </cell>
          <cell r="C71" t="str">
            <v>EA</v>
          </cell>
          <cell r="D71">
            <v>21</v>
          </cell>
          <cell r="E71">
            <v>6126</v>
          </cell>
        </row>
        <row r="72">
          <cell r="A72" t="str">
            <v>1502-2</v>
          </cell>
          <cell r="B72" t="str">
            <v>1/2" HANDLE NEW-STYLE</v>
          </cell>
          <cell r="C72" t="str">
            <v>EA</v>
          </cell>
          <cell r="D72">
            <v>50</v>
          </cell>
          <cell r="E72">
            <v>57125</v>
          </cell>
        </row>
        <row r="73">
          <cell r="A73" t="str">
            <v>1502HF-2</v>
          </cell>
          <cell r="B73" t="str">
            <v>1/2" HANDLE FITMENT</v>
          </cell>
          <cell r="C73" t="str">
            <v>EA</v>
          </cell>
        </row>
        <row r="74">
          <cell r="A74" t="str">
            <v>1502TA-3</v>
          </cell>
          <cell r="B74" t="str">
            <v>1/2" TUBING ADAPTOR</v>
          </cell>
          <cell r="C74" t="str">
            <v>EA</v>
          </cell>
          <cell r="D74">
            <v>53</v>
          </cell>
          <cell r="E74">
            <v>321724</v>
          </cell>
        </row>
        <row r="75">
          <cell r="A75" t="str">
            <v>1505B</v>
          </cell>
          <cell r="B75" t="str">
            <v>EN-3393 MARCN/DEX INST</v>
          </cell>
          <cell r="C75" t="str">
            <v>EA</v>
          </cell>
          <cell r="D75">
            <v>6</v>
          </cell>
          <cell r="E75">
            <v>867</v>
          </cell>
        </row>
        <row r="76">
          <cell r="A76" t="str">
            <v>1505D</v>
          </cell>
          <cell r="B76" t="str">
            <v>SPINAL/EPIDURAL NDL SET</v>
          </cell>
          <cell r="C76" t="str">
            <v>EA</v>
          </cell>
        </row>
        <row r="77">
          <cell r="A77" t="str">
            <v>1505E</v>
          </cell>
          <cell r="B77" t="str">
            <v>25GX411/16" WHITACRE NDLE</v>
          </cell>
          <cell r="C77" t="str">
            <v>EA</v>
          </cell>
          <cell r="D77" t="str">
            <v>N1</v>
          </cell>
          <cell r="E77">
            <v>17</v>
          </cell>
        </row>
        <row r="78">
          <cell r="A78" t="str">
            <v>1505G</v>
          </cell>
          <cell r="B78" t="str">
            <v>CATHETER &amp; THREAD A/GUIDE</v>
          </cell>
          <cell r="C78" t="str">
            <v>EA</v>
          </cell>
          <cell r="D78">
            <v>27</v>
          </cell>
          <cell r="E78">
            <v>328</v>
          </cell>
        </row>
        <row r="79">
          <cell r="A79" t="str">
            <v>1505H</v>
          </cell>
          <cell r="B79" t="str">
            <v>17GX3 1/2" E/NEEDLE W/P/W</v>
          </cell>
          <cell r="C79" t="str">
            <v>EA</v>
          </cell>
          <cell r="D79" t="str">
            <v>N6</v>
          </cell>
          <cell r="E79">
            <v>140</v>
          </cell>
        </row>
        <row r="80">
          <cell r="A80" t="str">
            <v>1505J</v>
          </cell>
          <cell r="B80" t="str">
            <v>19G STINGRAY CONNECTOR</v>
          </cell>
          <cell r="C80" t="str">
            <v>EA</v>
          </cell>
          <cell r="D80">
            <v>27</v>
          </cell>
          <cell r="E80">
            <v>175</v>
          </cell>
        </row>
        <row r="81">
          <cell r="A81" t="str">
            <v>1505J-1</v>
          </cell>
          <cell r="B81" t="str">
            <v>NEXUS NEURAXIAL CATH CONN</v>
          </cell>
          <cell r="C81" t="str">
            <v>EA</v>
          </cell>
          <cell r="D81">
            <v>28</v>
          </cell>
          <cell r="E81">
            <v>261</v>
          </cell>
        </row>
        <row r="82">
          <cell r="A82" t="str">
            <v>1507B</v>
          </cell>
          <cell r="B82" t="str">
            <v>20GX11/4"INTROD/N/W/A/HUB</v>
          </cell>
          <cell r="C82" t="str">
            <v>EA</v>
          </cell>
          <cell r="D82" t="str">
            <v>N1</v>
          </cell>
          <cell r="E82">
            <v>510</v>
          </cell>
        </row>
        <row r="83">
          <cell r="A83" t="str">
            <v>1507C</v>
          </cell>
          <cell r="B83" t="str">
            <v>4X10 PET/LDPE BAG</v>
          </cell>
          <cell r="C83" t="str">
            <v>EA</v>
          </cell>
          <cell r="D83">
            <v>21</v>
          </cell>
          <cell r="E83">
            <v>750</v>
          </cell>
        </row>
        <row r="84">
          <cell r="A84" t="str">
            <v>1507D</v>
          </cell>
          <cell r="B84" t="str">
            <v>EN-0118 INST 5 ML LIDOCN</v>
          </cell>
          <cell r="C84" t="str">
            <v>EA</v>
          </cell>
          <cell r="D84">
            <v>6</v>
          </cell>
          <cell r="E84">
            <v>2451</v>
          </cell>
        </row>
        <row r="85">
          <cell r="A85" t="str">
            <v>1511-1</v>
          </cell>
          <cell r="B85" t="str">
            <v>UNPRINTED CTN</v>
          </cell>
          <cell r="C85" t="str">
            <v>EA</v>
          </cell>
          <cell r="D85" t="str">
            <v>MZ1</v>
          </cell>
          <cell r="E85">
            <v>1556</v>
          </cell>
        </row>
        <row r="86">
          <cell r="A86" t="str">
            <v>1516</v>
          </cell>
          <cell r="B86" t="str">
            <v>5MIL PLYLENE</v>
          </cell>
          <cell r="C86" t="str">
            <v>LB</v>
          </cell>
          <cell r="D86">
            <v>35</v>
          </cell>
          <cell r="E86">
            <v>4192</v>
          </cell>
        </row>
        <row r="87">
          <cell r="A87" t="str">
            <v>1517HS-2</v>
          </cell>
          <cell r="B87" t="str">
            <v>HANDLE SHAFT-NEW STYLE</v>
          </cell>
          <cell r="C87" t="str">
            <v>EA</v>
          </cell>
        </row>
        <row r="88">
          <cell r="A88" t="str">
            <v>1517IR-2</v>
          </cell>
          <cell r="B88" t="str">
            <v>INSERT RING-NEW-STYLE</v>
          </cell>
          <cell r="C88" t="str">
            <v>EA</v>
          </cell>
        </row>
        <row r="89">
          <cell r="A89" t="str">
            <v>1517SC-2</v>
          </cell>
          <cell r="B89" t="str">
            <v>SLIDE COLLAR-NEW STYLE</v>
          </cell>
          <cell r="C89" t="str">
            <v>EA</v>
          </cell>
        </row>
        <row r="90">
          <cell r="A90" t="str">
            <v>1526A</v>
          </cell>
          <cell r="B90" t="str">
            <v>TEGADERM W/BORDER4X4 3/4"</v>
          </cell>
          <cell r="C90" t="str">
            <v>EA</v>
          </cell>
          <cell r="D90">
            <v>14</v>
          </cell>
          <cell r="E90">
            <v>569</v>
          </cell>
        </row>
        <row r="91">
          <cell r="A91" t="str">
            <v>1527A</v>
          </cell>
          <cell r="B91" t="str">
            <v>30ML.9%SODIUM C/W/PL/V RX</v>
          </cell>
          <cell r="C91" t="str">
            <v>EA</v>
          </cell>
          <cell r="D91" t="str">
            <v>DRUGS</v>
          </cell>
          <cell r="E91">
            <v>3935</v>
          </cell>
        </row>
        <row r="92">
          <cell r="A92" t="str">
            <v>1527B</v>
          </cell>
          <cell r="B92" t="str">
            <v>EN-5812 SOD CHL. INSERT</v>
          </cell>
          <cell r="C92" t="str">
            <v>EA</v>
          </cell>
          <cell r="D92">
            <v>6</v>
          </cell>
          <cell r="E92">
            <v>1184</v>
          </cell>
        </row>
        <row r="93">
          <cell r="A93" t="str">
            <v>1531A-1</v>
          </cell>
          <cell r="B93" t="str">
            <v>1 7/8"X22" ADH BAND LF</v>
          </cell>
          <cell r="C93" t="str">
            <v>EA</v>
          </cell>
          <cell r="D93">
            <v>20</v>
          </cell>
          <cell r="E93">
            <v>15822</v>
          </cell>
        </row>
        <row r="94">
          <cell r="A94" t="str">
            <v>1534V-2</v>
          </cell>
          <cell r="B94" t="str">
            <v>1/2" X 6' TUBING</v>
          </cell>
          <cell r="C94" t="str">
            <v>EA</v>
          </cell>
          <cell r="D94" t="str">
            <v>65T</v>
          </cell>
          <cell r="E94">
            <v>1212</v>
          </cell>
        </row>
        <row r="95">
          <cell r="A95" t="str">
            <v>1537V-1</v>
          </cell>
          <cell r="B95" t="str">
            <v>3/8" X 6' PVC TUBING</v>
          </cell>
          <cell r="C95" t="str">
            <v>EA</v>
          </cell>
          <cell r="D95" t="str">
            <v>65T</v>
          </cell>
          <cell r="E95">
            <v>7672</v>
          </cell>
        </row>
        <row r="96">
          <cell r="A96" t="str">
            <v>1539V-2</v>
          </cell>
          <cell r="B96" t="str">
            <v>3/8" X 8' PVC TUBING</v>
          </cell>
          <cell r="C96" t="str">
            <v>EA</v>
          </cell>
          <cell r="D96" t="str">
            <v>39T</v>
          </cell>
          <cell r="E96">
            <v>132</v>
          </cell>
        </row>
        <row r="97">
          <cell r="A97" t="str">
            <v>1540V-1</v>
          </cell>
          <cell r="B97" t="str">
            <v>3/8" X 10' PVC TUBING</v>
          </cell>
          <cell r="C97" t="str">
            <v>EA</v>
          </cell>
          <cell r="D97" t="str">
            <v>39T</v>
          </cell>
          <cell r="E97">
            <v>600</v>
          </cell>
        </row>
        <row r="98">
          <cell r="A98" t="str">
            <v>1541A</v>
          </cell>
          <cell r="B98" t="str">
            <v>1/4"X6'TUBE W/MALE ADAPT</v>
          </cell>
          <cell r="C98" t="str">
            <v>EA</v>
          </cell>
        </row>
        <row r="99">
          <cell r="A99" t="str">
            <v>1544A</v>
          </cell>
          <cell r="B99" t="str">
            <v>SIMMS NDLE PRO/25GX11/2"</v>
          </cell>
          <cell r="C99" t="str">
            <v>EA</v>
          </cell>
          <cell r="D99" t="str">
            <v>N2</v>
          </cell>
          <cell r="E99">
            <v>714</v>
          </cell>
        </row>
        <row r="100">
          <cell r="A100" t="str">
            <v>1551A</v>
          </cell>
          <cell r="B100" t="str">
            <v>1/4"X10'TUBE W/MALE ADAPT</v>
          </cell>
          <cell r="C100" t="str">
            <v>EA</v>
          </cell>
          <cell r="D100">
            <v>22</v>
          </cell>
          <cell r="E100">
            <v>11</v>
          </cell>
        </row>
        <row r="101">
          <cell r="A101" t="str">
            <v>1554-1</v>
          </cell>
          <cell r="B101" t="str">
            <v>UNPRINTED CTN F/155-ETC</v>
          </cell>
          <cell r="C101" t="str">
            <v>EA</v>
          </cell>
          <cell r="D101" t="str">
            <v>MZ6</v>
          </cell>
          <cell r="E101">
            <v>685</v>
          </cell>
        </row>
        <row r="102">
          <cell r="A102" t="str">
            <v>1561A-1</v>
          </cell>
          <cell r="B102" t="str">
            <v>1/4"X12' TUBING W/FITMENT</v>
          </cell>
          <cell r="C102" t="str">
            <v>EA</v>
          </cell>
          <cell r="D102">
            <v>7</v>
          </cell>
          <cell r="E102">
            <v>6</v>
          </cell>
        </row>
        <row r="103">
          <cell r="A103" t="str">
            <v>1562-2</v>
          </cell>
          <cell r="B103" t="str">
            <v>1/4"X6' TBG W/FITMENTS</v>
          </cell>
          <cell r="C103" t="str">
            <v>EA</v>
          </cell>
          <cell r="D103">
            <v>20</v>
          </cell>
          <cell r="E103">
            <v>1240</v>
          </cell>
        </row>
        <row r="104">
          <cell r="A104" t="str">
            <v>1564-2</v>
          </cell>
          <cell r="B104" t="str">
            <v>1/4"X10'CONNECTG TUBING</v>
          </cell>
          <cell r="C104" t="str">
            <v>EA</v>
          </cell>
          <cell r="D104">
            <v>32</v>
          </cell>
          <cell r="E104">
            <v>434</v>
          </cell>
        </row>
        <row r="105">
          <cell r="A105" t="str">
            <v>1593A</v>
          </cell>
          <cell r="B105" t="str">
            <v>STER 18GX1.50 BLUNT NDLE</v>
          </cell>
          <cell r="C105" t="str">
            <v>EA</v>
          </cell>
          <cell r="D105" t="str">
            <v>N1</v>
          </cell>
          <cell r="E105">
            <v>9913</v>
          </cell>
        </row>
        <row r="106">
          <cell r="A106" t="str">
            <v>1593I</v>
          </cell>
          <cell r="B106" t="str">
            <v>1.75X 0.5 PERPRNT/LBLD12S</v>
          </cell>
          <cell r="C106" t="str">
            <v>EA</v>
          </cell>
        </row>
        <row r="107">
          <cell r="A107" t="str">
            <v>1618A</v>
          </cell>
          <cell r="B107" t="str">
            <v>#10 Scalpel</v>
          </cell>
          <cell r="C107" t="str">
            <v>EA</v>
          </cell>
          <cell r="D107">
            <v>19</v>
          </cell>
          <cell r="E107">
            <v>1</v>
          </cell>
        </row>
        <row r="108">
          <cell r="A108" t="str">
            <v>1622C</v>
          </cell>
          <cell r="B108" t="str">
            <v>CREAM COLORANT FOR MIPS</v>
          </cell>
          <cell r="C108" t="str">
            <v>LB</v>
          </cell>
          <cell r="D108">
            <v>145</v>
          </cell>
          <cell r="E108">
            <v>200</v>
          </cell>
        </row>
        <row r="109">
          <cell r="A109" t="str">
            <v>1623</v>
          </cell>
          <cell r="B109" t="str">
            <v>Unprtd Disp Box Fraziers</v>
          </cell>
          <cell r="C109" t="str">
            <v>EA</v>
          </cell>
          <cell r="D109" t="str">
            <v>MZ6</v>
          </cell>
          <cell r="E109">
            <v>1075</v>
          </cell>
        </row>
        <row r="110">
          <cell r="A110" t="str">
            <v>1625A-3</v>
          </cell>
          <cell r="B110" t="str">
            <v>8FR ANODIZED FRAZIER TUBE</v>
          </cell>
          <cell r="C110" t="str">
            <v>EA</v>
          </cell>
          <cell r="D110">
            <v>145</v>
          </cell>
          <cell r="E110">
            <v>33587</v>
          </cell>
        </row>
        <row r="111">
          <cell r="A111" t="str">
            <v>1625B-2</v>
          </cell>
          <cell r="B111" t="str">
            <v>8FR FRAZIER S/INSTRUMENT</v>
          </cell>
          <cell r="C111" t="str">
            <v>EA</v>
          </cell>
          <cell r="D111">
            <v>60</v>
          </cell>
          <cell r="E111">
            <v>10344</v>
          </cell>
        </row>
        <row r="112">
          <cell r="A112" t="str">
            <v>1629</v>
          </cell>
          <cell r="B112" t="str">
            <v>Unp Ship for 162/163/164</v>
          </cell>
          <cell r="C112" t="str">
            <v>EA</v>
          </cell>
          <cell r="D112" t="str">
            <v>MZ6</v>
          </cell>
          <cell r="E112">
            <v>3204</v>
          </cell>
        </row>
        <row r="113">
          <cell r="A113" t="str">
            <v>1638B-2</v>
          </cell>
          <cell r="B113" t="str">
            <v>10FR FRAZIER SUCTION INST</v>
          </cell>
          <cell r="C113" t="str">
            <v>EA</v>
          </cell>
          <cell r="D113">
            <v>57</v>
          </cell>
          <cell r="E113">
            <v>76076</v>
          </cell>
        </row>
        <row r="114">
          <cell r="A114" t="str">
            <v>1639A</v>
          </cell>
          <cell r="B114" t="str">
            <v>DEPO MEDROL L/1.75X0.5</v>
          </cell>
          <cell r="C114" t="str">
            <v>EA</v>
          </cell>
        </row>
        <row r="115">
          <cell r="A115" t="str">
            <v>1647A-3</v>
          </cell>
          <cell r="B115" t="str">
            <v>12FR ANODIZEDFRAZIER TUBE</v>
          </cell>
          <cell r="C115" t="str">
            <v>EA</v>
          </cell>
          <cell r="D115">
            <v>145</v>
          </cell>
          <cell r="E115">
            <v>94504</v>
          </cell>
        </row>
        <row r="116">
          <cell r="A116" t="str">
            <v>1648B-2</v>
          </cell>
          <cell r="B116" t="str">
            <v>12FR SUCTION INSTRUMENT</v>
          </cell>
          <cell r="C116" t="str">
            <v>EA</v>
          </cell>
          <cell r="D116">
            <v>55</v>
          </cell>
          <cell r="E116">
            <v>2830</v>
          </cell>
        </row>
        <row r="117">
          <cell r="A117" t="str">
            <v>1656</v>
          </cell>
          <cell r="B117" t="str">
            <v>Unprinted Shipper for 165</v>
          </cell>
          <cell r="C117" t="str">
            <v>EA</v>
          </cell>
          <cell r="D117" t="str">
            <v>MZ2</v>
          </cell>
          <cell r="E117">
            <v>158</v>
          </cell>
        </row>
        <row r="118">
          <cell r="A118" t="str">
            <v>1662</v>
          </cell>
          <cell r="B118" t="str">
            <v>White Polybag w/Twist tie</v>
          </cell>
          <cell r="C118" t="str">
            <v>EA</v>
          </cell>
          <cell r="D118">
            <v>34</v>
          </cell>
          <cell r="E118">
            <v>5492</v>
          </cell>
        </row>
        <row r="119">
          <cell r="A119" t="str">
            <v>1665A-2</v>
          </cell>
          <cell r="B119" t="str">
            <v>N/S 24"X36" C/P DRAPE 3"F</v>
          </cell>
          <cell r="C119" t="str">
            <v>EA</v>
          </cell>
          <cell r="D119">
            <v>61</v>
          </cell>
          <cell r="E119">
            <v>933</v>
          </cell>
        </row>
        <row r="120">
          <cell r="A120" t="str">
            <v>1676</v>
          </cell>
          <cell r="B120" t="str">
            <v>Unprinted Shipper Ctn</v>
          </cell>
          <cell r="C120" t="str">
            <v>EA</v>
          </cell>
          <cell r="D120" t="str">
            <v>MZ5</v>
          </cell>
          <cell r="E120">
            <v>662</v>
          </cell>
        </row>
        <row r="121">
          <cell r="A121" t="str">
            <v>1697B</v>
          </cell>
          <cell r="B121" t="str">
            <v>3ML LUER SLIP SYRINGE</v>
          </cell>
          <cell r="C121" t="str">
            <v>EA</v>
          </cell>
        </row>
        <row r="122">
          <cell r="A122" t="str">
            <v>1712A-1</v>
          </cell>
          <cell r="B122" t="str">
            <v>LG ADH BANDAGE L/F</v>
          </cell>
          <cell r="C122" t="str">
            <v>EA</v>
          </cell>
          <cell r="D122">
            <v>14</v>
          </cell>
          <cell r="E122">
            <v>1985</v>
          </cell>
        </row>
        <row r="123">
          <cell r="A123" t="str">
            <v>1713A</v>
          </cell>
          <cell r="B123" t="str">
            <v>4X3 COVERSPONGE 2PK STER</v>
          </cell>
          <cell r="C123" t="str">
            <v>PK</v>
          </cell>
          <cell r="D123">
            <v>19</v>
          </cell>
          <cell r="E123">
            <v>8951</v>
          </cell>
        </row>
        <row r="124">
          <cell r="A124" t="str">
            <v>1713B</v>
          </cell>
          <cell r="B124" t="str">
            <v>LUER LOCK CAPS BLUE STER</v>
          </cell>
          <cell r="C124" t="str">
            <v>EA</v>
          </cell>
          <cell r="D124">
            <v>14</v>
          </cell>
          <cell r="E124">
            <v>4887</v>
          </cell>
        </row>
        <row r="125">
          <cell r="A125" t="str">
            <v>1731A</v>
          </cell>
          <cell r="B125" t="str">
            <v>CHLORAPREP S/SWABS/1.75ML</v>
          </cell>
          <cell r="C125" t="str">
            <v>EA</v>
          </cell>
          <cell r="D125">
            <v>15</v>
          </cell>
          <cell r="E125">
            <v>1034</v>
          </cell>
        </row>
        <row r="126">
          <cell r="A126" t="str">
            <v>1731B</v>
          </cell>
          <cell r="B126" t="str">
            <v>Chloraprep S/Swabstick</v>
          </cell>
          <cell r="C126" t="str">
            <v>EA</v>
          </cell>
          <cell r="D126">
            <v>6</v>
          </cell>
          <cell r="E126">
            <v>5318</v>
          </cell>
        </row>
        <row r="127">
          <cell r="A127" t="str">
            <v>1731C</v>
          </cell>
          <cell r="B127" t="str">
            <v>PREVANTICS 1.6ML S/S(1X)</v>
          </cell>
          <cell r="C127" t="str">
            <v>EA</v>
          </cell>
          <cell r="D127">
            <v>15</v>
          </cell>
          <cell r="E127">
            <v>11896</v>
          </cell>
        </row>
        <row r="128">
          <cell r="A128" t="str">
            <v>1731D</v>
          </cell>
          <cell r="B128" t="str">
            <v>PREVANTICS 1.6 MIL INST</v>
          </cell>
          <cell r="C128" t="str">
            <v>EA</v>
          </cell>
          <cell r="D128">
            <v>6</v>
          </cell>
          <cell r="E128">
            <v>10807</v>
          </cell>
        </row>
        <row r="129">
          <cell r="A129" t="str">
            <v>1735A</v>
          </cell>
          <cell r="B129" t="str">
            <v>7CC EPILOR LUER LOCK SYR</v>
          </cell>
          <cell r="C129" t="str">
            <v>EA</v>
          </cell>
          <cell r="D129">
            <v>27</v>
          </cell>
          <cell r="E129">
            <v>548</v>
          </cell>
        </row>
        <row r="130">
          <cell r="A130" t="str">
            <v>1735B</v>
          </cell>
          <cell r="B130" t="str">
            <v>8" SMALL BORE EXT.SET</v>
          </cell>
          <cell r="C130" t="str">
            <v>EA</v>
          </cell>
          <cell r="D130">
            <v>14</v>
          </cell>
          <cell r="E130">
            <v>78</v>
          </cell>
        </row>
        <row r="131">
          <cell r="A131" t="str">
            <v>1736A</v>
          </cell>
          <cell r="B131" t="str">
            <v>2ML BUPIVACAINE HCL</v>
          </cell>
          <cell r="C131" t="str">
            <v>EA</v>
          </cell>
        </row>
        <row r="132">
          <cell r="A132" t="str">
            <v>1736B</v>
          </cell>
          <cell r="B132" t="str">
            <v>EN-0522 BUPIVACAINE INSRT</v>
          </cell>
          <cell r="C132" t="str">
            <v>EA</v>
          </cell>
          <cell r="D132">
            <v>6</v>
          </cell>
          <cell r="E132">
            <v>2535</v>
          </cell>
        </row>
        <row r="133">
          <cell r="A133" t="str">
            <v>1756A</v>
          </cell>
          <cell r="B133" t="str">
            <v>5CC LUER SLIP SYRINGE</v>
          </cell>
          <cell r="C133" t="str">
            <v>EA</v>
          </cell>
          <cell r="D133">
            <v>29</v>
          </cell>
          <cell r="E133">
            <v>600</v>
          </cell>
        </row>
        <row r="134">
          <cell r="A134" t="str">
            <v>1756B</v>
          </cell>
          <cell r="B134" t="str">
            <v>10CC LUER SLIP SYRINGE</v>
          </cell>
          <cell r="C134" t="str">
            <v>EA</v>
          </cell>
          <cell r="D134">
            <v>19</v>
          </cell>
          <cell r="E134">
            <v>111</v>
          </cell>
        </row>
        <row r="135">
          <cell r="A135" t="str">
            <v>1771BK</v>
          </cell>
          <cell r="B135" t="str">
            <v>Tip Protector Black</v>
          </cell>
          <cell r="C135" t="str">
            <v>EA</v>
          </cell>
          <cell r="D135">
            <v>29</v>
          </cell>
          <cell r="E135">
            <v>2877</v>
          </cell>
        </row>
        <row r="136">
          <cell r="A136" t="str">
            <v>1781A</v>
          </cell>
          <cell r="B136" t="str">
            <v>5CC LUER LOCK SYRINGE</v>
          </cell>
          <cell r="C136" t="str">
            <v>EA</v>
          </cell>
          <cell r="D136">
            <v>33</v>
          </cell>
          <cell r="E136">
            <v>35538</v>
          </cell>
        </row>
        <row r="137">
          <cell r="A137" t="str">
            <v>1784A</v>
          </cell>
          <cell r="B137" t="str">
            <v>4X4 N/WOVEN S/DRESSING</v>
          </cell>
          <cell r="C137" t="str">
            <v>EA</v>
          </cell>
          <cell r="D137">
            <v>28</v>
          </cell>
          <cell r="E137">
            <v>10536</v>
          </cell>
        </row>
        <row r="138">
          <cell r="A138" t="str">
            <v>1785A</v>
          </cell>
          <cell r="B138" t="str">
            <v>6"MAYO-HEDGAR N/HOLDER</v>
          </cell>
          <cell r="C138" t="str">
            <v>EA</v>
          </cell>
          <cell r="D138">
            <v>22</v>
          </cell>
          <cell r="E138">
            <v>302</v>
          </cell>
        </row>
        <row r="139">
          <cell r="A139" t="str">
            <v>1789A</v>
          </cell>
          <cell r="B139" t="str">
            <v>25G X 11/2" NEEDLE</v>
          </cell>
          <cell r="C139" t="str">
            <v>EA</v>
          </cell>
          <cell r="D139" t="str">
            <v>N9</v>
          </cell>
          <cell r="E139">
            <v>3584</v>
          </cell>
        </row>
        <row r="140">
          <cell r="A140" t="str">
            <v>1812A</v>
          </cell>
          <cell r="B140" t="str">
            <v>1CC LUER LOCK SYRINGE</v>
          </cell>
          <cell r="C140" t="str">
            <v>EA</v>
          </cell>
          <cell r="D140">
            <v>22</v>
          </cell>
          <cell r="E140">
            <v>8495</v>
          </cell>
        </row>
        <row r="141">
          <cell r="A141" t="str">
            <v>1812B-2</v>
          </cell>
          <cell r="B141" t="str">
            <v>20"STD EXTSET M L/L F L/L</v>
          </cell>
          <cell r="C141" t="str">
            <v>EA</v>
          </cell>
          <cell r="D141">
            <v>31</v>
          </cell>
          <cell r="E141">
            <v>2654</v>
          </cell>
        </row>
        <row r="142">
          <cell r="A142" t="str">
            <v>1819A-1</v>
          </cell>
          <cell r="B142" t="str">
            <v>60CC LUER LOCK SYRINGE</v>
          </cell>
          <cell r="C142" t="str">
            <v>EA</v>
          </cell>
          <cell r="D142">
            <v>26</v>
          </cell>
          <cell r="E142">
            <v>4596</v>
          </cell>
        </row>
        <row r="143">
          <cell r="A143" t="str">
            <v>1820B</v>
          </cell>
          <cell r="B143" t="str">
            <v>S/CHLORIDE LABEL 1.75X0.5</v>
          </cell>
          <cell r="C143" t="str">
            <v>EA</v>
          </cell>
        </row>
        <row r="144">
          <cell r="A144" t="str">
            <v>1827</v>
          </cell>
          <cell r="B144" t="str">
            <v>5"x9"Comb/Abdominal Pad</v>
          </cell>
          <cell r="C144" t="str">
            <v>EA</v>
          </cell>
          <cell r="D144">
            <v>33</v>
          </cell>
          <cell r="E144">
            <v>7891</v>
          </cell>
        </row>
        <row r="145">
          <cell r="A145" t="str">
            <v>1840B-1</v>
          </cell>
          <cell r="B145" t="str">
            <v>BACK TABLE COVER 44"X44"</v>
          </cell>
          <cell r="C145" t="str">
            <v>EA</v>
          </cell>
          <cell r="D145">
            <v>14</v>
          </cell>
          <cell r="E145">
            <v>3448</v>
          </cell>
        </row>
        <row r="146">
          <cell r="A146" t="str">
            <v>1840C</v>
          </cell>
          <cell r="B146" t="str">
            <v>22" C-ARM DRAPE</v>
          </cell>
          <cell r="C146" t="str">
            <v>EA</v>
          </cell>
          <cell r="D146">
            <v>25</v>
          </cell>
          <cell r="E146">
            <v>112</v>
          </cell>
        </row>
        <row r="147">
          <cell r="A147" t="str">
            <v>1841A-1</v>
          </cell>
          <cell r="B147" t="str">
            <v>44"X55" HALF DRAPE</v>
          </cell>
          <cell r="C147" t="str">
            <v>EA</v>
          </cell>
          <cell r="D147">
            <v>21</v>
          </cell>
          <cell r="E147">
            <v>1387</v>
          </cell>
        </row>
        <row r="148">
          <cell r="A148" t="str">
            <v>1850A</v>
          </cell>
          <cell r="B148" t="str">
            <v>19G X 11/2"FILTER NEEDLE</v>
          </cell>
          <cell r="C148" t="str">
            <v>EA</v>
          </cell>
          <cell r="D148" t="str">
            <v>N1</v>
          </cell>
          <cell r="E148">
            <v>3919</v>
          </cell>
        </row>
        <row r="149">
          <cell r="A149" t="str">
            <v>1850B</v>
          </cell>
          <cell r="B149" t="str">
            <v>21G X 1" NEEDLE EXEL</v>
          </cell>
          <cell r="C149" t="str">
            <v>EA</v>
          </cell>
          <cell r="D149" t="str">
            <v>N1</v>
          </cell>
          <cell r="E149">
            <v>111</v>
          </cell>
        </row>
        <row r="150">
          <cell r="A150" t="str">
            <v>1861</v>
          </cell>
          <cell r="B150" t="str">
            <v>STERILE SKIN PROT. SWAB</v>
          </cell>
          <cell r="C150" t="str">
            <v>EA</v>
          </cell>
          <cell r="D150">
            <v>14</v>
          </cell>
          <cell r="E150">
            <v>762</v>
          </cell>
        </row>
        <row r="151">
          <cell r="A151" t="str">
            <v>1862A</v>
          </cell>
          <cell r="B151" t="str">
            <v>25GX5/8IN. S/G/NEEDLE</v>
          </cell>
          <cell r="C151" t="str">
            <v>EA</v>
          </cell>
          <cell r="D151" t="str">
            <v>N6</v>
          </cell>
          <cell r="E151">
            <v>805</v>
          </cell>
        </row>
        <row r="152">
          <cell r="A152" t="str">
            <v>1862B</v>
          </cell>
          <cell r="B152" t="str">
            <v>22GX11/2 S/G NEEDLE</v>
          </cell>
          <cell r="C152" t="str">
            <v>EA</v>
          </cell>
          <cell r="D152" t="str">
            <v>N9</v>
          </cell>
          <cell r="E152">
            <v>1688</v>
          </cell>
        </row>
        <row r="153">
          <cell r="A153" t="str">
            <v>1865A</v>
          </cell>
          <cell r="B153" t="str">
            <v>ULTRASOUND GEL 20 GRAM/PK</v>
          </cell>
          <cell r="C153" t="str">
            <v>EA</v>
          </cell>
          <cell r="D153">
            <v>14</v>
          </cell>
          <cell r="E153">
            <v>377</v>
          </cell>
        </row>
        <row r="154">
          <cell r="A154" t="str">
            <v>1865C</v>
          </cell>
          <cell r="B154" t="str">
            <v>1CC TUBERCULIN SLIP T/SYR</v>
          </cell>
          <cell r="C154" t="str">
            <v>EA</v>
          </cell>
          <cell r="D154">
            <v>26</v>
          </cell>
          <cell r="E154">
            <v>765</v>
          </cell>
        </row>
        <row r="155">
          <cell r="A155" t="str">
            <v>1867A</v>
          </cell>
          <cell r="B155" t="str">
            <v>30CC LUER LOCK SYRINGE</v>
          </cell>
          <cell r="C155" t="str">
            <v>EA</v>
          </cell>
          <cell r="D155">
            <v>14</v>
          </cell>
          <cell r="E155">
            <v>566</v>
          </cell>
        </row>
        <row r="156">
          <cell r="A156" t="str">
            <v>1878A</v>
          </cell>
          <cell r="B156" t="str">
            <v>PREVANTICS MAX (1X STER)</v>
          </cell>
          <cell r="C156" t="str">
            <v>EA</v>
          </cell>
          <cell r="D156">
            <v>15</v>
          </cell>
          <cell r="E156">
            <v>4741</v>
          </cell>
        </row>
        <row r="157">
          <cell r="A157" t="str">
            <v>1878B</v>
          </cell>
          <cell r="B157" t="str">
            <v>PREVANTICS SWBST INSRT</v>
          </cell>
          <cell r="C157" t="str">
            <v>EA</v>
          </cell>
          <cell r="D157">
            <v>6</v>
          </cell>
          <cell r="E157">
            <v>4198</v>
          </cell>
        </row>
        <row r="158">
          <cell r="A158" t="str">
            <v>1884B</v>
          </cell>
          <cell r="B158" t="str">
            <v>20CC SLIP TIP SYRINGE</v>
          </cell>
          <cell r="C158" t="str">
            <v>EA</v>
          </cell>
          <cell r="D158">
            <v>29</v>
          </cell>
          <cell r="E158">
            <v>80</v>
          </cell>
        </row>
        <row r="159">
          <cell r="A159" t="str">
            <v>1887B</v>
          </cell>
          <cell r="B159" t="str">
            <v>20G X31/2 TUOHY /FX WING</v>
          </cell>
          <cell r="C159" t="str">
            <v>EA</v>
          </cell>
          <cell r="D159" t="str">
            <v>N5</v>
          </cell>
          <cell r="E159">
            <v>675</v>
          </cell>
        </row>
        <row r="160">
          <cell r="A160" t="str">
            <v>1887C</v>
          </cell>
          <cell r="B160" t="str">
            <v>5 MICRON FILTER STRAW</v>
          </cell>
          <cell r="C160" t="str">
            <v>EA</v>
          </cell>
          <cell r="D160">
            <v>15</v>
          </cell>
          <cell r="E160">
            <v>4929</v>
          </cell>
        </row>
        <row r="161">
          <cell r="A161" t="str">
            <v>1905</v>
          </cell>
          <cell r="B161" t="str">
            <v>19Gaugex1.5"Needle/Ylw Cp</v>
          </cell>
          <cell r="C161" t="str">
            <v>EA</v>
          </cell>
          <cell r="D161" t="str">
            <v>N6</v>
          </cell>
          <cell r="E161">
            <v>1871</v>
          </cell>
        </row>
        <row r="162">
          <cell r="A162" t="str">
            <v>1913A</v>
          </cell>
          <cell r="B162" t="str">
            <v>BUFFERED LABEL1.75X0.5</v>
          </cell>
          <cell r="C162" t="str">
            <v>EA</v>
          </cell>
        </row>
        <row r="163">
          <cell r="A163" t="str">
            <v>1913B</v>
          </cell>
          <cell r="B163" t="str">
            <v>NORMAL S/LABEL 1.75X0.5</v>
          </cell>
          <cell r="C163" t="str">
            <v>EA</v>
          </cell>
        </row>
        <row r="164">
          <cell r="A164" t="str">
            <v>1913C</v>
          </cell>
          <cell r="B164" t="str">
            <v>DEPO-MEDROL LBL 1.75X0.5</v>
          </cell>
          <cell r="C164" t="str">
            <v>EA</v>
          </cell>
        </row>
        <row r="165">
          <cell r="A165" t="str">
            <v>1913D</v>
          </cell>
          <cell r="B165" t="str">
            <v>BUPIVACAINE LABEL1.75X0.5</v>
          </cell>
          <cell r="C165" t="str">
            <v>EA</v>
          </cell>
        </row>
        <row r="166">
          <cell r="A166" t="str">
            <v>1913E</v>
          </cell>
          <cell r="B166" t="str">
            <v>KENALOG LABEL 1.75X0.5</v>
          </cell>
          <cell r="C166" t="str">
            <v>EA</v>
          </cell>
        </row>
        <row r="167">
          <cell r="A167" t="str">
            <v>1913G</v>
          </cell>
          <cell r="B167" t="str">
            <v>FENTANYL LABEL 1.75X0.5</v>
          </cell>
          <cell r="C167" t="str">
            <v>EA</v>
          </cell>
        </row>
        <row r="168">
          <cell r="A168" t="str">
            <v>1913H</v>
          </cell>
          <cell r="B168" t="str">
            <v>SOLUMEDROL LABEL 1.75X0.5</v>
          </cell>
          <cell r="C168" t="str">
            <v>EA</v>
          </cell>
        </row>
        <row r="169">
          <cell r="A169" t="str">
            <v>1914A</v>
          </cell>
          <cell r="B169" t="str">
            <v>22GX5"QUINCKE SPINAL NDLE</v>
          </cell>
          <cell r="C169" t="str">
            <v>EA</v>
          </cell>
          <cell r="D169" t="str">
            <v>N1</v>
          </cell>
          <cell r="E169">
            <v>345</v>
          </cell>
        </row>
        <row r="170">
          <cell r="A170" t="str">
            <v>1922N</v>
          </cell>
          <cell r="B170" t="str">
            <v>4.75"Adson Fcep 1x2 Teeth</v>
          </cell>
          <cell r="C170" t="str">
            <v>EA</v>
          </cell>
          <cell r="D170">
            <v>44</v>
          </cell>
          <cell r="E170">
            <v>8720</v>
          </cell>
        </row>
        <row r="171">
          <cell r="A171" t="str">
            <v>1922SFN</v>
          </cell>
          <cell r="B171" t="str">
            <v>AdsonFcp/1x2/FinePt/Satin</v>
          </cell>
          <cell r="C171" t="str">
            <v>EA</v>
          </cell>
          <cell r="D171">
            <v>44</v>
          </cell>
          <cell r="E171">
            <v>17932</v>
          </cell>
        </row>
        <row r="172">
          <cell r="A172" t="str">
            <v>1923N</v>
          </cell>
          <cell r="B172" t="str">
            <v>4.75"Adson Serrated Frcep</v>
          </cell>
          <cell r="C172" t="str">
            <v>EA</v>
          </cell>
          <cell r="D172">
            <v>1</v>
          </cell>
          <cell r="E172">
            <v>130487</v>
          </cell>
        </row>
        <row r="173">
          <cell r="A173" t="str">
            <v>1924N</v>
          </cell>
          <cell r="B173" t="str">
            <v>4.5" S/B Operating Sciss.</v>
          </cell>
          <cell r="C173" t="str">
            <v>EA</v>
          </cell>
          <cell r="D173">
            <v>38</v>
          </cell>
          <cell r="E173">
            <v>4460</v>
          </cell>
        </row>
        <row r="174">
          <cell r="A174" t="str">
            <v>1928D-1</v>
          </cell>
          <cell r="B174" t="str">
            <v>21/4"X6" COLORED MED LBLD</v>
          </cell>
          <cell r="C174" t="str">
            <v>EA</v>
          </cell>
          <cell r="D174">
            <v>6</v>
          </cell>
          <cell r="E174">
            <v>1073</v>
          </cell>
        </row>
        <row r="175">
          <cell r="A175" t="str">
            <v>1932A</v>
          </cell>
          <cell r="B175" t="str">
            <v>CHLORAPREP 3.0ML ORANGE</v>
          </cell>
          <cell r="C175" t="str">
            <v>EA</v>
          </cell>
          <cell r="D175">
            <v>14</v>
          </cell>
          <cell r="E175">
            <v>199</v>
          </cell>
        </row>
        <row r="176">
          <cell r="A176" t="str">
            <v>1932B</v>
          </cell>
          <cell r="B176" t="str">
            <v>CHLORAPREP 1-STEP INSERT</v>
          </cell>
          <cell r="C176" t="str">
            <v>EA</v>
          </cell>
          <cell r="D176">
            <v>6</v>
          </cell>
          <cell r="E176">
            <v>41341</v>
          </cell>
        </row>
        <row r="177">
          <cell r="A177" t="str">
            <v>1932B</v>
          </cell>
          <cell r="B177" t="str">
            <v>CHLORAPREP 1-STEP INSERT</v>
          </cell>
          <cell r="C177" t="str">
            <v>EA</v>
          </cell>
          <cell r="D177">
            <v>5</v>
          </cell>
          <cell r="E177">
            <v>794</v>
          </cell>
        </row>
        <row r="178">
          <cell r="A178" t="str">
            <v>1941A</v>
          </cell>
          <cell r="B178" t="str">
            <v>20ML1%LIDOCAINE P/VIAL RX</v>
          </cell>
          <cell r="C178" t="str">
            <v>EA</v>
          </cell>
          <cell r="D178" t="str">
            <v>DRUGS</v>
          </cell>
          <cell r="E178">
            <v>209</v>
          </cell>
        </row>
        <row r="179">
          <cell r="A179" t="str">
            <v>1941N</v>
          </cell>
          <cell r="B179" t="str">
            <v>4.5"Littauer Stitch Sciss</v>
          </cell>
          <cell r="C179" t="str">
            <v>EA</v>
          </cell>
          <cell r="D179">
            <v>47</v>
          </cell>
          <cell r="E179">
            <v>23185</v>
          </cell>
        </row>
        <row r="180">
          <cell r="A180" t="str">
            <v>1944A</v>
          </cell>
          <cell r="B180" t="str">
            <v>3CC SLIP-TIP SYRINGE</v>
          </cell>
          <cell r="C180" t="str">
            <v>EA</v>
          </cell>
          <cell r="D180">
            <v>21</v>
          </cell>
          <cell r="E180">
            <v>1624</v>
          </cell>
        </row>
        <row r="181">
          <cell r="A181" t="str">
            <v>1944B</v>
          </cell>
          <cell r="B181" t="str">
            <v>6"EXTEN SET W/F/L/@M/L/S</v>
          </cell>
          <cell r="C181" t="str">
            <v>EA</v>
          </cell>
        </row>
        <row r="182">
          <cell r="A182" t="str">
            <v>1944B-1</v>
          </cell>
          <cell r="B182" t="str">
            <v>6"SM BORE EXTSET M LS/CLP</v>
          </cell>
          <cell r="C182" t="str">
            <v>EA</v>
          </cell>
          <cell r="D182">
            <v>21</v>
          </cell>
          <cell r="E182">
            <v>5430</v>
          </cell>
        </row>
        <row r="183">
          <cell r="A183" t="str">
            <v>1954B</v>
          </cell>
          <cell r="B183" t="str">
            <v>P/F TRILON GLOVES LG.</v>
          </cell>
          <cell r="C183" t="str">
            <v>EA</v>
          </cell>
          <cell r="D183">
            <v>20</v>
          </cell>
          <cell r="E183">
            <v>6138</v>
          </cell>
        </row>
        <row r="184">
          <cell r="A184" t="str">
            <v>1954G</v>
          </cell>
          <cell r="B184" t="str">
            <v>1/4" X 1-1/2" TAPE S/6/CD</v>
          </cell>
          <cell r="C184" t="str">
            <v>EA</v>
          </cell>
          <cell r="D184">
            <v>26</v>
          </cell>
          <cell r="E184">
            <v>6554</v>
          </cell>
        </row>
        <row r="185">
          <cell r="A185" t="str">
            <v>1954H</v>
          </cell>
          <cell r="B185" t="str">
            <v>BD 21GX11/2" NEEDLE STER</v>
          </cell>
          <cell r="C185" t="str">
            <v>EA</v>
          </cell>
          <cell r="D185" t="str">
            <v>N2</v>
          </cell>
          <cell r="E185">
            <v>448</v>
          </cell>
        </row>
        <row r="186">
          <cell r="A186" t="str">
            <v>1977A</v>
          </cell>
          <cell r="B186" t="str">
            <v>7CC EPILOR SLIP-TIP SYR.</v>
          </cell>
          <cell r="C186" t="str">
            <v>EA</v>
          </cell>
          <cell r="D186">
            <v>14</v>
          </cell>
          <cell r="E186">
            <v>869</v>
          </cell>
        </row>
        <row r="187">
          <cell r="A187" t="str">
            <v>1977B</v>
          </cell>
          <cell r="B187" t="str">
            <v>MYCO 22GX3.5" TUOHY REMWG</v>
          </cell>
          <cell r="C187" t="str">
            <v>EA</v>
          </cell>
          <cell r="D187" t="str">
            <v>N1</v>
          </cell>
          <cell r="E187">
            <v>233</v>
          </cell>
        </row>
        <row r="188">
          <cell r="A188" t="str">
            <v>1977B-1</v>
          </cell>
          <cell r="B188" t="str">
            <v>22GX31/2" TUOHY N/W/REM/W</v>
          </cell>
          <cell r="C188" t="str">
            <v>EA</v>
          </cell>
          <cell r="D188" t="str">
            <v>N9</v>
          </cell>
          <cell r="E188">
            <v>95</v>
          </cell>
        </row>
        <row r="189">
          <cell r="A189" t="str">
            <v>1990A</v>
          </cell>
          <cell r="B189" t="str">
            <v>SKIN MARKER (FINE TIP)</v>
          </cell>
          <cell r="C189" t="str">
            <v>EA</v>
          </cell>
          <cell r="D189">
            <v>15</v>
          </cell>
          <cell r="E189">
            <v>207</v>
          </cell>
        </row>
        <row r="190">
          <cell r="A190" t="str">
            <v>1992A</v>
          </cell>
          <cell r="B190" t="str">
            <v>6"STANDARD BORE SET W/L/S</v>
          </cell>
          <cell r="C190" t="str">
            <v>EA</v>
          </cell>
          <cell r="D190">
            <v>28</v>
          </cell>
          <cell r="E190">
            <v>2309</v>
          </cell>
        </row>
        <row r="191">
          <cell r="A191" t="str">
            <v>1992B</v>
          </cell>
          <cell r="B191" t="str">
            <v>THREE WAY STOPCOCK W/R/MF</v>
          </cell>
          <cell r="C191" t="str">
            <v>EA</v>
          </cell>
          <cell r="D191">
            <v>15</v>
          </cell>
          <cell r="E191">
            <v>287</v>
          </cell>
        </row>
        <row r="192">
          <cell r="A192" t="str">
            <v>1993A</v>
          </cell>
          <cell r="B192" t="str">
            <v>25GX31/2"QUINCKE S//NDLE</v>
          </cell>
          <cell r="C192" t="str">
            <v>EA</v>
          </cell>
          <cell r="D192" t="str">
            <v>N1</v>
          </cell>
          <cell r="E192">
            <v>627</v>
          </cell>
        </row>
        <row r="193">
          <cell r="A193" t="str">
            <v>1993B</v>
          </cell>
          <cell r="B193" t="str">
            <v>27X31/2"X QUINCKE S/NDLE</v>
          </cell>
          <cell r="C193" t="str">
            <v>EA</v>
          </cell>
          <cell r="D193" t="str">
            <v>N1</v>
          </cell>
          <cell r="E193">
            <v>1463</v>
          </cell>
        </row>
        <row r="194">
          <cell r="A194" t="str">
            <v>1993C</v>
          </cell>
          <cell r="B194" t="str">
            <v>1/2"X13/4" ORANGE L/LABEL</v>
          </cell>
          <cell r="C194" t="str">
            <v>EA</v>
          </cell>
          <cell r="D194">
            <v>20</v>
          </cell>
          <cell r="E194">
            <v>666</v>
          </cell>
        </row>
        <row r="195">
          <cell r="A195" t="str">
            <v>1993D</v>
          </cell>
          <cell r="B195" t="str">
            <v>1/2X1 3/4 YELLOW C/LABEL</v>
          </cell>
          <cell r="C195" t="str">
            <v>EA</v>
          </cell>
          <cell r="D195">
            <v>38</v>
          </cell>
          <cell r="E195">
            <v>1464</v>
          </cell>
        </row>
        <row r="196">
          <cell r="A196" t="str">
            <v>1994B</v>
          </cell>
          <cell r="B196" t="str">
            <v>6"EXT.SET W/F/&amp;/M L/LOCK</v>
          </cell>
          <cell r="C196" t="str">
            <v>EA</v>
          </cell>
        </row>
        <row r="197">
          <cell r="A197" t="str">
            <v>2001</v>
          </cell>
          <cell r="B197" t="str">
            <v>WHITE PE COATED GOWN</v>
          </cell>
          <cell r="C197" t="str">
            <v>EA</v>
          </cell>
          <cell r="D197">
            <v>28</v>
          </cell>
          <cell r="E197">
            <v>44</v>
          </cell>
        </row>
        <row r="198">
          <cell r="A198" t="str">
            <v>2005A</v>
          </cell>
          <cell r="B198" t="str">
            <v>LOCAL LABEL1.75X0.5</v>
          </cell>
          <cell r="C198" t="str">
            <v>EA</v>
          </cell>
        </row>
        <row r="199">
          <cell r="A199" t="str">
            <v>2005B</v>
          </cell>
          <cell r="B199" t="str">
            <v>10ML BUPIVACAINE HCL.25%</v>
          </cell>
          <cell r="C199" t="str">
            <v>EA</v>
          </cell>
        </row>
        <row r="200">
          <cell r="A200" t="str">
            <v>2005C</v>
          </cell>
          <cell r="B200" t="str">
            <v>EN-2402IVACAINE INSRT</v>
          </cell>
          <cell r="C200" t="str">
            <v>EA</v>
          </cell>
          <cell r="D200">
            <v>6</v>
          </cell>
          <cell r="E200">
            <v>600</v>
          </cell>
        </row>
        <row r="201">
          <cell r="A201" t="str">
            <v>2030</v>
          </cell>
          <cell r="B201" t="str">
            <v>Standard Isolation Gown</v>
          </cell>
          <cell r="C201" t="str">
            <v>EA</v>
          </cell>
        </row>
        <row r="202">
          <cell r="A202" t="str">
            <v>2042</v>
          </cell>
          <cell r="B202" t="str">
            <v>unctd1059BTyvk308mm</v>
          </cell>
          <cell r="C202" t="str">
            <v>MI</v>
          </cell>
        </row>
        <row r="203">
          <cell r="A203" t="str">
            <v>2042FS</v>
          </cell>
          <cell r="B203" t="str">
            <v>2FS TYVEK UNCOATED 308MM</v>
          </cell>
          <cell r="C203" t="str">
            <v>MI</v>
          </cell>
          <cell r="D203">
            <v>35</v>
          </cell>
          <cell r="E203">
            <v>23862</v>
          </cell>
        </row>
        <row r="204">
          <cell r="A204" t="str">
            <v>2044</v>
          </cell>
          <cell r="B204" t="str">
            <v>Unprinted Carton for 204</v>
          </cell>
          <cell r="C204" t="str">
            <v>EA</v>
          </cell>
          <cell r="D204" t="str">
            <v>MZ4</v>
          </cell>
          <cell r="E204">
            <v>552</v>
          </cell>
        </row>
        <row r="205">
          <cell r="A205" t="str">
            <v>2051</v>
          </cell>
          <cell r="B205" t="str">
            <v>IPC PE C/WHT GOWN F/B</v>
          </cell>
          <cell r="C205" t="str">
            <v>EA</v>
          </cell>
          <cell r="D205">
            <v>22</v>
          </cell>
          <cell r="E205">
            <v>150</v>
          </cell>
        </row>
        <row r="206">
          <cell r="A206" t="str">
            <v>2053</v>
          </cell>
          <cell r="B206" t="str">
            <v>UNPRINTED CTN FOR/736 ETC</v>
          </cell>
          <cell r="C206" t="str">
            <v>EA</v>
          </cell>
          <cell r="D206" t="str">
            <v>MZ3</v>
          </cell>
          <cell r="E206">
            <v>1077</v>
          </cell>
        </row>
        <row r="207">
          <cell r="A207" t="str">
            <v>2060S</v>
          </cell>
          <cell r="B207" t="str">
            <v>Unprinted Ctn</v>
          </cell>
          <cell r="C207" t="str">
            <v>EA</v>
          </cell>
          <cell r="D207" t="str">
            <v>MZ3</v>
          </cell>
          <cell r="E207">
            <v>890</v>
          </cell>
        </row>
        <row r="208">
          <cell r="A208" t="str">
            <v>2066A</v>
          </cell>
          <cell r="B208" t="str">
            <v>20ML9%P/F/SODIUM CHLO/P/V</v>
          </cell>
          <cell r="C208" t="str">
            <v>EA</v>
          </cell>
          <cell r="D208" t="str">
            <v>DRUGS</v>
          </cell>
          <cell r="E208">
            <v>400</v>
          </cell>
        </row>
        <row r="209">
          <cell r="A209" t="str">
            <v>2096A</v>
          </cell>
          <cell r="B209" t="str">
            <v>TRAY 9.72X 11IN X 2IN</v>
          </cell>
          <cell r="C209" t="str">
            <v>EA</v>
          </cell>
          <cell r="D209">
            <v>28</v>
          </cell>
          <cell r="E209">
            <v>110</v>
          </cell>
        </row>
        <row r="210">
          <cell r="A210" t="str">
            <v>2096B</v>
          </cell>
          <cell r="B210" t="str">
            <v>3X21/2IN RED TRANSFER CUP</v>
          </cell>
          <cell r="C210" t="str">
            <v>EA</v>
          </cell>
          <cell r="D210">
            <v>24</v>
          </cell>
          <cell r="E210">
            <v>233</v>
          </cell>
        </row>
        <row r="211">
          <cell r="A211" t="str">
            <v>2100A</v>
          </cell>
          <cell r="B211" t="str">
            <v>18G X31/2"TUOHY NEEDLE</v>
          </cell>
          <cell r="C211" t="str">
            <v>EA</v>
          </cell>
          <cell r="D211" t="str">
            <v>N1</v>
          </cell>
          <cell r="E211">
            <v>888</v>
          </cell>
        </row>
        <row r="212">
          <cell r="A212" t="str">
            <v>2135A</v>
          </cell>
          <cell r="B212" t="str">
            <v>30X30IN KIMGUARD CSR WRAP</v>
          </cell>
          <cell r="C212" t="str">
            <v>EA</v>
          </cell>
          <cell r="D212">
            <v>33</v>
          </cell>
          <cell r="E212">
            <v>212</v>
          </cell>
        </row>
        <row r="213">
          <cell r="A213" t="str">
            <v>2145A</v>
          </cell>
          <cell r="B213" t="str">
            <v>1"X3" FLEX.ADH.BANDAGE</v>
          </cell>
          <cell r="C213" t="str">
            <v>EA</v>
          </cell>
        </row>
        <row r="214">
          <cell r="A214" t="str">
            <v>2157B</v>
          </cell>
          <cell r="B214" t="str">
            <v>STERILE NEEDLE 16GX11/2"</v>
          </cell>
          <cell r="C214" t="str">
            <v>EA</v>
          </cell>
          <cell r="D214" t="str">
            <v>N1</v>
          </cell>
          <cell r="E214">
            <v>75</v>
          </cell>
        </row>
        <row r="215">
          <cell r="A215" t="str">
            <v>2161A-1</v>
          </cell>
          <cell r="B215" t="str">
            <v>10CC GLASS LOR L/L/G/SYR</v>
          </cell>
          <cell r="C215" t="str">
            <v>EA</v>
          </cell>
          <cell r="D215">
            <v>25</v>
          </cell>
          <cell r="E215">
            <v>223</v>
          </cell>
        </row>
        <row r="216">
          <cell r="A216" t="str">
            <v>2170A</v>
          </cell>
          <cell r="B216" t="str">
            <v>22GX31/2"QUINCKE S/NEEDLE</v>
          </cell>
          <cell r="C216" t="str">
            <v>EA</v>
          </cell>
          <cell r="D216" t="str">
            <v>N1</v>
          </cell>
          <cell r="E216">
            <v>797</v>
          </cell>
        </row>
        <row r="217">
          <cell r="A217" t="str">
            <v>2209N</v>
          </cell>
          <cell r="B217" t="str">
            <v>Nitrile Glove LG PF Wall</v>
          </cell>
          <cell r="C217" t="str">
            <v>PR</v>
          </cell>
          <cell r="D217">
            <v>22</v>
          </cell>
          <cell r="E217">
            <v>19630</v>
          </cell>
        </row>
        <row r="218">
          <cell r="A218" t="str">
            <v>2214B</v>
          </cell>
          <cell r="B218" t="str">
            <v>MYCO 20GX3.5" TUOHY REMWG</v>
          </cell>
          <cell r="C218" t="str">
            <v>EA</v>
          </cell>
          <cell r="D218" t="str">
            <v>N1</v>
          </cell>
          <cell r="E218">
            <v>172</v>
          </cell>
        </row>
        <row r="219">
          <cell r="A219" t="str">
            <v>2235A</v>
          </cell>
          <cell r="B219" t="str">
            <v>21"STANDRD/BORE SET W/M/F</v>
          </cell>
          <cell r="C219" t="str">
            <v>EA</v>
          </cell>
          <cell r="D219">
            <v>30</v>
          </cell>
          <cell r="E219">
            <v>1382</v>
          </cell>
        </row>
        <row r="220">
          <cell r="A220" t="str">
            <v>2253A</v>
          </cell>
          <cell r="B220" t="str">
            <v>18GX31/2"TOUHY W/FX WING</v>
          </cell>
          <cell r="C220" t="str">
            <v>EA</v>
          </cell>
          <cell r="D220" t="str">
            <v>N2</v>
          </cell>
          <cell r="E220">
            <v>997</v>
          </cell>
        </row>
        <row r="221">
          <cell r="A221" t="str">
            <v>2257A</v>
          </cell>
          <cell r="B221" t="str">
            <v>2/3CC 0.6ML BENZOIN VIAL</v>
          </cell>
          <cell r="C221" t="str">
            <v>EA</v>
          </cell>
          <cell r="D221">
            <v>15</v>
          </cell>
          <cell r="E221">
            <v>6281</v>
          </cell>
        </row>
        <row r="222">
          <cell r="A222" t="str">
            <v>2327A</v>
          </cell>
          <cell r="B222" t="str">
            <v>6"X48"PROBE COVER W/GEL</v>
          </cell>
          <cell r="C222" t="str">
            <v>EA</v>
          </cell>
          <cell r="D222">
            <v>15</v>
          </cell>
          <cell r="E222">
            <v>460</v>
          </cell>
        </row>
        <row r="223">
          <cell r="A223" t="str">
            <v>2327B</v>
          </cell>
          <cell r="B223" t="str">
            <v>20gx31/2"spinal needle</v>
          </cell>
          <cell r="C223" t="str">
            <v>EA</v>
          </cell>
          <cell r="D223" t="str">
            <v>N6</v>
          </cell>
          <cell r="E223">
            <v>523</v>
          </cell>
        </row>
        <row r="224">
          <cell r="A224" t="str">
            <v>2327D</v>
          </cell>
          <cell r="B224" t="str">
            <v>44x78 table cover sms</v>
          </cell>
          <cell r="C224" t="str">
            <v>EA</v>
          </cell>
          <cell r="D224">
            <v>25</v>
          </cell>
          <cell r="E224">
            <v>87</v>
          </cell>
        </row>
        <row r="225">
          <cell r="A225" t="str">
            <v>2327E</v>
          </cell>
          <cell r="B225" t="str">
            <v>77x108 sheet w/31/2x39/s</v>
          </cell>
          <cell r="C225" t="str">
            <v>EA</v>
          </cell>
          <cell r="D225">
            <v>29</v>
          </cell>
          <cell r="E225">
            <v>55</v>
          </cell>
        </row>
        <row r="226">
          <cell r="A226" t="str">
            <v>2356-1</v>
          </cell>
          <cell r="B226" t="str">
            <v>UNPRTD CTN F/CAT KIT</v>
          </cell>
          <cell r="C226" t="str">
            <v>EA</v>
          </cell>
        </row>
        <row r="227">
          <cell r="A227" t="str">
            <v>2359</v>
          </cell>
          <cell r="B227" t="str">
            <v>6" Wood C.T.A</v>
          </cell>
          <cell r="C227" t="str">
            <v>EA</v>
          </cell>
          <cell r="D227">
            <v>31</v>
          </cell>
          <cell r="E227">
            <v>8612</v>
          </cell>
        </row>
        <row r="228">
          <cell r="A228" t="str">
            <v>2366</v>
          </cell>
          <cell r="B228" t="str">
            <v>20 Gge x 1 1/2" Ndle</v>
          </cell>
          <cell r="C228" t="str">
            <v>EA</v>
          </cell>
          <cell r="D228" t="str">
            <v>N7</v>
          </cell>
          <cell r="E228">
            <v>5960</v>
          </cell>
        </row>
        <row r="229">
          <cell r="A229" t="str">
            <v>2383A</v>
          </cell>
          <cell r="B229" t="str">
            <v>5" TYRELL SKIN HOOK B/P</v>
          </cell>
          <cell r="C229" t="str">
            <v>EA</v>
          </cell>
          <cell r="D229">
            <v>5</v>
          </cell>
          <cell r="E229">
            <v>67</v>
          </cell>
        </row>
        <row r="230">
          <cell r="A230" t="str">
            <v>2388C</v>
          </cell>
          <cell r="B230" t="str">
            <v>25 GAUGE X 2IN NEEDLE</v>
          </cell>
          <cell r="C230" t="str">
            <v>EA</v>
          </cell>
          <cell r="D230" t="str">
            <v>N2</v>
          </cell>
          <cell r="E230">
            <v>510</v>
          </cell>
        </row>
        <row r="231">
          <cell r="A231" t="str">
            <v>2392A</v>
          </cell>
          <cell r="B231" t="str">
            <v>22" X 28" 3PP DRAPE</v>
          </cell>
          <cell r="C231" t="str">
            <v>EA</v>
          </cell>
          <cell r="D231">
            <v>24</v>
          </cell>
          <cell r="E231">
            <v>2169</v>
          </cell>
        </row>
        <row r="232">
          <cell r="A232" t="str">
            <v>2408A</v>
          </cell>
          <cell r="B232" t="str">
            <v>MAYO STAND COVER 23"X54"</v>
          </cell>
          <cell r="C232" t="str">
            <v>EA</v>
          </cell>
          <cell r="D232">
            <v>29</v>
          </cell>
          <cell r="E232">
            <v>295</v>
          </cell>
        </row>
        <row r="233">
          <cell r="A233" t="str">
            <v>2426-1</v>
          </cell>
          <cell r="B233" t="str">
            <v>20CC LUER LOCK SYRINGE LF</v>
          </cell>
          <cell r="C233" t="str">
            <v>EA</v>
          </cell>
          <cell r="D233">
            <v>24</v>
          </cell>
          <cell r="E233">
            <v>38568</v>
          </cell>
        </row>
        <row r="234">
          <cell r="A234" t="str">
            <v>2487B</v>
          </cell>
          <cell r="B234" t="str">
            <v>8" PROBE WITH EYE</v>
          </cell>
          <cell r="C234" t="str">
            <v>EA</v>
          </cell>
          <cell r="D234">
            <v>22</v>
          </cell>
          <cell r="E234">
            <v>92</v>
          </cell>
        </row>
        <row r="235">
          <cell r="A235" t="str">
            <v>2501</v>
          </cell>
          <cell r="B235" t="str">
            <v>Apron 1pc-indiv folded</v>
          </cell>
          <cell r="C235" t="str">
            <v>EA</v>
          </cell>
          <cell r="D235">
            <v>5</v>
          </cell>
          <cell r="E235">
            <v>8678</v>
          </cell>
        </row>
        <row r="236">
          <cell r="A236" t="str">
            <v>2524A</v>
          </cell>
          <cell r="B236" t="str">
            <v>GADO MIX LABEL 1.75X 0.5</v>
          </cell>
          <cell r="C236" t="str">
            <v>EA</v>
          </cell>
        </row>
        <row r="237">
          <cell r="A237" t="str">
            <v>2541A</v>
          </cell>
          <cell r="B237" t="str">
            <v>CHLORAPREP 10.5ML UNTINTD</v>
          </cell>
          <cell r="C237" t="str">
            <v>EA</v>
          </cell>
          <cell r="D237">
            <v>14</v>
          </cell>
          <cell r="E237">
            <v>106</v>
          </cell>
        </row>
        <row r="238">
          <cell r="A238" t="str">
            <v>2541B</v>
          </cell>
          <cell r="B238" t="str">
            <v>#11 BLADE-STAINLESS STEEL</v>
          </cell>
          <cell r="C238" t="str">
            <v>EA</v>
          </cell>
          <cell r="D238">
            <v>14</v>
          </cell>
          <cell r="E238">
            <v>99</v>
          </cell>
        </row>
        <row r="239">
          <cell r="A239" t="str">
            <v>2541D</v>
          </cell>
          <cell r="B239" t="str">
            <v>10X14" STYROFOAM TRAY</v>
          </cell>
          <cell r="C239" t="str">
            <v>EA</v>
          </cell>
          <cell r="D239">
            <v>30</v>
          </cell>
          <cell r="E239">
            <v>16</v>
          </cell>
        </row>
        <row r="240">
          <cell r="A240" t="str">
            <v>2541E</v>
          </cell>
          <cell r="B240" t="str">
            <v>CHLORAPREP 10.5MIL INSRT</v>
          </cell>
          <cell r="C240" t="str">
            <v>EA</v>
          </cell>
        </row>
        <row r="241">
          <cell r="A241" t="str">
            <v>2546B</v>
          </cell>
          <cell r="B241" t="str">
            <v>LATEX-FREE RUBBER BAND</v>
          </cell>
          <cell r="C241" t="str">
            <v>EA</v>
          </cell>
          <cell r="D241">
            <v>31</v>
          </cell>
          <cell r="E241">
            <v>1100</v>
          </cell>
        </row>
        <row r="242">
          <cell r="A242" t="str">
            <v>2555A</v>
          </cell>
          <cell r="B242" t="str">
            <v>9MM LAMINARIE C/DILATOR</v>
          </cell>
          <cell r="C242" t="str">
            <v>EA</v>
          </cell>
        </row>
        <row r="243">
          <cell r="A243" t="str">
            <v>2581A</v>
          </cell>
          <cell r="B243" t="str">
            <v>STER 10.5MLCHLORAPREP/ORG</v>
          </cell>
          <cell r="C243" t="str">
            <v>EA</v>
          </cell>
        </row>
        <row r="244">
          <cell r="A244" t="str">
            <v>2581B</v>
          </cell>
          <cell r="B244" t="str">
            <v>33IN STANDARD B/EXT.SET</v>
          </cell>
          <cell r="C244" t="str">
            <v>EA</v>
          </cell>
        </row>
        <row r="245">
          <cell r="A245" t="str">
            <v>2592A</v>
          </cell>
          <cell r="B245" t="str">
            <v>20GX3.5"TUOHY/FIXED METAL</v>
          </cell>
          <cell r="C245" t="str">
            <v>EA</v>
          </cell>
          <cell r="D245" t="str">
            <v>N3</v>
          </cell>
          <cell r="E245">
            <v>2008</v>
          </cell>
        </row>
        <row r="246">
          <cell r="A246" t="str">
            <v>2600A</v>
          </cell>
          <cell r="B246" t="str">
            <v>SUTURE BAG</v>
          </cell>
          <cell r="C246" t="str">
            <v>EA</v>
          </cell>
          <cell r="D246">
            <v>14</v>
          </cell>
          <cell r="E246">
            <v>1855</v>
          </cell>
        </row>
        <row r="247">
          <cell r="A247" t="str">
            <v>2600B-1</v>
          </cell>
          <cell r="B247" t="str">
            <v>32"MICRO EXTSET DEHP FREE</v>
          </cell>
          <cell r="C247" t="str">
            <v>EA</v>
          </cell>
          <cell r="D247">
            <v>14</v>
          </cell>
          <cell r="E247">
            <v>125</v>
          </cell>
        </row>
        <row r="248">
          <cell r="A248" t="str">
            <v>2637A</v>
          </cell>
          <cell r="B248" t="str">
            <v>53X77 EENT S/DRAPE W/TAPE</v>
          </cell>
          <cell r="C248" t="str">
            <v>EA</v>
          </cell>
          <cell r="D248">
            <v>20</v>
          </cell>
          <cell r="E248">
            <v>41</v>
          </cell>
        </row>
        <row r="249">
          <cell r="A249" t="str">
            <v>2637C</v>
          </cell>
          <cell r="B249" t="str">
            <v>4.5X4.1YDS KERLIX ROLL</v>
          </cell>
          <cell r="C249" t="str">
            <v>EA</v>
          </cell>
          <cell r="D249">
            <v>25</v>
          </cell>
          <cell r="E249">
            <v>164</v>
          </cell>
        </row>
        <row r="250">
          <cell r="A250" t="str">
            <v>2637D</v>
          </cell>
          <cell r="B250" t="str">
            <v>5.4X9.72X1"LG SHALLOW TY</v>
          </cell>
          <cell r="C250" t="str">
            <v>EA</v>
          </cell>
          <cell r="D250">
            <v>18</v>
          </cell>
          <cell r="E250">
            <v>650</v>
          </cell>
        </row>
        <row r="251">
          <cell r="A251" t="str">
            <v>2655A</v>
          </cell>
          <cell r="B251" t="str">
            <v>23GX31/2"Q/SPINAL NEEDLE</v>
          </cell>
          <cell r="C251" t="str">
            <v>EA</v>
          </cell>
          <cell r="D251" t="str">
            <v>N2</v>
          </cell>
          <cell r="E251">
            <v>682</v>
          </cell>
        </row>
        <row r="252">
          <cell r="A252" t="str">
            <v>2662A</v>
          </cell>
          <cell r="B252" t="str">
            <v>FOAM HEAD BLOCK</v>
          </cell>
          <cell r="C252" t="str">
            <v>EA</v>
          </cell>
          <cell r="D252">
            <v>62</v>
          </cell>
          <cell r="E252">
            <v>56</v>
          </cell>
        </row>
        <row r="253">
          <cell r="A253" t="str">
            <v>2677A</v>
          </cell>
          <cell r="B253" t="str">
            <v>2ML DEMO/D/STERILE WATER</v>
          </cell>
          <cell r="C253" t="str">
            <v>EA</v>
          </cell>
        </row>
        <row r="254">
          <cell r="A254" t="str">
            <v>2684A</v>
          </cell>
          <cell r="B254" t="str">
            <v>6" DRY SPONGE STICK</v>
          </cell>
          <cell r="C254" t="str">
            <v>EA</v>
          </cell>
          <cell r="D254">
            <v>25</v>
          </cell>
          <cell r="E254">
            <v>7444</v>
          </cell>
        </row>
        <row r="255">
          <cell r="A255" t="str">
            <v>2695A</v>
          </cell>
          <cell r="B255" t="str">
            <v>6IN SM/B/EXT./W/M@F/REV/C</v>
          </cell>
          <cell r="C255" t="str">
            <v>EA</v>
          </cell>
          <cell r="D255">
            <v>27</v>
          </cell>
          <cell r="E255">
            <v>12431</v>
          </cell>
        </row>
        <row r="256">
          <cell r="A256" t="str">
            <v>2730D</v>
          </cell>
          <cell r="B256" t="str">
            <v>30 COUNT/D/MAGNET NDLE/C</v>
          </cell>
          <cell r="C256" t="str">
            <v>EA</v>
          </cell>
        </row>
        <row r="257">
          <cell r="A257" t="str">
            <v>2764A-1</v>
          </cell>
          <cell r="B257" t="str">
            <v>27.5IN X 37IN HEADER BAG</v>
          </cell>
          <cell r="C257" t="str">
            <v>EA</v>
          </cell>
          <cell r="D257">
            <v>23</v>
          </cell>
          <cell r="E257">
            <v>41</v>
          </cell>
        </row>
        <row r="258">
          <cell r="A258" t="str">
            <v>2764B</v>
          </cell>
          <cell r="B258" t="str">
            <v>77X114 SPLIT SHEET W/TAPE</v>
          </cell>
          <cell r="C258" t="str">
            <v>EA</v>
          </cell>
          <cell r="D258">
            <v>25</v>
          </cell>
          <cell r="E258">
            <v>35</v>
          </cell>
        </row>
        <row r="259">
          <cell r="A259" t="str">
            <v>2764C</v>
          </cell>
          <cell r="B259" t="str">
            <v>108" x 50" TOP SHEET</v>
          </cell>
          <cell r="C259" t="str">
            <v>EA</v>
          </cell>
        </row>
        <row r="260">
          <cell r="A260" t="str">
            <v>2764I</v>
          </cell>
          <cell r="B260" t="str">
            <v>#10 BLADE-CARBON STEEL</v>
          </cell>
          <cell r="C260" t="str">
            <v>EA</v>
          </cell>
          <cell r="D260">
            <v>14</v>
          </cell>
          <cell r="E260">
            <v>35</v>
          </cell>
        </row>
        <row r="261">
          <cell r="A261" t="str">
            <v>2764J</v>
          </cell>
          <cell r="B261" t="str">
            <v>LATEX P/F GLOVE WALLETED</v>
          </cell>
          <cell r="C261" t="str">
            <v>PR</v>
          </cell>
          <cell r="D261">
            <v>14</v>
          </cell>
          <cell r="E261">
            <v>78</v>
          </cell>
        </row>
        <row r="262">
          <cell r="A262" t="str">
            <v>2764J-1</v>
          </cell>
          <cell r="B262" t="str">
            <v>LATEX P/F GLOVE WALLETED</v>
          </cell>
          <cell r="C262" t="str">
            <v>PR</v>
          </cell>
          <cell r="D262">
            <v>15</v>
          </cell>
          <cell r="E262">
            <v>88</v>
          </cell>
        </row>
        <row r="263">
          <cell r="A263" t="str">
            <v>2764L</v>
          </cell>
          <cell r="B263" t="str">
            <v>CAUTERY PENCIL W/HOLSTER</v>
          </cell>
          <cell r="C263" t="str">
            <v>EA</v>
          </cell>
          <cell r="D263">
            <v>14</v>
          </cell>
          <cell r="E263">
            <v>42</v>
          </cell>
        </row>
        <row r="264">
          <cell r="A264" t="str">
            <v>2789C</v>
          </cell>
          <cell r="B264" t="str">
            <v>18"X26" DRAPE B/W/4" FEN</v>
          </cell>
          <cell r="C264" t="str">
            <v>EA</v>
          </cell>
          <cell r="D264">
            <v>64</v>
          </cell>
          <cell r="E264">
            <v>4356</v>
          </cell>
        </row>
        <row r="265">
          <cell r="A265" t="str">
            <v>2790A</v>
          </cell>
          <cell r="B265" t="str">
            <v>48"X30 STD LEGGING</v>
          </cell>
          <cell r="C265" t="str">
            <v>EA</v>
          </cell>
          <cell r="D265">
            <v>8</v>
          </cell>
          <cell r="E265">
            <v>754</v>
          </cell>
        </row>
        <row r="266">
          <cell r="A266" t="str">
            <v>2790C</v>
          </cell>
          <cell r="B266" t="str">
            <v>7MM CURVED CURETTE</v>
          </cell>
          <cell r="C266" t="str">
            <v>EA</v>
          </cell>
          <cell r="D266">
            <v>21</v>
          </cell>
          <cell r="E266">
            <v>15643</v>
          </cell>
        </row>
        <row r="267">
          <cell r="A267" t="str">
            <v>2800A</v>
          </cell>
          <cell r="B267" t="str">
            <v>20GX 31/2"NDLE W/R/WINGS</v>
          </cell>
          <cell r="C267" t="str">
            <v>EA</v>
          </cell>
          <cell r="D267" t="str">
            <v>N6</v>
          </cell>
          <cell r="E267">
            <v>368</v>
          </cell>
        </row>
        <row r="268">
          <cell r="A268" t="str">
            <v>2800C</v>
          </cell>
          <cell r="B268" t="str">
            <v>8MM CURVED CURETTE</v>
          </cell>
          <cell r="C268" t="str">
            <v>EA</v>
          </cell>
          <cell r="D268">
            <v>31</v>
          </cell>
          <cell r="E268">
            <v>25466</v>
          </cell>
        </row>
        <row r="269">
          <cell r="A269" t="str">
            <v>2807</v>
          </cell>
          <cell r="B269" t="str">
            <v>Unprinted Ctn</v>
          </cell>
          <cell r="C269" t="str">
            <v>EA</v>
          </cell>
          <cell r="D269" t="str">
            <v>MZ6</v>
          </cell>
          <cell r="E269">
            <v>188</v>
          </cell>
        </row>
        <row r="270">
          <cell r="A270" t="str">
            <v>2810C</v>
          </cell>
          <cell r="B270" t="str">
            <v>9MM CURVED CURETTE</v>
          </cell>
          <cell r="C270" t="str">
            <v>EA</v>
          </cell>
          <cell r="D270">
            <v>18</v>
          </cell>
          <cell r="E270">
            <v>11671</v>
          </cell>
        </row>
        <row r="271">
          <cell r="A271" t="str">
            <v>2820C</v>
          </cell>
          <cell r="B271" t="str">
            <v>10MM CURVED CURETTE</v>
          </cell>
          <cell r="C271" t="str">
            <v>EA</v>
          </cell>
          <cell r="D271">
            <v>23</v>
          </cell>
          <cell r="E271">
            <v>21029</v>
          </cell>
        </row>
        <row r="272">
          <cell r="A272" t="str">
            <v>2829B</v>
          </cell>
          <cell r="B272" t="str">
            <v>18"X11/2" SHORT BEVEL/NDL</v>
          </cell>
          <cell r="C272" t="str">
            <v>EA</v>
          </cell>
          <cell r="D272" t="str">
            <v>N2</v>
          </cell>
          <cell r="E272">
            <v>639</v>
          </cell>
        </row>
        <row r="273">
          <cell r="A273" t="str">
            <v>2830C</v>
          </cell>
          <cell r="B273" t="str">
            <v>11MM CURVED CURETTE</v>
          </cell>
          <cell r="C273" t="str">
            <v>EA</v>
          </cell>
          <cell r="D273">
            <v>61</v>
          </cell>
          <cell r="E273">
            <v>3510</v>
          </cell>
        </row>
        <row r="274">
          <cell r="A274" t="str">
            <v>2840C</v>
          </cell>
          <cell r="B274" t="str">
            <v>12MM CURVED CURETTE</v>
          </cell>
          <cell r="C274" t="str">
            <v>EA</v>
          </cell>
          <cell r="D274">
            <v>62</v>
          </cell>
          <cell r="E274">
            <v>12771</v>
          </cell>
        </row>
        <row r="275">
          <cell r="A275" t="str">
            <v>2850C</v>
          </cell>
          <cell r="B275" t="str">
            <v>14MM CURVED CURETTE</v>
          </cell>
          <cell r="C275" t="str">
            <v>EA</v>
          </cell>
          <cell r="D275">
            <v>23</v>
          </cell>
          <cell r="E275">
            <v>21761</v>
          </cell>
        </row>
        <row r="276">
          <cell r="A276" t="str">
            <v>2862A</v>
          </cell>
          <cell r="B276" t="str">
            <v>13 X 19 2PP TOWEL</v>
          </cell>
          <cell r="C276" t="str">
            <v>EA</v>
          </cell>
        </row>
        <row r="277">
          <cell r="A277" t="str">
            <v>2862A-1</v>
          </cell>
          <cell r="B277" t="str">
            <v>13.5X18" TTP WHITE TOWEL</v>
          </cell>
          <cell r="C277" t="str">
            <v>EA</v>
          </cell>
          <cell r="D277">
            <v>23</v>
          </cell>
          <cell r="E277">
            <v>1071</v>
          </cell>
        </row>
        <row r="278">
          <cell r="A278" t="str">
            <v>2862B</v>
          </cell>
          <cell r="B278" t="str">
            <v>18GX31/2IN NDLE W/REM/WG</v>
          </cell>
          <cell r="C278" t="str">
            <v>EA</v>
          </cell>
          <cell r="D278" t="str">
            <v>N9</v>
          </cell>
          <cell r="E278">
            <v>856</v>
          </cell>
        </row>
        <row r="279">
          <cell r="A279" t="str">
            <v>2862C</v>
          </cell>
          <cell r="B279" t="str">
            <v>18IN G X 11/2" NEEDLE</v>
          </cell>
          <cell r="C279" t="str">
            <v>EA</v>
          </cell>
          <cell r="D279" t="str">
            <v>N4</v>
          </cell>
          <cell r="E279">
            <v>49239</v>
          </cell>
        </row>
        <row r="280">
          <cell r="A280" t="str">
            <v>2862D</v>
          </cell>
          <cell r="B280" t="str">
            <v>22 G X 1-1/2" NEEDLE</v>
          </cell>
          <cell r="C280" t="str">
            <v>EA</v>
          </cell>
          <cell r="D280" t="str">
            <v>N6</v>
          </cell>
          <cell r="E280">
            <v>18672</v>
          </cell>
        </row>
        <row r="281">
          <cell r="A281" t="str">
            <v>2862G</v>
          </cell>
          <cell r="B281" t="str">
            <v>27GX 11/4 NEEDLE STERILE</v>
          </cell>
          <cell r="C281" t="str">
            <v>EA</v>
          </cell>
          <cell r="D281" t="str">
            <v>N4</v>
          </cell>
          <cell r="E281">
            <v>73</v>
          </cell>
        </row>
        <row r="282">
          <cell r="A282" t="str">
            <v>2880A</v>
          </cell>
          <cell r="B282" t="str">
            <v>8"SPONGE W/10%/P/SOLUT2/P</v>
          </cell>
          <cell r="C282" t="str">
            <v>EA</v>
          </cell>
          <cell r="D282">
            <v>19</v>
          </cell>
          <cell r="E282">
            <v>144</v>
          </cell>
        </row>
        <row r="283">
          <cell r="A283" t="str">
            <v>2880B</v>
          </cell>
          <cell r="B283" t="str">
            <v>33.5"X14"X 32"U/B/DRAPE</v>
          </cell>
          <cell r="C283" t="str">
            <v>EA</v>
          </cell>
          <cell r="D283">
            <v>14</v>
          </cell>
          <cell r="E283">
            <v>281</v>
          </cell>
        </row>
        <row r="284">
          <cell r="A284" t="str">
            <v>2880C</v>
          </cell>
          <cell r="B284" t="str">
            <v>CYSTRO IRRIGATION SET</v>
          </cell>
          <cell r="C284" t="str">
            <v>EA</v>
          </cell>
          <cell r="D284">
            <v>21</v>
          </cell>
          <cell r="E284">
            <v>101</v>
          </cell>
        </row>
        <row r="285">
          <cell r="A285" t="str">
            <v>2880D</v>
          </cell>
          <cell r="B285" t="str">
            <v>LF SURG P/F/WALLET/G 7.5</v>
          </cell>
          <cell r="C285" t="str">
            <v>PR</v>
          </cell>
          <cell r="D285">
            <v>26</v>
          </cell>
          <cell r="E285">
            <v>135</v>
          </cell>
        </row>
        <row r="286">
          <cell r="A286" t="str">
            <v>2892B</v>
          </cell>
          <cell r="B286" t="str">
            <v>12"MINI BORE EXT SET</v>
          </cell>
          <cell r="C286" t="str">
            <v>EA</v>
          </cell>
          <cell r="D286">
            <v>23</v>
          </cell>
          <cell r="E286">
            <v>6789</v>
          </cell>
        </row>
        <row r="287">
          <cell r="A287" t="str">
            <v>2892C</v>
          </cell>
          <cell r="B287" t="str">
            <v>20" MINI BORE EXT SET</v>
          </cell>
          <cell r="C287" t="str">
            <v>EA</v>
          </cell>
          <cell r="D287">
            <v>24</v>
          </cell>
          <cell r="E287">
            <v>2600</v>
          </cell>
        </row>
        <row r="288">
          <cell r="A288" t="str">
            <v>2893A</v>
          </cell>
          <cell r="B288" t="str">
            <v>4 3/4"X3X1/8" LDPE POUCH</v>
          </cell>
          <cell r="C288" t="str">
            <v>EA</v>
          </cell>
          <cell r="D288">
            <v>26</v>
          </cell>
          <cell r="E288">
            <v>1525</v>
          </cell>
        </row>
        <row r="289">
          <cell r="A289" t="str">
            <v>2900A</v>
          </cell>
          <cell r="B289" t="str">
            <v>TOTAL 830 P1 IMPACT PS</v>
          </cell>
          <cell r="C289" t="str">
            <v>LB</v>
          </cell>
          <cell r="D289">
            <v>145</v>
          </cell>
          <cell r="E289">
            <v>3000</v>
          </cell>
        </row>
        <row r="290">
          <cell r="A290" t="str">
            <v>2901B</v>
          </cell>
          <cell r="B290" t="str">
            <v>Assm Poole Suction Instr</v>
          </cell>
          <cell r="C290" t="str">
            <v>EA</v>
          </cell>
          <cell r="D290">
            <v>50</v>
          </cell>
          <cell r="E290">
            <v>28910</v>
          </cell>
        </row>
        <row r="291">
          <cell r="A291" t="str">
            <v>2906</v>
          </cell>
          <cell r="B291" t="str">
            <v>Unprinted Shipper for 290</v>
          </cell>
          <cell r="C291" t="str">
            <v>EA</v>
          </cell>
          <cell r="D291" t="str">
            <v>MZ2</v>
          </cell>
          <cell r="E291">
            <v>1048</v>
          </cell>
        </row>
        <row r="292">
          <cell r="A292" t="str">
            <v>2912</v>
          </cell>
          <cell r="B292" t="str">
            <v>Unprinted Shipper ctn</v>
          </cell>
          <cell r="C292" t="str">
            <v>EA</v>
          </cell>
          <cell r="D292" t="str">
            <v>MZ6</v>
          </cell>
          <cell r="E292">
            <v>309</v>
          </cell>
        </row>
        <row r="293">
          <cell r="A293" t="str">
            <v>2916A</v>
          </cell>
          <cell r="B293" t="str">
            <v>30X24"CLEARDRAPE W/STRIP</v>
          </cell>
          <cell r="C293" t="str">
            <v>EA</v>
          </cell>
          <cell r="D293">
            <v>61</v>
          </cell>
          <cell r="E293">
            <v>2047</v>
          </cell>
        </row>
        <row r="294">
          <cell r="A294" t="str">
            <v>2920S</v>
          </cell>
          <cell r="B294" t="str">
            <v>CTN FOR POOLES</v>
          </cell>
          <cell r="C294" t="str">
            <v>EA</v>
          </cell>
          <cell r="D294" t="str">
            <v>MZ5</v>
          </cell>
          <cell r="E294">
            <v>1297</v>
          </cell>
        </row>
        <row r="295">
          <cell r="A295" t="str">
            <v>2923A</v>
          </cell>
          <cell r="B295" t="str">
            <v>4IN IRIS UNSER FCEPEPS</v>
          </cell>
          <cell r="C295" t="str">
            <v>EA</v>
          </cell>
        </row>
        <row r="296">
          <cell r="A296" t="str">
            <v>2960K1</v>
          </cell>
          <cell r="B296" t="str">
            <v>KR01 RESIN</v>
          </cell>
          <cell r="C296" t="str">
            <v>LB</v>
          </cell>
          <cell r="D296">
            <v>145</v>
          </cell>
          <cell r="E296">
            <v>6400</v>
          </cell>
        </row>
        <row r="297">
          <cell r="A297" t="str">
            <v>2960K3</v>
          </cell>
          <cell r="B297" t="str">
            <v>KR03- RESIN</v>
          </cell>
          <cell r="C297" t="str">
            <v>LB</v>
          </cell>
          <cell r="D297">
            <v>145</v>
          </cell>
          <cell r="E297">
            <v>4800</v>
          </cell>
        </row>
        <row r="298">
          <cell r="A298" t="str">
            <v>2960KB</v>
          </cell>
          <cell r="B298" t="str">
            <v>BENT YANK W/O V/OP/T/BL.</v>
          </cell>
          <cell r="C298" t="str">
            <v>EA</v>
          </cell>
          <cell r="D298">
            <v>52</v>
          </cell>
          <cell r="E298">
            <v>73306</v>
          </cell>
        </row>
        <row r="299">
          <cell r="A299" t="str">
            <v>2960KC</v>
          </cell>
          <cell r="B299" t="str">
            <v>BLUE COLOR CONCENTRATE</v>
          </cell>
          <cell r="C299" t="str">
            <v>LB</v>
          </cell>
          <cell r="D299">
            <v>145</v>
          </cell>
          <cell r="E299">
            <v>1000</v>
          </cell>
        </row>
        <row r="300">
          <cell r="A300" t="str">
            <v>2962</v>
          </cell>
          <cell r="B300" t="str">
            <v>8MIL PLYLENE,322MM WIDE</v>
          </cell>
          <cell r="C300" t="str">
            <v>LB</v>
          </cell>
          <cell r="D300">
            <v>35</v>
          </cell>
          <cell r="E300">
            <v>1736</v>
          </cell>
        </row>
        <row r="301">
          <cell r="A301" t="str">
            <v>2963A</v>
          </cell>
          <cell r="B301" t="str">
            <v>25X13X38X.00125 LLDPE BAG</v>
          </cell>
          <cell r="C301" t="str">
            <v>EA</v>
          </cell>
          <cell r="D301">
            <v>63</v>
          </cell>
          <cell r="E301">
            <v>13592</v>
          </cell>
        </row>
        <row r="302">
          <cell r="A302" t="str">
            <v>2963Y</v>
          </cell>
          <cell r="B302" t="str">
            <v>POLY BAG 28X18X39 F/YANK</v>
          </cell>
          <cell r="C302" t="str">
            <v>EA</v>
          </cell>
          <cell r="D302">
            <v>61</v>
          </cell>
          <cell r="E302">
            <v>8400</v>
          </cell>
        </row>
        <row r="303">
          <cell r="A303" t="str">
            <v>2970K</v>
          </cell>
          <cell r="B303" t="str">
            <v>MOLD BLENDED W/V YANK O/P</v>
          </cell>
          <cell r="C303" t="str">
            <v>EA</v>
          </cell>
        </row>
        <row r="304">
          <cell r="A304" t="str">
            <v>2970KB</v>
          </cell>
          <cell r="B304" t="str">
            <v>BENT W/V OPEN TIP YANK BL</v>
          </cell>
          <cell r="C304" t="str">
            <v>EA</v>
          </cell>
          <cell r="D304">
            <v>52</v>
          </cell>
          <cell r="E304">
            <v>9405</v>
          </cell>
        </row>
        <row r="305">
          <cell r="A305" t="str">
            <v>2980KB</v>
          </cell>
          <cell r="B305" t="str">
            <v>BENT W/O/V YANK B/TIP BL</v>
          </cell>
          <cell r="C305" t="str">
            <v>EA</v>
          </cell>
          <cell r="D305">
            <v>51</v>
          </cell>
          <cell r="E305">
            <v>96833</v>
          </cell>
        </row>
        <row r="306">
          <cell r="A306" t="str">
            <v>2980S</v>
          </cell>
          <cell r="B306" t="str">
            <v>SHIPPER CTN</v>
          </cell>
          <cell r="C306" t="str">
            <v>EA</v>
          </cell>
          <cell r="D306" t="str">
            <v>MZ2</v>
          </cell>
          <cell r="E306">
            <v>2819</v>
          </cell>
        </row>
        <row r="307">
          <cell r="A307" t="str">
            <v>2981T</v>
          </cell>
          <cell r="B307" t="str">
            <v>1/2" TEFLON TAPE</v>
          </cell>
          <cell r="C307" t="str">
            <v>LY</v>
          </cell>
          <cell r="D307">
            <v>5</v>
          </cell>
          <cell r="E307">
            <v>485</v>
          </cell>
        </row>
        <row r="308">
          <cell r="A308" t="str">
            <v>2986S</v>
          </cell>
          <cell r="B308" t="str">
            <v>CTN FOR OPEN TIP YANKUERS</v>
          </cell>
          <cell r="C308" t="str">
            <v>EA</v>
          </cell>
          <cell r="D308" t="str">
            <v>MZ6</v>
          </cell>
          <cell r="E308">
            <v>483</v>
          </cell>
        </row>
        <row r="309">
          <cell r="A309" t="str">
            <v>2990KB</v>
          </cell>
          <cell r="B309" t="str">
            <v>BENT W/V YANK BULB TIP BL</v>
          </cell>
          <cell r="C309" t="str">
            <v>EA</v>
          </cell>
          <cell r="D309">
            <v>52</v>
          </cell>
          <cell r="E309">
            <v>9298</v>
          </cell>
        </row>
        <row r="310">
          <cell r="A310" t="str">
            <v>3/1000</v>
          </cell>
          <cell r="B310" t="str">
            <v>INK - PMS 287 BLUE</v>
          </cell>
          <cell r="C310" t="str">
            <v>GA</v>
          </cell>
        </row>
        <row r="311">
          <cell r="A311" t="str">
            <v>3/1001</v>
          </cell>
          <cell r="B311" t="str">
            <v>INK-PROC BLK 15000</v>
          </cell>
          <cell r="C311" t="str">
            <v>GA</v>
          </cell>
        </row>
        <row r="312">
          <cell r="A312" t="str">
            <v>3/1002</v>
          </cell>
          <cell r="B312" t="str">
            <v>INK - PMS 280 BLUE</v>
          </cell>
          <cell r="C312" t="str">
            <v>GA</v>
          </cell>
        </row>
        <row r="313">
          <cell r="A313" t="str">
            <v>3/1003</v>
          </cell>
          <cell r="B313" t="str">
            <v>INK- PMS 301 BLUE</v>
          </cell>
          <cell r="C313" t="str">
            <v>GA</v>
          </cell>
        </row>
        <row r="314">
          <cell r="A314" t="str">
            <v>3/1004</v>
          </cell>
          <cell r="B314" t="str">
            <v>INK - PMS 3425 GREEN</v>
          </cell>
          <cell r="C314" t="str">
            <v>GA</v>
          </cell>
        </row>
        <row r="315">
          <cell r="A315" t="str">
            <v>3/1005</v>
          </cell>
          <cell r="B315" t="str">
            <v>INK - PMS221MAROON</v>
          </cell>
          <cell r="C315" t="str">
            <v>GA</v>
          </cell>
        </row>
        <row r="316">
          <cell r="A316" t="str">
            <v>3/1006</v>
          </cell>
          <cell r="B316" t="str">
            <v>PLT272 #65 BLACK INK</v>
          </cell>
          <cell r="C316" t="str">
            <v>GA</v>
          </cell>
        </row>
        <row r="317">
          <cell r="A317" t="str">
            <v>3/1007</v>
          </cell>
          <cell r="B317" t="str">
            <v>PLTD RETARDER FOR 3/1006</v>
          </cell>
          <cell r="C317" t="str">
            <v>GA</v>
          </cell>
        </row>
        <row r="318">
          <cell r="A318" t="str">
            <v>3/1008</v>
          </cell>
          <cell r="B318" t="str">
            <v>PLTAL THINNER FOR 3/1006</v>
          </cell>
          <cell r="C318" t="str">
            <v>GA</v>
          </cell>
        </row>
        <row r="319">
          <cell r="A319" t="str">
            <v>3/1009</v>
          </cell>
          <cell r="B319" t="str">
            <v>GREEN DETERGENT-PALMOLIVE</v>
          </cell>
          <cell r="C319" t="str">
            <v>EA</v>
          </cell>
        </row>
        <row r="320">
          <cell r="A320" t="str">
            <v>3/1010</v>
          </cell>
          <cell r="B320" t="str">
            <v>PMS 2945 BLUE INK</v>
          </cell>
          <cell r="C320" t="str">
            <v>GA</v>
          </cell>
        </row>
        <row r="321">
          <cell r="A321" t="str">
            <v>3/1011</v>
          </cell>
          <cell r="B321" t="str">
            <v>PMS 3015 BLUE INK</v>
          </cell>
          <cell r="C321" t="str">
            <v>GA</v>
          </cell>
        </row>
        <row r="322">
          <cell r="A322" t="str">
            <v>3/1013</v>
          </cell>
          <cell r="B322" t="str">
            <v>BLACK INK</v>
          </cell>
          <cell r="C322" t="str">
            <v>GA</v>
          </cell>
        </row>
        <row r="323">
          <cell r="A323" t="str">
            <v>3/2000</v>
          </cell>
          <cell r="B323" t="str">
            <v>CLEANER</v>
          </cell>
          <cell r="C323" t="str">
            <v>LB</v>
          </cell>
        </row>
        <row r="324">
          <cell r="A324" t="str">
            <v>3/3000</v>
          </cell>
          <cell r="B324" t="str">
            <v>ISOPROPYL ALCOHOL</v>
          </cell>
          <cell r="C324" t="str">
            <v>LB</v>
          </cell>
        </row>
        <row r="325">
          <cell r="A325" t="str">
            <v>3/4060</v>
          </cell>
          <cell r="B325" t="str">
            <v>WHITE FOIL 2"</v>
          </cell>
          <cell r="C325" t="str">
            <v>SI</v>
          </cell>
          <cell r="D325" t="str">
            <v>AP1</v>
          </cell>
          <cell r="E325">
            <v>2112000</v>
          </cell>
        </row>
        <row r="326">
          <cell r="A326" t="str">
            <v>3/4070</v>
          </cell>
          <cell r="B326" t="str">
            <v>WHITE FOIL 3 7/16" WIDE</v>
          </cell>
          <cell r="C326" t="str">
            <v>SI</v>
          </cell>
          <cell r="D326" t="str">
            <v>AP1</v>
          </cell>
          <cell r="E326">
            <v>2268750</v>
          </cell>
        </row>
        <row r="327">
          <cell r="A327" t="str">
            <v>3/5000</v>
          </cell>
          <cell r="B327" t="str">
            <v>FOOD GRADE SILICONE</v>
          </cell>
          <cell r="C327" t="str">
            <v>LB</v>
          </cell>
        </row>
        <row r="328">
          <cell r="A328" t="str">
            <v>3/9324</v>
          </cell>
          <cell r="B328" t="str">
            <v>BLUE FOIL 3 7/16" WIDE</v>
          </cell>
          <cell r="C328" t="str">
            <v>SI</v>
          </cell>
          <cell r="D328" t="str">
            <v>AP1</v>
          </cell>
          <cell r="E328">
            <v>576080</v>
          </cell>
        </row>
        <row r="329">
          <cell r="A329" t="str">
            <v>3/9355</v>
          </cell>
          <cell r="B329" t="str">
            <v>BLUE FOIL 2" WIDE</v>
          </cell>
          <cell r="C329" t="str">
            <v>SI</v>
          </cell>
          <cell r="D329" t="str">
            <v>AP1</v>
          </cell>
          <cell r="E329">
            <v>633600</v>
          </cell>
        </row>
        <row r="330">
          <cell r="A330" t="str">
            <v>3003-1</v>
          </cell>
          <cell r="B330" t="str">
            <v>STYROFOAM TRAY</v>
          </cell>
          <cell r="C330" t="str">
            <v>EA</v>
          </cell>
          <cell r="D330">
            <v>8</v>
          </cell>
          <cell r="E330">
            <v>8561</v>
          </cell>
        </row>
        <row r="331">
          <cell r="A331" t="str">
            <v>3005A</v>
          </cell>
          <cell r="B331" t="str">
            <v>1"x4" Transpore Strip</v>
          </cell>
          <cell r="C331" t="str">
            <v>EA</v>
          </cell>
          <cell r="D331">
            <v>19</v>
          </cell>
          <cell r="E331">
            <v>35182</v>
          </cell>
        </row>
        <row r="332">
          <cell r="A332" t="str">
            <v>3016</v>
          </cell>
          <cell r="B332" t="str">
            <v>#1538 1"x18"Durapore Tape</v>
          </cell>
          <cell r="C332" t="str">
            <v>EA</v>
          </cell>
          <cell r="D332">
            <v>29</v>
          </cell>
          <cell r="E332">
            <v>4668</v>
          </cell>
        </row>
        <row r="333">
          <cell r="A333" t="str">
            <v>3064A</v>
          </cell>
          <cell r="B333" t="str">
            <v>BUSSE (TRAY#12 S/6.75X8X2</v>
          </cell>
          <cell r="C333" t="str">
            <v>EA</v>
          </cell>
          <cell r="D333">
            <v>74</v>
          </cell>
          <cell r="E333">
            <v>2329</v>
          </cell>
        </row>
        <row r="334">
          <cell r="A334" t="str">
            <v>3069A</v>
          </cell>
          <cell r="B334" t="str">
            <v>5.5X58" FLEX PROBE/COVER</v>
          </cell>
          <cell r="C334" t="str">
            <v>EA</v>
          </cell>
        </row>
        <row r="335">
          <cell r="A335" t="str">
            <v>3073A-1</v>
          </cell>
          <cell r="B335" t="str">
            <v>60"X76" THREE Q/DRAPE/SH</v>
          </cell>
          <cell r="C335" t="str">
            <v>EA</v>
          </cell>
          <cell r="D335">
            <v>31</v>
          </cell>
          <cell r="E335">
            <v>42</v>
          </cell>
        </row>
        <row r="336">
          <cell r="A336" t="str">
            <v>3073B</v>
          </cell>
          <cell r="B336" t="str">
            <v>SAFETY SCALPEL W/11 BLADE</v>
          </cell>
          <cell r="C336" t="str">
            <v>EA</v>
          </cell>
          <cell r="D336">
            <v>23</v>
          </cell>
          <cell r="E336">
            <v>2060</v>
          </cell>
        </row>
        <row r="337">
          <cell r="A337" t="str">
            <v>3079A</v>
          </cell>
          <cell r="B337" t="str">
            <v>22GX31/2"TUOHY N/W/F/WG</v>
          </cell>
          <cell r="C337" t="str">
            <v>EA</v>
          </cell>
          <cell r="D337" t="str">
            <v>N4</v>
          </cell>
          <cell r="E337">
            <v>368</v>
          </cell>
        </row>
        <row r="338">
          <cell r="A338" t="str">
            <v>3094B</v>
          </cell>
          <cell r="B338" t="str">
            <v>BUPIVAC LBL 1.75'X0.5</v>
          </cell>
          <cell r="C338" t="str">
            <v>EA</v>
          </cell>
        </row>
        <row r="339">
          <cell r="A339" t="str">
            <v>3104A</v>
          </cell>
          <cell r="B339" t="str">
            <v>LATEX P/F WAL/SURG GLV7.5</v>
          </cell>
          <cell r="C339" t="str">
            <v>PR</v>
          </cell>
          <cell r="D339">
            <v>15</v>
          </cell>
          <cell r="E339">
            <v>194</v>
          </cell>
        </row>
        <row r="340">
          <cell r="A340" t="str">
            <v>3104A-1</v>
          </cell>
          <cell r="B340" t="str">
            <v>P/F Walleted S/Gloves 7.5</v>
          </cell>
          <cell r="C340" t="str">
            <v>PR</v>
          </cell>
          <cell r="D340">
            <v>14</v>
          </cell>
          <cell r="E340">
            <v>552</v>
          </cell>
        </row>
        <row r="341">
          <cell r="A341" t="str">
            <v>3122C</v>
          </cell>
          <cell r="B341" t="str">
            <v>LIGHT HANDLE COVER,BULK</v>
          </cell>
          <cell r="C341" t="str">
            <v>EA</v>
          </cell>
          <cell r="D341">
            <v>24</v>
          </cell>
          <cell r="E341">
            <v>1831</v>
          </cell>
        </row>
        <row r="342">
          <cell r="A342" t="str">
            <v>3124B</v>
          </cell>
          <cell r="B342" t="str">
            <v>1/2"x4" Transpore Strips</v>
          </cell>
          <cell r="C342" t="str">
            <v>EA</v>
          </cell>
          <cell r="D342">
            <v>31</v>
          </cell>
          <cell r="E342">
            <v>26451</v>
          </cell>
        </row>
        <row r="343">
          <cell r="A343" t="str">
            <v>3138A</v>
          </cell>
          <cell r="B343" t="str">
            <v>10X17 TOWER TEAR BAG</v>
          </cell>
          <cell r="C343" t="str">
            <v>EA</v>
          </cell>
          <cell r="D343">
            <v>20</v>
          </cell>
          <cell r="E343">
            <v>88622</v>
          </cell>
        </row>
        <row r="344">
          <cell r="A344" t="str">
            <v>3138A-1</v>
          </cell>
          <cell r="B344" t="str">
            <v>10X17 X4 MIL HEADER BAG</v>
          </cell>
          <cell r="C344" t="str">
            <v>EA</v>
          </cell>
          <cell r="D344" t="str">
            <v>LIS</v>
          </cell>
          <cell r="E344">
            <v>83587</v>
          </cell>
        </row>
        <row r="345">
          <cell r="A345" t="str">
            <v>3138A-1</v>
          </cell>
          <cell r="B345" t="str">
            <v>10X17 X4 MIL HEADER BAG</v>
          </cell>
          <cell r="C345" t="str">
            <v>EA</v>
          </cell>
          <cell r="D345">
            <v>32</v>
          </cell>
          <cell r="E345">
            <v>49864</v>
          </cell>
        </row>
        <row r="346">
          <cell r="A346" t="str">
            <v>3141B</v>
          </cell>
          <cell r="B346" t="str">
            <v>20 COUNT NEEDLE COUNTER</v>
          </cell>
          <cell r="C346" t="str">
            <v>EA</v>
          </cell>
          <cell r="D346">
            <v>25</v>
          </cell>
          <cell r="E346">
            <v>18</v>
          </cell>
        </row>
        <row r="347">
          <cell r="A347" t="str">
            <v>3141J-1</v>
          </cell>
          <cell r="B347" t="str">
            <v>20.75 X 26.75 4MIL HDR BG</v>
          </cell>
          <cell r="C347" t="str">
            <v>EA</v>
          </cell>
          <cell r="D347">
            <v>22</v>
          </cell>
          <cell r="E347">
            <v>184</v>
          </cell>
        </row>
        <row r="348">
          <cell r="A348" t="str">
            <v>3157A</v>
          </cell>
          <cell r="B348" t="str">
            <v>18GX11/2"SAFETY GLIDE NDL</v>
          </cell>
          <cell r="C348" t="str">
            <v>EA</v>
          </cell>
          <cell r="D348" t="str">
            <v>N2</v>
          </cell>
          <cell r="E348">
            <v>314</v>
          </cell>
        </row>
        <row r="349">
          <cell r="A349" t="str">
            <v>3157B</v>
          </cell>
          <cell r="B349" t="str">
            <v>25GX1" SAFETY GLIDE NDLE</v>
          </cell>
          <cell r="C349" t="str">
            <v>EA</v>
          </cell>
          <cell r="D349" t="str">
            <v>N3</v>
          </cell>
          <cell r="E349">
            <v>580</v>
          </cell>
        </row>
        <row r="350">
          <cell r="A350" t="str">
            <v>3173</v>
          </cell>
          <cell r="B350" t="str">
            <v>12 1/2"x18" Polybag</v>
          </cell>
          <cell r="C350" t="str">
            <v>EA</v>
          </cell>
          <cell r="D350">
            <v>60</v>
          </cell>
          <cell r="E350">
            <v>4000</v>
          </cell>
        </row>
        <row r="351">
          <cell r="A351" t="str">
            <v>3201</v>
          </cell>
          <cell r="B351" t="str">
            <v>8MIL PLYLENE,364MM</v>
          </cell>
          <cell r="C351" t="str">
            <v>LB</v>
          </cell>
          <cell r="D351">
            <v>35</v>
          </cell>
          <cell r="E351">
            <v>1420</v>
          </cell>
        </row>
        <row r="352">
          <cell r="A352" t="str">
            <v>3205-2</v>
          </cell>
          <cell r="B352" t="str">
            <v>UNPRINTED CTN FOR 3220</v>
          </cell>
          <cell r="C352" t="str">
            <v>EA</v>
          </cell>
          <cell r="D352" t="str">
            <v>MZ1</v>
          </cell>
          <cell r="E352">
            <v>455</v>
          </cell>
        </row>
        <row r="353">
          <cell r="A353" t="str">
            <v>3208-2</v>
          </cell>
          <cell r="B353" t="str">
            <v>4"X4"12PLYGAUZE/PROCESS10</v>
          </cell>
          <cell r="C353" t="str">
            <v>EA</v>
          </cell>
          <cell r="D353">
            <v>25</v>
          </cell>
          <cell r="E353">
            <v>189148</v>
          </cell>
        </row>
        <row r="354">
          <cell r="A354" t="str">
            <v>3232-2</v>
          </cell>
          <cell r="B354" t="str">
            <v>UNPRINTED DISP FOR 3220</v>
          </cell>
          <cell r="C354" t="str">
            <v>EA</v>
          </cell>
          <cell r="D354" t="str">
            <v>MZ1</v>
          </cell>
          <cell r="E354">
            <v>2833</v>
          </cell>
        </row>
        <row r="355">
          <cell r="A355" t="str">
            <v>3253A</v>
          </cell>
          <cell r="B355" t="str">
            <v>STERILE 16 G X 1" NEEDLE</v>
          </cell>
          <cell r="C355" t="str">
            <v>EA</v>
          </cell>
        </row>
        <row r="356">
          <cell r="A356" t="str">
            <v>3273S</v>
          </cell>
          <cell r="B356" t="str">
            <v>UNPRINTED CTN.</v>
          </cell>
          <cell r="C356" t="str">
            <v>EA</v>
          </cell>
          <cell r="D356" t="str">
            <v>MZ2</v>
          </cell>
          <cell r="E356">
            <v>457</v>
          </cell>
        </row>
        <row r="357">
          <cell r="A357" t="str">
            <v>3281D</v>
          </cell>
          <cell r="B357" t="str">
            <v>3X4 TELFA N/ADH DRESSING</v>
          </cell>
          <cell r="C357" t="str">
            <v>EA</v>
          </cell>
          <cell r="D357">
            <v>14</v>
          </cell>
          <cell r="E357">
            <v>503</v>
          </cell>
        </row>
        <row r="358">
          <cell r="A358" t="str">
            <v>3283</v>
          </cell>
          <cell r="B358" t="str">
            <v>21" BLUE SPUNBOND/CAP 1EA</v>
          </cell>
          <cell r="C358" t="str">
            <v>EA</v>
          </cell>
          <cell r="D358">
            <v>30</v>
          </cell>
          <cell r="E358">
            <v>474</v>
          </cell>
        </row>
        <row r="359">
          <cell r="A359" t="str">
            <v>3285A</v>
          </cell>
          <cell r="B359" t="str">
            <v>22GX2" N-CORING/H/NEEDLE</v>
          </cell>
          <cell r="C359" t="str">
            <v>EA</v>
          </cell>
          <cell r="D359" t="str">
            <v>N9</v>
          </cell>
          <cell r="E359">
            <v>2369</v>
          </cell>
        </row>
        <row r="360">
          <cell r="A360" t="str">
            <v>3285C</v>
          </cell>
          <cell r="B360" t="str">
            <v>13"SM BORE EXT.SET/W/M&amp;F</v>
          </cell>
          <cell r="C360" t="str">
            <v>EA</v>
          </cell>
          <cell r="D360">
            <v>18</v>
          </cell>
          <cell r="E360">
            <v>5404</v>
          </cell>
        </row>
        <row r="361">
          <cell r="A361" t="str">
            <v>3292A</v>
          </cell>
          <cell r="B361" t="str">
            <v>51/2"MAYO STR.SCISSOR</v>
          </cell>
          <cell r="C361" t="str">
            <v>EA</v>
          </cell>
          <cell r="D361">
            <v>28</v>
          </cell>
          <cell r="E361">
            <v>101</v>
          </cell>
        </row>
        <row r="362">
          <cell r="A362" t="str">
            <v>3292B</v>
          </cell>
          <cell r="B362" t="str">
            <v>6" MAYO HEDGAR N/HOLDER</v>
          </cell>
          <cell r="C362" t="str">
            <v>EA</v>
          </cell>
          <cell r="D362">
            <v>38</v>
          </cell>
          <cell r="E362">
            <v>152</v>
          </cell>
        </row>
        <row r="363">
          <cell r="A363" t="str">
            <v>3292D-1</v>
          </cell>
          <cell r="B363" t="str">
            <v>SURGIKIT W/ PAPER BAND</v>
          </cell>
          <cell r="C363" t="str">
            <v>EA</v>
          </cell>
          <cell r="D363">
            <v>14</v>
          </cell>
          <cell r="E363">
            <v>43</v>
          </cell>
        </row>
        <row r="364">
          <cell r="A364" t="str">
            <v>3292G-1</v>
          </cell>
          <cell r="B364" t="str">
            <v>STER 26ML DURAPREP-1XSTER</v>
          </cell>
          <cell r="C364" t="str">
            <v>EA</v>
          </cell>
          <cell r="D364">
            <v>15</v>
          </cell>
          <cell r="E364">
            <v>29</v>
          </cell>
        </row>
        <row r="365">
          <cell r="A365" t="str">
            <v>3292H</v>
          </cell>
          <cell r="B365" t="str">
            <v>INSTRUCTION SHEET F/DURAP</v>
          </cell>
          <cell r="C365" t="str">
            <v>EA</v>
          </cell>
          <cell r="D365">
            <v>6</v>
          </cell>
          <cell r="E365">
            <v>334</v>
          </cell>
        </row>
        <row r="366">
          <cell r="A366" t="str">
            <v>3292I</v>
          </cell>
          <cell r="B366" t="str">
            <v>48 OZ LID (ONLY)</v>
          </cell>
          <cell r="C366" t="str">
            <v>EA</v>
          </cell>
          <cell r="D366">
            <v>29</v>
          </cell>
          <cell r="E366">
            <v>135</v>
          </cell>
        </row>
        <row r="367">
          <cell r="A367" t="str">
            <v>3292J</v>
          </cell>
          <cell r="B367" t="str">
            <v>10CC L/LOCK RED SYRINGE</v>
          </cell>
          <cell r="C367" t="str">
            <v>EA</v>
          </cell>
          <cell r="D367">
            <v>31</v>
          </cell>
          <cell r="E367">
            <v>90</v>
          </cell>
        </row>
        <row r="368">
          <cell r="A368" t="str">
            <v>3292K</v>
          </cell>
          <cell r="B368" t="str">
            <v>4 1/2 PLASTIC TWL CLAMP</v>
          </cell>
          <cell r="C368" t="str">
            <v>EA</v>
          </cell>
          <cell r="D368">
            <v>26</v>
          </cell>
          <cell r="E368">
            <v>192</v>
          </cell>
        </row>
        <row r="369">
          <cell r="A369" t="str">
            <v>3292L</v>
          </cell>
          <cell r="B369" t="str">
            <v>14.66X.16.29x1.04 L/B/Ty</v>
          </cell>
          <cell r="C369" t="str">
            <v>EA</v>
          </cell>
          <cell r="D369">
            <v>31</v>
          </cell>
          <cell r="E369">
            <v>46</v>
          </cell>
        </row>
        <row r="370">
          <cell r="A370" t="str">
            <v>3292M</v>
          </cell>
          <cell r="B370" t="str">
            <v>48 OZ (1500CC) BOWL</v>
          </cell>
          <cell r="C370" t="str">
            <v>EA</v>
          </cell>
          <cell r="D370">
            <v>18</v>
          </cell>
          <cell r="E370">
            <v>162</v>
          </cell>
        </row>
        <row r="371">
          <cell r="A371" t="str">
            <v>3292N</v>
          </cell>
          <cell r="B371" t="str">
            <v>27"X 48" BAND BAG W/TAPE</v>
          </cell>
          <cell r="C371" t="str">
            <v>EA</v>
          </cell>
          <cell r="D371">
            <v>18</v>
          </cell>
          <cell r="E371">
            <v>199</v>
          </cell>
        </row>
        <row r="372">
          <cell r="A372" t="str">
            <v>3292N</v>
          </cell>
          <cell r="B372" t="str">
            <v>27"X 48" BAND BAG W/TAPE</v>
          </cell>
          <cell r="C372" t="str">
            <v>EA</v>
          </cell>
          <cell r="D372">
            <v>33</v>
          </cell>
          <cell r="E372">
            <v>64</v>
          </cell>
        </row>
        <row r="373">
          <cell r="A373" t="str">
            <v>3292S</v>
          </cell>
          <cell r="B373" t="str">
            <v>SHIPPER CTN(ECT48/275DW</v>
          </cell>
          <cell r="C373" t="str">
            <v>EA</v>
          </cell>
          <cell r="D373" t="str">
            <v>MZ1</v>
          </cell>
          <cell r="E373">
            <v>258</v>
          </cell>
        </row>
        <row r="374">
          <cell r="A374" t="str">
            <v>3298D</v>
          </cell>
          <cell r="B374" t="str">
            <v>#15 BLADE-STAINLESS STEEL</v>
          </cell>
          <cell r="C374" t="str">
            <v>EA</v>
          </cell>
          <cell r="D374">
            <v>19</v>
          </cell>
          <cell r="E374">
            <v>90</v>
          </cell>
        </row>
        <row r="375">
          <cell r="A375" t="str">
            <v>3311</v>
          </cell>
          <cell r="B375" t="str">
            <v>24"Blue Spunb/Cap/1ea</v>
          </cell>
          <cell r="C375" t="str">
            <v>EA</v>
          </cell>
          <cell r="D375">
            <v>14</v>
          </cell>
          <cell r="E375">
            <v>260</v>
          </cell>
        </row>
        <row r="376">
          <cell r="A376" t="str">
            <v>3325A</v>
          </cell>
          <cell r="B376" t="str">
            <v>36X36" BAND BAG</v>
          </cell>
          <cell r="C376" t="str">
            <v>EA</v>
          </cell>
          <cell r="D376">
            <v>20</v>
          </cell>
          <cell r="E376">
            <v>800</v>
          </cell>
        </row>
        <row r="377">
          <cell r="A377" t="str">
            <v>3325B</v>
          </cell>
          <cell r="B377" t="str">
            <v>7"X1/8"CYAN B/A/RUBBER/B</v>
          </cell>
          <cell r="C377" t="str">
            <v>EA</v>
          </cell>
          <cell r="D377">
            <v>23</v>
          </cell>
          <cell r="E377">
            <v>202</v>
          </cell>
        </row>
        <row r="378">
          <cell r="A378" t="str">
            <v>3330A</v>
          </cell>
          <cell r="B378" t="str">
            <v>24" WHITE HAIR NET</v>
          </cell>
          <cell r="C378" t="str">
            <v>EA</v>
          </cell>
          <cell r="D378">
            <v>37</v>
          </cell>
          <cell r="E378">
            <v>5000</v>
          </cell>
        </row>
        <row r="379">
          <cell r="A379" t="str">
            <v>3351A</v>
          </cell>
          <cell r="B379" t="str">
            <v>1pc.SURGEONS CAP</v>
          </cell>
          <cell r="C379" t="str">
            <v>EA</v>
          </cell>
          <cell r="D379">
            <v>30</v>
          </cell>
          <cell r="E379">
            <v>248</v>
          </cell>
        </row>
        <row r="380">
          <cell r="A380" t="str">
            <v>3377-1</v>
          </cell>
          <cell r="B380" t="str">
            <v>WHITE SPUNBOND POLYPRO</v>
          </cell>
          <cell r="C380" t="str">
            <v>SY</v>
          </cell>
          <cell r="D380" t="str">
            <v>J</v>
          </cell>
          <cell r="E380">
            <v>7290</v>
          </cell>
        </row>
        <row r="381">
          <cell r="A381" t="str">
            <v>3377A</v>
          </cell>
          <cell r="B381" t="str">
            <v>Chin Strap/ Spunbonded PP</v>
          </cell>
          <cell r="C381" t="str">
            <v>EA</v>
          </cell>
          <cell r="D381">
            <v>60</v>
          </cell>
          <cell r="E381">
            <v>17000</v>
          </cell>
        </row>
        <row r="382">
          <cell r="A382" t="str">
            <v>3417A</v>
          </cell>
          <cell r="B382" t="str">
            <v>30ML 0.25% BUPIVACAINE /V</v>
          </cell>
          <cell r="C382" t="str">
            <v>EA</v>
          </cell>
        </row>
        <row r="383">
          <cell r="A383" t="str">
            <v>3417C</v>
          </cell>
          <cell r="B383" t="str">
            <v>20ML 1.5%LIDOCAINE AMPUL</v>
          </cell>
          <cell r="C383" t="str">
            <v>EA</v>
          </cell>
        </row>
        <row r="384">
          <cell r="A384" t="str">
            <v>3417F</v>
          </cell>
          <cell r="B384" t="str">
            <v>2/3ML LIDUID ADHESIVE</v>
          </cell>
          <cell r="C384" t="str">
            <v>EA</v>
          </cell>
        </row>
        <row r="385">
          <cell r="A385" t="str">
            <v>3431A</v>
          </cell>
          <cell r="B385" t="str">
            <v>VENTED F/L/L/SYRINGE CAP</v>
          </cell>
          <cell r="C385" t="str">
            <v>EA</v>
          </cell>
          <cell r="D385">
            <v>25</v>
          </cell>
          <cell r="E385">
            <v>5350</v>
          </cell>
        </row>
        <row r="386">
          <cell r="A386" t="str">
            <v>3454B</v>
          </cell>
          <cell r="B386" t="str">
            <v>BLOOD TRANSFER DEVICE W/L</v>
          </cell>
          <cell r="C386" t="str">
            <v>EA</v>
          </cell>
        </row>
        <row r="387">
          <cell r="A387" t="str">
            <v>3454H</v>
          </cell>
          <cell r="B387" t="str">
            <v>10ML SOD/CHLOR/PRE-FILLED</v>
          </cell>
          <cell r="C387" t="str">
            <v>EA</v>
          </cell>
        </row>
        <row r="388">
          <cell r="A388" t="str">
            <v>3454K</v>
          </cell>
          <cell r="B388" t="str">
            <v>10ML Heparin Pre -F/F/Syr</v>
          </cell>
          <cell r="C388" t="str">
            <v>EA</v>
          </cell>
        </row>
        <row r="389">
          <cell r="A389" t="str">
            <v>3461</v>
          </cell>
          <cell r="B389" t="str">
            <v>Non-Skid Shoe Covers</v>
          </cell>
          <cell r="C389" t="str">
            <v>EA</v>
          </cell>
          <cell r="D389">
            <v>18</v>
          </cell>
          <cell r="E389">
            <v>356</v>
          </cell>
        </row>
        <row r="390">
          <cell r="A390" t="str">
            <v>3485C</v>
          </cell>
          <cell r="B390" t="str">
            <v>2X4"PERIPHEAL C/LABEL</v>
          </cell>
          <cell r="C390" t="str">
            <v>EA</v>
          </cell>
          <cell r="D390">
            <v>28</v>
          </cell>
          <cell r="E390">
            <v>9974</v>
          </cell>
        </row>
        <row r="391">
          <cell r="A391" t="str">
            <v>3586A-1</v>
          </cell>
          <cell r="B391" t="str">
            <v>BACK TABLE COVER 44" X44"</v>
          </cell>
          <cell r="C391" t="str">
            <v>EA</v>
          </cell>
          <cell r="D391">
            <v>21</v>
          </cell>
          <cell r="E391">
            <v>662</v>
          </cell>
        </row>
        <row r="392">
          <cell r="A392" t="str">
            <v>3586B</v>
          </cell>
          <cell r="B392" t="str">
            <v>76"X124" MINOR P/F/DRAPE</v>
          </cell>
          <cell r="C392" t="str">
            <v>EA</v>
          </cell>
          <cell r="D392">
            <v>18</v>
          </cell>
          <cell r="E392">
            <v>450</v>
          </cell>
        </row>
        <row r="393">
          <cell r="A393" t="str">
            <v>3586C</v>
          </cell>
          <cell r="B393" t="str">
            <v>26ML CHLORAPREP UNTINTED</v>
          </cell>
          <cell r="C393" t="str">
            <v>EA</v>
          </cell>
          <cell r="D393">
            <v>14</v>
          </cell>
          <cell r="E393">
            <v>48</v>
          </cell>
        </row>
        <row r="394">
          <cell r="A394" t="str">
            <v>3586D</v>
          </cell>
          <cell r="B394" t="str">
            <v>INSERT F/26ML CHLORAPREP</v>
          </cell>
          <cell r="C394" t="str">
            <v>EA</v>
          </cell>
          <cell r="D394">
            <v>6</v>
          </cell>
          <cell r="E394">
            <v>39727</v>
          </cell>
        </row>
        <row r="395">
          <cell r="A395" t="str">
            <v>3586F</v>
          </cell>
          <cell r="B395" t="str">
            <v>TELFA I/DRESSING 2"X3.75"</v>
          </cell>
          <cell r="C395" t="str">
            <v>EA</v>
          </cell>
          <cell r="D395">
            <v>14</v>
          </cell>
          <cell r="E395">
            <v>165</v>
          </cell>
        </row>
        <row r="396">
          <cell r="A396" t="str">
            <v>3597H</v>
          </cell>
          <cell r="B396" t="str">
            <v>10.88X14.81"X1.06Ty</v>
          </cell>
          <cell r="C396" t="str">
            <v>EA</v>
          </cell>
          <cell r="D396">
            <v>21</v>
          </cell>
          <cell r="E396">
            <v>84</v>
          </cell>
        </row>
        <row r="397">
          <cell r="A397" t="str">
            <v>3632A</v>
          </cell>
          <cell r="B397" t="str">
            <v>30CC LUER SLIP SYRINGE</v>
          </cell>
          <cell r="C397" t="str">
            <v>EA</v>
          </cell>
          <cell r="D397">
            <v>26</v>
          </cell>
          <cell r="E397">
            <v>365</v>
          </cell>
        </row>
        <row r="398">
          <cell r="A398" t="str">
            <v>3632B</v>
          </cell>
          <cell r="B398" t="str">
            <v>STERILE 25GX5/8" NEEDLE</v>
          </cell>
          <cell r="C398" t="str">
            <v>EA</v>
          </cell>
          <cell r="D398" t="str">
            <v>N4</v>
          </cell>
          <cell r="E398">
            <v>577</v>
          </cell>
        </row>
        <row r="399">
          <cell r="A399" t="str">
            <v>3632C</v>
          </cell>
          <cell r="B399" t="str">
            <v>STERILE 27GX11/2" NEEDLE</v>
          </cell>
          <cell r="C399" t="str">
            <v>EA</v>
          </cell>
          <cell r="D399" t="str">
            <v>N4</v>
          </cell>
          <cell r="E399">
            <v>1588</v>
          </cell>
        </row>
        <row r="400">
          <cell r="A400" t="str">
            <v>3633A</v>
          </cell>
          <cell r="B400" t="str">
            <v>20G X3 1/2"HUSTEAD NEEDLE</v>
          </cell>
          <cell r="C400" t="str">
            <v>EA</v>
          </cell>
          <cell r="D400" t="str">
            <v>N5</v>
          </cell>
          <cell r="E400">
            <v>547</v>
          </cell>
        </row>
        <row r="401">
          <cell r="A401" t="str">
            <v>3658A</v>
          </cell>
          <cell r="B401" t="str">
            <v>3"X5" F/ORANGE T/O/LABEL</v>
          </cell>
          <cell r="C401" t="str">
            <v>EA</v>
          </cell>
          <cell r="D401">
            <v>5</v>
          </cell>
          <cell r="E401">
            <v>1164</v>
          </cell>
        </row>
        <row r="402">
          <cell r="A402" t="str">
            <v>3669A</v>
          </cell>
          <cell r="B402" t="str">
            <v>8"PROCTO SWAB</v>
          </cell>
          <cell r="C402" t="str">
            <v>EA</v>
          </cell>
        </row>
        <row r="403">
          <cell r="A403" t="str">
            <v>3669B</v>
          </cell>
          <cell r="B403" t="str">
            <v>5"X96" VIDEO C/D/W/P/TIP</v>
          </cell>
          <cell r="C403" t="str">
            <v>EA</v>
          </cell>
          <cell r="D403">
            <v>29</v>
          </cell>
          <cell r="E403">
            <v>85</v>
          </cell>
        </row>
        <row r="404">
          <cell r="A404" t="str">
            <v>3671</v>
          </cell>
          <cell r="B404" t="str">
            <v>5mlLidocaineAmp HSPIRA RX</v>
          </cell>
          <cell r="C404" t="str">
            <v>EA</v>
          </cell>
          <cell r="D404" t="str">
            <v>DRUGS</v>
          </cell>
          <cell r="E404">
            <v>10</v>
          </cell>
        </row>
        <row r="405">
          <cell r="A405" t="str">
            <v>3672B</v>
          </cell>
          <cell r="B405" t="str">
            <v>Foam Holder for Lidocaine</v>
          </cell>
          <cell r="C405" t="str">
            <v>EA</v>
          </cell>
          <cell r="D405">
            <v>31</v>
          </cell>
          <cell r="E405">
            <v>12864</v>
          </cell>
        </row>
        <row r="406">
          <cell r="A406" t="str">
            <v>3702S</v>
          </cell>
          <cell r="B406" t="str">
            <v>Unprtd Ctn/1000pk 370Mask</v>
          </cell>
          <cell r="C406" t="str">
            <v>EA</v>
          </cell>
          <cell r="D406" t="str">
            <v>MZ2</v>
          </cell>
          <cell r="E406">
            <v>980</v>
          </cell>
        </row>
        <row r="407">
          <cell r="A407" t="str">
            <v>3711</v>
          </cell>
          <cell r="B407" t="str">
            <v>Blue Proc Mask/Earloops</v>
          </cell>
          <cell r="C407" t="str">
            <v>EA</v>
          </cell>
        </row>
        <row r="408">
          <cell r="A408" t="str">
            <v>3711B-1</v>
          </cell>
          <cell r="B408" t="str">
            <v>FACE MASK FOLDED</v>
          </cell>
          <cell r="C408" t="str">
            <v>EA</v>
          </cell>
          <cell r="D408" t="str">
            <v>LIS</v>
          </cell>
          <cell r="E408">
            <v>126000</v>
          </cell>
        </row>
        <row r="409">
          <cell r="A409" t="str">
            <v>3711B-1</v>
          </cell>
          <cell r="B409" t="str">
            <v>FACE MASK FOLDED</v>
          </cell>
          <cell r="C409" t="str">
            <v>EA</v>
          </cell>
          <cell r="D409">
            <v>19</v>
          </cell>
          <cell r="E409">
            <v>50554</v>
          </cell>
        </row>
        <row r="410">
          <cell r="A410" t="str">
            <v>3712</v>
          </cell>
          <cell r="B410" t="str">
            <v>Yellow Iso mask w/loop</v>
          </cell>
          <cell r="C410" t="str">
            <v>EA</v>
          </cell>
          <cell r="D410">
            <v>34</v>
          </cell>
          <cell r="E410">
            <v>3764</v>
          </cell>
        </row>
        <row r="411">
          <cell r="A411" t="str">
            <v>3718A</v>
          </cell>
          <cell r="B411" t="str">
            <v>LATEX P/F WALLET G/SIZE 7</v>
          </cell>
          <cell r="C411" t="str">
            <v>PR</v>
          </cell>
          <cell r="D411">
            <v>14</v>
          </cell>
          <cell r="E411">
            <v>139</v>
          </cell>
        </row>
        <row r="412">
          <cell r="A412" t="str">
            <v>3718B</v>
          </cell>
          <cell r="B412" t="str">
            <v>LATEX P/F WALLET G/SIZE/8</v>
          </cell>
          <cell r="C412" t="str">
            <v>PR</v>
          </cell>
          <cell r="D412">
            <v>15</v>
          </cell>
          <cell r="E412">
            <v>69</v>
          </cell>
        </row>
        <row r="413">
          <cell r="A413" t="str">
            <v>3718C</v>
          </cell>
          <cell r="B413" t="str">
            <v>LATEX P/F WALLET G/SIZE6</v>
          </cell>
          <cell r="C413" t="str">
            <v>PR</v>
          </cell>
          <cell r="D413">
            <v>14</v>
          </cell>
          <cell r="E413">
            <v>156</v>
          </cell>
        </row>
        <row r="414">
          <cell r="A414" t="str">
            <v>3731</v>
          </cell>
          <cell r="B414" t="str">
            <v>Proc. Mask with Shield</v>
          </cell>
          <cell r="C414" t="str">
            <v>EA</v>
          </cell>
          <cell r="D414">
            <v>24</v>
          </cell>
          <cell r="E414">
            <v>943</v>
          </cell>
        </row>
        <row r="415">
          <cell r="A415" t="str">
            <v>3737SL-1</v>
          </cell>
          <cell r="B415" t="str">
            <v>MYDENT LABEL NO 1010</v>
          </cell>
          <cell r="C415" t="str">
            <v>EA</v>
          </cell>
        </row>
        <row r="416">
          <cell r="A416" t="str">
            <v>3741A</v>
          </cell>
          <cell r="B416" t="str">
            <v>GADDLINIUM L/1.75X0.5</v>
          </cell>
          <cell r="C416" t="str">
            <v>EA</v>
          </cell>
        </row>
        <row r="417">
          <cell r="A417" t="str">
            <v>3741C</v>
          </cell>
          <cell r="B417" t="str">
            <v>IODINA C/LBLD1.75X0.5</v>
          </cell>
          <cell r="C417" t="str">
            <v>EA</v>
          </cell>
        </row>
        <row r="418">
          <cell r="A418" t="str">
            <v>3840B-3</v>
          </cell>
          <cell r="B418" t="str">
            <v>UMBILICAL CORD CLAMP</v>
          </cell>
          <cell r="C418" t="str">
            <v>EA</v>
          </cell>
          <cell r="D418">
            <v>56</v>
          </cell>
          <cell r="E418">
            <v>41714</v>
          </cell>
        </row>
        <row r="419">
          <cell r="A419" t="str">
            <v>3840C</v>
          </cell>
          <cell r="B419" t="str">
            <v>UMBILICAL C/CLAMP CUTTER</v>
          </cell>
          <cell r="C419" t="str">
            <v>EA</v>
          </cell>
          <cell r="D419">
            <v>31</v>
          </cell>
          <cell r="E419">
            <v>660</v>
          </cell>
        </row>
        <row r="420">
          <cell r="A420" t="str">
            <v>3840S</v>
          </cell>
          <cell r="B420" t="str">
            <v>UNPRINTED SHIPPER CTN</v>
          </cell>
          <cell r="C420" t="str">
            <v>EA</v>
          </cell>
          <cell r="D420" t="str">
            <v>MZ4</v>
          </cell>
          <cell r="E420">
            <v>1895</v>
          </cell>
        </row>
        <row r="421">
          <cell r="A421" t="str">
            <v>3841A-2</v>
          </cell>
          <cell r="B421" t="str">
            <v>NYLON RESIN N6650TL.NAT</v>
          </cell>
          <cell r="C421" t="str">
            <v>LB</v>
          </cell>
          <cell r="D421">
            <v>145</v>
          </cell>
          <cell r="E421">
            <v>660</v>
          </cell>
        </row>
        <row r="422">
          <cell r="A422" t="str">
            <v>3841D-3</v>
          </cell>
          <cell r="B422" t="str">
            <v>UNPRINTED DISP BOX 384</v>
          </cell>
          <cell r="C422" t="str">
            <v>EA</v>
          </cell>
          <cell r="D422" t="str">
            <v>MZ4</v>
          </cell>
          <cell r="E422">
            <v>438</v>
          </cell>
        </row>
        <row r="423">
          <cell r="A423" t="str">
            <v>3841D-3</v>
          </cell>
          <cell r="B423" t="str">
            <v>UNPRINTED DISP BOX 384</v>
          </cell>
          <cell r="C423" t="str">
            <v>EA</v>
          </cell>
          <cell r="D423" t="str">
            <v>MZ7</v>
          </cell>
          <cell r="E423">
            <v>46</v>
          </cell>
        </row>
        <row r="424">
          <cell r="A424" t="str">
            <v>3841I-2</v>
          </cell>
          <cell r="B424" t="str">
            <v>Posi Grip Umbil/INS St</v>
          </cell>
          <cell r="C424" t="str">
            <v>EA</v>
          </cell>
          <cell r="D424">
            <v>6</v>
          </cell>
          <cell r="E424">
            <v>929</v>
          </cell>
        </row>
        <row r="425">
          <cell r="A425" t="str">
            <v>3860A</v>
          </cell>
          <cell r="B425" t="str">
            <v>18X16 B/W DRAPE W/5/8"FEN</v>
          </cell>
          <cell r="C425" t="str">
            <v>EA</v>
          </cell>
          <cell r="D425">
            <v>61</v>
          </cell>
          <cell r="E425">
            <v>2458</v>
          </cell>
        </row>
        <row r="426">
          <cell r="A426" t="str">
            <v>3870A</v>
          </cell>
          <cell r="B426" t="str">
            <v>AMNIO HOOK</v>
          </cell>
          <cell r="C426" t="str">
            <v>EA</v>
          </cell>
          <cell r="D426">
            <v>23</v>
          </cell>
          <cell r="E426">
            <v>9226</v>
          </cell>
        </row>
        <row r="427">
          <cell r="A427" t="str">
            <v>3880A</v>
          </cell>
          <cell r="B427" t="str">
            <v>48X36 DRAPE SHEET</v>
          </cell>
          <cell r="C427" t="str">
            <v>EA</v>
          </cell>
          <cell r="D427">
            <v>30</v>
          </cell>
          <cell r="E427">
            <v>3832</v>
          </cell>
        </row>
        <row r="428">
          <cell r="A428" t="str">
            <v>3880E</v>
          </cell>
          <cell r="B428" t="str">
            <v>STERILE NO 10 SCALPEL</v>
          </cell>
          <cell r="C428" t="str">
            <v>EA</v>
          </cell>
          <cell r="D428">
            <v>19</v>
          </cell>
          <cell r="E428">
            <v>2400</v>
          </cell>
        </row>
        <row r="429">
          <cell r="A429" t="str">
            <v>3880F-1</v>
          </cell>
          <cell r="B429" t="str">
            <v>STERILE MATERNITY PAD 11"</v>
          </cell>
          <cell r="C429" t="str">
            <v>EA</v>
          </cell>
          <cell r="D429">
            <v>21</v>
          </cell>
          <cell r="E429">
            <v>5034</v>
          </cell>
        </row>
        <row r="430">
          <cell r="A430" t="str">
            <v>3886A</v>
          </cell>
          <cell r="B430" t="str">
            <v>7.5SMALL BORE EXT/SET W/T</v>
          </cell>
          <cell r="C430" t="str">
            <v>EA</v>
          </cell>
          <cell r="D430">
            <v>26</v>
          </cell>
          <cell r="E430">
            <v>1451</v>
          </cell>
        </row>
        <row r="431">
          <cell r="A431" t="str">
            <v>3886C</v>
          </cell>
          <cell r="B431" t="str">
            <v>18X26 W/W TPT FEN/ADHTBS</v>
          </cell>
          <cell r="C431" t="str">
            <v>EA</v>
          </cell>
          <cell r="D431">
            <v>63</v>
          </cell>
          <cell r="E431">
            <v>4500</v>
          </cell>
        </row>
        <row r="432">
          <cell r="A432" t="str">
            <v>3890G</v>
          </cell>
          <cell r="B432" t="str">
            <v>STER EXAM P/F GLOVES MED</v>
          </cell>
          <cell r="C432" t="str">
            <v>PR</v>
          </cell>
          <cell r="D432">
            <v>19</v>
          </cell>
          <cell r="E432">
            <v>9200</v>
          </cell>
        </row>
        <row r="433">
          <cell r="A433" t="str">
            <v>3891D</v>
          </cell>
          <cell r="B433" t="str">
            <v>INNER CTN</v>
          </cell>
          <cell r="C433" t="str">
            <v>EA</v>
          </cell>
          <cell r="D433" t="str">
            <v>MZ7</v>
          </cell>
          <cell r="E433">
            <v>2190</v>
          </cell>
        </row>
        <row r="434">
          <cell r="A434" t="str">
            <v>3921D</v>
          </cell>
          <cell r="B434" t="str">
            <v>1/2X11/2"LIDOC LABEL/GRAY</v>
          </cell>
          <cell r="C434" t="str">
            <v>EA</v>
          </cell>
          <cell r="D434">
            <v>6</v>
          </cell>
          <cell r="E434">
            <v>1790</v>
          </cell>
        </row>
        <row r="435">
          <cell r="A435" t="str">
            <v>4/026</v>
          </cell>
          <cell r="B435" t="str">
            <v>INSERT FOR 16/35 BOWL</v>
          </cell>
          <cell r="C435" t="str">
            <v>EA</v>
          </cell>
        </row>
        <row r="436">
          <cell r="A436" t="str">
            <v>4/1005</v>
          </cell>
          <cell r="B436" t="str">
            <v>360 Medical Fluid 100CST</v>
          </cell>
          <cell r="C436" t="str">
            <v>GM</v>
          </cell>
        </row>
        <row r="437">
          <cell r="A437" t="str">
            <v>4000</v>
          </cell>
          <cell r="B437" t="str">
            <v>16oz Sponge Bowl</v>
          </cell>
          <cell r="C437" t="str">
            <v>EA</v>
          </cell>
          <cell r="D437">
            <v>144</v>
          </cell>
          <cell r="E437">
            <v>27278</v>
          </cell>
        </row>
        <row r="438">
          <cell r="A438" t="str">
            <v>4001A-1</v>
          </cell>
          <cell r="B438" t="str">
            <v>#36 COATED PAPER/C#400</v>
          </cell>
          <cell r="C438" t="str">
            <v>MI</v>
          </cell>
          <cell r="D438">
            <v>22</v>
          </cell>
          <cell r="E438">
            <v>2550</v>
          </cell>
        </row>
        <row r="439">
          <cell r="A439" t="str">
            <v>4001C</v>
          </cell>
          <cell r="B439" t="str">
            <v>8.5X11X4MIL HEADER BAG</v>
          </cell>
          <cell r="C439" t="str">
            <v>EA</v>
          </cell>
          <cell r="D439">
            <v>25</v>
          </cell>
          <cell r="E439">
            <v>26125</v>
          </cell>
        </row>
        <row r="440">
          <cell r="A440" t="str">
            <v>4002</v>
          </cell>
          <cell r="B440" t="str">
            <v>3.5 Mil Plastic -16ozBowl</v>
          </cell>
          <cell r="C440" t="str">
            <v>LB</v>
          </cell>
          <cell r="D440">
            <v>35</v>
          </cell>
          <cell r="E440">
            <v>540</v>
          </cell>
        </row>
        <row r="441">
          <cell r="A441" t="str">
            <v>4004</v>
          </cell>
          <cell r="B441" t="str">
            <v>Unprtd Ctn 16oz Bowl</v>
          </cell>
          <cell r="C441" t="str">
            <v>EA</v>
          </cell>
          <cell r="D441" t="str">
            <v>MZ2</v>
          </cell>
          <cell r="E441">
            <v>809</v>
          </cell>
        </row>
        <row r="442">
          <cell r="A442" t="str">
            <v>4007B</v>
          </cell>
          <cell r="B442" t="str">
            <v>Bl Color Concentrate/Bwls</v>
          </cell>
          <cell r="C442" t="str">
            <v>LB</v>
          </cell>
          <cell r="D442">
            <v>145</v>
          </cell>
          <cell r="E442">
            <v>750</v>
          </cell>
        </row>
        <row r="443">
          <cell r="A443" t="str">
            <v>4010C-1</v>
          </cell>
          <cell r="B443" t="str">
            <v>35OZ SPONGE BOWL</v>
          </cell>
          <cell r="C443" t="str">
            <v>EA</v>
          </cell>
          <cell r="D443">
            <v>49</v>
          </cell>
          <cell r="E443">
            <v>30277</v>
          </cell>
        </row>
        <row r="444">
          <cell r="A444" t="str">
            <v>4010C-1</v>
          </cell>
          <cell r="B444" t="str">
            <v>35OZ SPONGE BOWL</v>
          </cell>
          <cell r="C444" t="str">
            <v>EA</v>
          </cell>
          <cell r="D444" t="str">
            <v>LIS</v>
          </cell>
          <cell r="E444">
            <v>7200</v>
          </cell>
        </row>
        <row r="445">
          <cell r="A445" t="str">
            <v>4011A-1</v>
          </cell>
          <cell r="B445" t="str">
            <v>#36 COATED PAPER /C#401</v>
          </cell>
          <cell r="C445" t="str">
            <v>MI</v>
          </cell>
          <cell r="D445">
            <v>21</v>
          </cell>
          <cell r="E445">
            <v>425</v>
          </cell>
        </row>
        <row r="446">
          <cell r="A446" t="str">
            <v>4013</v>
          </cell>
          <cell r="B446" t="str">
            <v>Unprtd Ctn 35oz Bowl</v>
          </cell>
          <cell r="C446" t="str">
            <v>EA</v>
          </cell>
          <cell r="D446" t="str">
            <v>MZ2</v>
          </cell>
          <cell r="E446">
            <v>114</v>
          </cell>
        </row>
        <row r="447">
          <cell r="A447" t="str">
            <v>4013</v>
          </cell>
          <cell r="B447" t="str">
            <v>Unprtd Ctn 35oz Bowl</v>
          </cell>
          <cell r="C447" t="str">
            <v>EA</v>
          </cell>
          <cell r="D447" t="str">
            <v>MZ1</v>
          </cell>
          <cell r="E447">
            <v>96</v>
          </cell>
        </row>
        <row r="448">
          <cell r="A448" t="str">
            <v>4023</v>
          </cell>
          <cell r="B448" t="str">
            <v>Printed 16oz Bulk Ctn</v>
          </cell>
          <cell r="C448" t="str">
            <v>EA</v>
          </cell>
          <cell r="D448" t="str">
            <v>MZ2</v>
          </cell>
          <cell r="E448">
            <v>38</v>
          </cell>
        </row>
        <row r="449">
          <cell r="A449" t="str">
            <v>4031-1</v>
          </cell>
          <cell r="B449" t="str">
            <v>35X15"WCKED BAG W/FLAP</v>
          </cell>
          <cell r="C449" t="str">
            <v>EA</v>
          </cell>
          <cell r="D449">
            <v>62</v>
          </cell>
          <cell r="E449">
            <v>1335</v>
          </cell>
        </row>
        <row r="450">
          <cell r="A450" t="str">
            <v>4050C</v>
          </cell>
          <cell r="B450" t="str">
            <v>38/400 WHITE PP CAP</v>
          </cell>
          <cell r="C450" t="str">
            <v>EA</v>
          </cell>
          <cell r="D450">
            <v>18</v>
          </cell>
          <cell r="E450">
            <v>18821</v>
          </cell>
        </row>
        <row r="451">
          <cell r="A451" t="str">
            <v>4060AS</v>
          </cell>
          <cell r="B451" t="str">
            <v>SUB ASSEM 40CC MUCUS/TRAP</v>
          </cell>
          <cell r="C451" t="str">
            <v>EA</v>
          </cell>
          <cell r="D451" t="str">
            <v>J</v>
          </cell>
          <cell r="E451">
            <v>32512</v>
          </cell>
        </row>
        <row r="452">
          <cell r="A452" t="str">
            <v>4063PE-1</v>
          </cell>
          <cell r="B452" t="str">
            <v>PE TRAP CAP</v>
          </cell>
          <cell r="C452" t="str">
            <v>EA</v>
          </cell>
          <cell r="D452" t="str">
            <v>F16</v>
          </cell>
          <cell r="E452">
            <v>84507</v>
          </cell>
        </row>
        <row r="453">
          <cell r="A453" t="str">
            <v>4063PE-1</v>
          </cell>
          <cell r="B453" t="str">
            <v>PE TRAP CAP</v>
          </cell>
          <cell r="C453" t="str">
            <v>EA</v>
          </cell>
          <cell r="D453" t="str">
            <v>F15</v>
          </cell>
          <cell r="E453">
            <v>-100</v>
          </cell>
        </row>
        <row r="454">
          <cell r="A454" t="str">
            <v>4064</v>
          </cell>
          <cell r="B454" t="str">
            <v>Adpt(for 40cc &amp; 80ccVial)</v>
          </cell>
          <cell r="C454" t="str">
            <v>EA</v>
          </cell>
          <cell r="D454">
            <v>64</v>
          </cell>
          <cell r="E454">
            <v>52300</v>
          </cell>
        </row>
        <row r="455">
          <cell r="A455" t="str">
            <v>4066A</v>
          </cell>
          <cell r="B455" t="str">
            <v>Mold 40cc Vial(unprinted)</v>
          </cell>
          <cell r="C455" t="str">
            <v>EA</v>
          </cell>
          <cell r="D455">
            <v>55</v>
          </cell>
          <cell r="E455">
            <v>66500</v>
          </cell>
        </row>
        <row r="456">
          <cell r="A456" t="str">
            <v>4068A</v>
          </cell>
          <cell r="B456" t="str">
            <v>Unprinted Shipper Carton</v>
          </cell>
          <cell r="C456" t="str">
            <v>EA</v>
          </cell>
          <cell r="D456" t="str">
            <v>MZ7</v>
          </cell>
          <cell r="E456">
            <v>2851</v>
          </cell>
        </row>
        <row r="457">
          <cell r="A457" t="str">
            <v>4068AS</v>
          </cell>
          <cell r="B457" t="str">
            <v>SUB ASSEM 40cc VIAL &amp; CAP</v>
          </cell>
          <cell r="C457" t="str">
            <v>EA</v>
          </cell>
        </row>
        <row r="458">
          <cell r="A458" t="str">
            <v>4070AS</v>
          </cell>
          <cell r="B458" t="str">
            <v>SUB ASSEM 80CC MUCUS/TRAP</v>
          </cell>
          <cell r="C458" t="str">
            <v>EA</v>
          </cell>
          <cell r="D458" t="str">
            <v>J</v>
          </cell>
          <cell r="E458">
            <v>26680</v>
          </cell>
        </row>
        <row r="459">
          <cell r="A459" t="str">
            <v>4070AS</v>
          </cell>
          <cell r="B459" t="str">
            <v>SUB ASSEM 80CC MUCUS/TRAP</v>
          </cell>
          <cell r="C459" t="str">
            <v>EA</v>
          </cell>
          <cell r="D459">
            <v>144</v>
          </cell>
          <cell r="E459">
            <v>5779</v>
          </cell>
        </row>
        <row r="460">
          <cell r="A460" t="str">
            <v>4070M</v>
          </cell>
          <cell r="B460" t="str">
            <v>Mold 80ccVial for MucusTp</v>
          </cell>
          <cell r="C460" t="str">
            <v>EA</v>
          </cell>
          <cell r="D460">
            <v>54</v>
          </cell>
          <cell r="E460">
            <v>65400</v>
          </cell>
        </row>
        <row r="461">
          <cell r="A461" t="str">
            <v>4073B-3</v>
          </cell>
          <cell r="B461" t="str">
            <v>UNPTD BROWN DISP BOX 407</v>
          </cell>
          <cell r="C461" t="str">
            <v>EA</v>
          </cell>
          <cell r="D461" t="str">
            <v>MZ1</v>
          </cell>
          <cell r="E461">
            <v>671</v>
          </cell>
        </row>
        <row r="462">
          <cell r="A462" t="str">
            <v>4074S-1</v>
          </cell>
          <cell r="B462" t="str">
            <v>UNPTRD CTN FOR 407</v>
          </cell>
          <cell r="C462" t="str">
            <v>EA</v>
          </cell>
          <cell r="D462" t="str">
            <v>MZ4</v>
          </cell>
          <cell r="E462">
            <v>532</v>
          </cell>
        </row>
        <row r="463">
          <cell r="A463" t="str">
            <v>4100S</v>
          </cell>
          <cell r="B463" t="str">
            <v>UNPRINTED SHIPPER CARTON</v>
          </cell>
          <cell r="C463" t="str">
            <v>EA</v>
          </cell>
          <cell r="D463" t="str">
            <v>MZ7</v>
          </cell>
          <cell r="E463">
            <v>843</v>
          </cell>
        </row>
        <row r="464">
          <cell r="A464" t="str">
            <v>41065A</v>
          </cell>
          <cell r="B464" t="str">
            <v>2PC4.75"X4.75"DRESSWGUIDE</v>
          </cell>
          <cell r="C464" t="str">
            <v>EA</v>
          </cell>
          <cell r="D464">
            <v>15</v>
          </cell>
          <cell r="E464">
            <v>3779</v>
          </cell>
        </row>
        <row r="465">
          <cell r="A465" t="str">
            <v>41065B</v>
          </cell>
          <cell r="B465" t="str">
            <v>INST SHEET- DO NOT ORDER</v>
          </cell>
          <cell r="C465" t="str">
            <v>EA</v>
          </cell>
          <cell r="D465">
            <v>6</v>
          </cell>
          <cell r="E465">
            <v>7311</v>
          </cell>
        </row>
        <row r="466">
          <cell r="A466" t="str">
            <v>4106A</v>
          </cell>
          <cell r="B466" t="str">
            <v>20GAUGE X 1IN M/SAFETY/N</v>
          </cell>
          <cell r="C466" t="str">
            <v>EA</v>
          </cell>
          <cell r="D466" t="str">
            <v>N5</v>
          </cell>
          <cell r="E466">
            <v>814</v>
          </cell>
        </row>
        <row r="467">
          <cell r="A467" t="str">
            <v>4107A</v>
          </cell>
          <cell r="B467" t="str">
            <v>CRVD HARTMAN MOSQ.H31/2"</v>
          </cell>
          <cell r="C467" t="str">
            <v>EA</v>
          </cell>
          <cell r="D467">
            <v>29</v>
          </cell>
          <cell r="E467">
            <v>127</v>
          </cell>
        </row>
        <row r="468">
          <cell r="A468" t="str">
            <v>4107C</v>
          </cell>
          <cell r="B468" t="str">
            <v>BISHOP HARMON T/F/33/8"</v>
          </cell>
          <cell r="C468" t="str">
            <v>EA</v>
          </cell>
          <cell r="D468">
            <v>26</v>
          </cell>
          <cell r="E468">
            <v>2268</v>
          </cell>
        </row>
        <row r="469">
          <cell r="A469" t="str">
            <v>4132A</v>
          </cell>
          <cell r="B469" t="str">
            <v>VENIGARD JUNIOR DRESSING</v>
          </cell>
          <cell r="C469" t="str">
            <v>EA</v>
          </cell>
        </row>
        <row r="470">
          <cell r="A470" t="str">
            <v>4134A</v>
          </cell>
          <cell r="B470" t="str">
            <v>INSTRUCTION SHEET</v>
          </cell>
          <cell r="C470" t="str">
            <v>EA</v>
          </cell>
        </row>
        <row r="471">
          <cell r="A471" t="str">
            <v>4139A</v>
          </cell>
          <cell r="B471" t="str">
            <v>SKIN PROT.PREP PAD STERIL</v>
          </cell>
          <cell r="C471" t="str">
            <v>EA</v>
          </cell>
          <cell r="D471">
            <v>14</v>
          </cell>
          <cell r="E471">
            <v>4552</v>
          </cell>
        </row>
        <row r="472">
          <cell r="A472" t="str">
            <v>4156A</v>
          </cell>
          <cell r="B472" t="str">
            <v>Glassine Bag/Plain</v>
          </cell>
          <cell r="C472" t="str">
            <v>EA</v>
          </cell>
          <cell r="D472">
            <v>34</v>
          </cell>
          <cell r="E472">
            <v>3512</v>
          </cell>
        </row>
        <row r="473">
          <cell r="A473" t="str">
            <v>4182A</v>
          </cell>
          <cell r="B473" t="str">
            <v>4 OZ.SPECIMEN CONT/W/LID</v>
          </cell>
          <cell r="C473" t="str">
            <v>EA</v>
          </cell>
          <cell r="D473">
            <v>30</v>
          </cell>
          <cell r="E473">
            <v>783</v>
          </cell>
        </row>
        <row r="474">
          <cell r="A474" t="str">
            <v>4203-1</v>
          </cell>
          <cell r="B474" t="str">
            <v>SPECIMEN LID-WHITE</v>
          </cell>
          <cell r="C474" t="str">
            <v>EA</v>
          </cell>
          <cell r="D474">
            <v>145</v>
          </cell>
          <cell r="E474">
            <v>16150</v>
          </cell>
        </row>
        <row r="475">
          <cell r="A475" t="str">
            <v>4203-1</v>
          </cell>
          <cell r="B475" t="str">
            <v>SPECIMEN LID-WHITE</v>
          </cell>
          <cell r="C475" t="str">
            <v>EA</v>
          </cell>
          <cell r="D475">
            <v>5</v>
          </cell>
          <cell r="E475">
            <v>32</v>
          </cell>
        </row>
        <row r="476">
          <cell r="A476" t="str">
            <v>4204</v>
          </cell>
          <cell r="B476" t="str">
            <v>Specimen Cup Red</v>
          </cell>
          <cell r="C476" t="str">
            <v>EA</v>
          </cell>
          <cell r="D476">
            <v>5</v>
          </cell>
          <cell r="E476">
            <v>167</v>
          </cell>
        </row>
        <row r="477">
          <cell r="A477" t="str">
            <v>4246L</v>
          </cell>
          <cell r="B477" t="str">
            <v>WEBSTER NDL L/L SMOOTHBEV</v>
          </cell>
          <cell r="C477" t="str">
            <v>EA</v>
          </cell>
          <cell r="D477">
            <v>38</v>
          </cell>
          <cell r="E477">
            <v>1273</v>
          </cell>
        </row>
        <row r="478">
          <cell r="A478" t="str">
            <v>4255B</v>
          </cell>
          <cell r="B478" t="str">
            <v>VAGINAL SPECUL-GRAVES MED</v>
          </cell>
          <cell r="C478" t="str">
            <v>EA</v>
          </cell>
        </row>
        <row r="479">
          <cell r="A479" t="str">
            <v>4255D-2</v>
          </cell>
          <cell r="B479" t="str">
            <v>GLASS SLIDE PRECLEANED</v>
          </cell>
          <cell r="C479" t="str">
            <v>EA</v>
          </cell>
          <cell r="D479">
            <v>24</v>
          </cell>
          <cell r="E479">
            <v>1813</v>
          </cell>
        </row>
        <row r="480">
          <cell r="A480" t="str">
            <v>4259A</v>
          </cell>
          <cell r="B480" t="str">
            <v>STER 30 GAUGE X 1"NEEDLE</v>
          </cell>
          <cell r="C480" t="str">
            <v>EA</v>
          </cell>
          <cell r="D480" t="str">
            <v>N3</v>
          </cell>
          <cell r="E480">
            <v>1162</v>
          </cell>
        </row>
        <row r="481">
          <cell r="A481" t="str">
            <v>4331A</v>
          </cell>
          <cell r="B481" t="str">
            <v>3.35 x .72" IV GUARD</v>
          </cell>
          <cell r="C481" t="str">
            <v>EA</v>
          </cell>
          <cell r="D481">
            <v>34</v>
          </cell>
          <cell r="E481">
            <v>22179</v>
          </cell>
        </row>
        <row r="482">
          <cell r="A482" t="str">
            <v>4338A</v>
          </cell>
          <cell r="B482" t="str">
            <v>51/2" STRAIGHT CRILE M/F</v>
          </cell>
          <cell r="C482" t="str">
            <v>EA</v>
          </cell>
          <cell r="D482">
            <v>23</v>
          </cell>
          <cell r="E482">
            <v>453</v>
          </cell>
        </row>
        <row r="483">
          <cell r="A483" t="str">
            <v>4347A</v>
          </cell>
          <cell r="B483" t="str">
            <v>GLASSINE ENV/35/8"X25/16"</v>
          </cell>
          <cell r="C483" t="str">
            <v>EA</v>
          </cell>
          <cell r="D483">
            <v>20</v>
          </cell>
          <cell r="E483">
            <v>896</v>
          </cell>
        </row>
        <row r="484">
          <cell r="A484" t="str">
            <v>4347B</v>
          </cell>
          <cell r="B484" t="str">
            <v>LUER LOCK CAP RED</v>
          </cell>
          <cell r="C484" t="str">
            <v>EA</v>
          </cell>
          <cell r="D484">
            <v>27</v>
          </cell>
          <cell r="E484">
            <v>855</v>
          </cell>
        </row>
        <row r="485">
          <cell r="A485" t="str">
            <v>4352A</v>
          </cell>
          <cell r="B485" t="str">
            <v>10ML LIDOCAINE(HSPIRA) RX</v>
          </cell>
          <cell r="C485" t="str">
            <v>EA</v>
          </cell>
          <cell r="D485" t="str">
            <v>DRUGS</v>
          </cell>
          <cell r="E485">
            <v>27</v>
          </cell>
        </row>
        <row r="486">
          <cell r="A486" t="str">
            <v>4369A</v>
          </cell>
          <cell r="B486" t="str">
            <v>TEGADERM IV T/D 3.5'X4.5"</v>
          </cell>
          <cell r="C486" t="str">
            <v>EA</v>
          </cell>
          <cell r="D486">
            <v>14</v>
          </cell>
          <cell r="E486">
            <v>79</v>
          </cell>
        </row>
        <row r="487">
          <cell r="A487" t="str">
            <v>4383A-2</v>
          </cell>
          <cell r="B487" t="str">
            <v>6"SM BORE EXTSET M LL/CLP</v>
          </cell>
          <cell r="C487" t="str">
            <v>EA</v>
          </cell>
          <cell r="D487">
            <v>30</v>
          </cell>
          <cell r="E487">
            <v>26322</v>
          </cell>
        </row>
        <row r="488">
          <cell r="A488" t="str">
            <v>4383D</v>
          </cell>
          <cell r="B488" t="str">
            <v>1/2"X4"DURAPORE T/S/3/CD</v>
          </cell>
          <cell r="C488" t="str">
            <v>EA</v>
          </cell>
          <cell r="D488">
            <v>34</v>
          </cell>
          <cell r="E488">
            <v>5578</v>
          </cell>
        </row>
        <row r="489">
          <cell r="A489" t="str">
            <v>4387A</v>
          </cell>
          <cell r="B489" t="str">
            <v>6"SM BORE EXT W/ALARIS</v>
          </cell>
          <cell r="C489" t="str">
            <v>EA</v>
          </cell>
          <cell r="D489">
            <v>25</v>
          </cell>
          <cell r="E489">
            <v>4565</v>
          </cell>
        </row>
        <row r="490">
          <cell r="A490" t="str">
            <v>4456A</v>
          </cell>
          <cell r="B490" t="str">
            <v>FINE PT TISSUE FORCEP W/T</v>
          </cell>
          <cell r="C490" t="str">
            <v>EA</v>
          </cell>
          <cell r="D490">
            <v>5</v>
          </cell>
          <cell r="E490">
            <v>326</v>
          </cell>
        </row>
        <row r="491">
          <cell r="A491" t="str">
            <v>4515B</v>
          </cell>
          <cell r="B491" t="str">
            <v>N/S CHLORAPREP 3.0ML</v>
          </cell>
          <cell r="C491" t="str">
            <v>EA</v>
          </cell>
          <cell r="D491">
            <v>15</v>
          </cell>
          <cell r="E491">
            <v>5082</v>
          </cell>
        </row>
        <row r="492">
          <cell r="A492" t="str">
            <v>4522A</v>
          </cell>
          <cell r="B492" t="str">
            <v>MONOJECT SAFETY N/25"X5/8</v>
          </cell>
          <cell r="C492" t="str">
            <v>EA</v>
          </cell>
          <cell r="D492" t="str">
            <v>N5</v>
          </cell>
          <cell r="E492">
            <v>1099</v>
          </cell>
        </row>
        <row r="493">
          <cell r="A493" t="str">
            <v>4522B</v>
          </cell>
          <cell r="B493" t="str">
            <v>MONOJECT SAF/N/18GX11/2"</v>
          </cell>
          <cell r="C493" t="str">
            <v>EA</v>
          </cell>
          <cell r="D493" t="str">
            <v>N6</v>
          </cell>
          <cell r="E493">
            <v>1101</v>
          </cell>
        </row>
        <row r="494">
          <cell r="A494" t="str">
            <v>4557A</v>
          </cell>
          <cell r="B494" t="str">
            <v>TEGADERM W/B/2"3/8X2"3/4</v>
          </cell>
          <cell r="C494" t="str">
            <v>EA</v>
          </cell>
          <cell r="D494">
            <v>14</v>
          </cell>
          <cell r="E494">
            <v>1877</v>
          </cell>
        </row>
        <row r="495">
          <cell r="A495" t="str">
            <v>4557A</v>
          </cell>
          <cell r="B495" t="str">
            <v>TEGADERM W/B/2"3/8X2"3/4</v>
          </cell>
          <cell r="C495" t="str">
            <v>EA</v>
          </cell>
          <cell r="D495">
            <v>15</v>
          </cell>
          <cell r="E495">
            <v>182</v>
          </cell>
        </row>
        <row r="496">
          <cell r="A496" t="str">
            <v>4620A</v>
          </cell>
          <cell r="B496" t="str">
            <v>I V SITE LABEL 2"X3/4"</v>
          </cell>
          <cell r="C496" t="str">
            <v>EA</v>
          </cell>
          <cell r="D496">
            <v>30</v>
          </cell>
          <cell r="E496">
            <v>45420</v>
          </cell>
        </row>
        <row r="497">
          <cell r="A497" t="str">
            <v>4625A</v>
          </cell>
          <cell r="B497" t="str">
            <v>1/2"X 3"FOAM ADH.STRIP</v>
          </cell>
          <cell r="C497" t="str">
            <v>EA</v>
          </cell>
        </row>
        <row r="498">
          <cell r="A498" t="str">
            <v>4700A-1</v>
          </cell>
          <cell r="B498" t="str">
            <v>SURG GOWN LG W/TWL LEVEL3</v>
          </cell>
          <cell r="C498" t="str">
            <v>EA</v>
          </cell>
          <cell r="D498">
            <v>14</v>
          </cell>
          <cell r="E498">
            <v>637</v>
          </cell>
        </row>
        <row r="499">
          <cell r="A499" t="str">
            <v>4710A-1</v>
          </cell>
          <cell r="B499" t="str">
            <v>SURG GOWN,XL,W/TWL LVL3</v>
          </cell>
          <cell r="C499" t="str">
            <v>EA</v>
          </cell>
          <cell r="D499">
            <v>1</v>
          </cell>
          <cell r="E499">
            <v>4195</v>
          </cell>
        </row>
        <row r="500">
          <cell r="A500" t="str">
            <v>4902-1</v>
          </cell>
          <cell r="B500" t="str">
            <v>UNPRINTED CTN /420/490</v>
          </cell>
          <cell r="C500" t="str">
            <v>EA</v>
          </cell>
          <cell r="D500" t="str">
            <v>MZ3</v>
          </cell>
          <cell r="E500">
            <v>218</v>
          </cell>
        </row>
        <row r="501">
          <cell r="A501" t="str">
            <v>4903-1</v>
          </cell>
          <cell r="B501" t="str">
            <v>DENTURE LID- TRANSLUCENT</v>
          </cell>
          <cell r="C501" t="str">
            <v>EA</v>
          </cell>
          <cell r="D501">
            <v>5</v>
          </cell>
          <cell r="E501">
            <v>20</v>
          </cell>
        </row>
        <row r="502">
          <cell r="A502" t="str">
            <v>4904</v>
          </cell>
          <cell r="B502" t="str">
            <v>Denture Cup Aqua</v>
          </cell>
          <cell r="C502" t="str">
            <v>EA</v>
          </cell>
          <cell r="D502">
            <v>5</v>
          </cell>
          <cell r="E502">
            <v>56</v>
          </cell>
        </row>
        <row r="503">
          <cell r="A503" t="str">
            <v>5/1000</v>
          </cell>
          <cell r="B503" t="str">
            <v>CLEAR TAPE 2.1MIL ACYRLIC</v>
          </cell>
          <cell r="C503" t="str">
            <v>RL</v>
          </cell>
        </row>
        <row r="504">
          <cell r="A504" t="str">
            <v>5/3000</v>
          </cell>
          <cell r="B504" t="str">
            <v>CLEAR TAPE 2.1miL HNDDIS</v>
          </cell>
          <cell r="C504" t="str">
            <v>RL</v>
          </cell>
        </row>
        <row r="505">
          <cell r="A505" t="str">
            <v>5010B</v>
          </cell>
          <cell r="B505" t="str">
            <v>5 in 1 Connector</v>
          </cell>
          <cell r="C505" t="str">
            <v>EA</v>
          </cell>
          <cell r="D505">
            <v>62</v>
          </cell>
          <cell r="E505">
            <v>84660</v>
          </cell>
        </row>
        <row r="506">
          <cell r="A506" t="str">
            <v>5010D</v>
          </cell>
          <cell r="B506" t="str">
            <v>UNPRINTED INNER CTN</v>
          </cell>
          <cell r="C506" t="str">
            <v>EA</v>
          </cell>
          <cell r="D506" t="str">
            <v>MZ5</v>
          </cell>
          <cell r="E506">
            <v>1483</v>
          </cell>
        </row>
        <row r="507">
          <cell r="A507" t="str">
            <v>5011M-1</v>
          </cell>
          <cell r="B507" t="str">
            <v>SHIPPER CTN</v>
          </cell>
          <cell r="C507" t="str">
            <v>EA</v>
          </cell>
          <cell r="D507" t="str">
            <v>MZ2</v>
          </cell>
          <cell r="E507">
            <v>508</v>
          </cell>
        </row>
        <row r="508">
          <cell r="A508" t="str">
            <v>5020B</v>
          </cell>
          <cell r="B508" t="str">
            <v>Simms Conn/Irrigat/Nozzle</v>
          </cell>
          <cell r="C508" t="str">
            <v>EA</v>
          </cell>
          <cell r="D508">
            <v>62</v>
          </cell>
          <cell r="E508">
            <v>14400</v>
          </cell>
        </row>
        <row r="509">
          <cell r="A509" t="str">
            <v>5030B</v>
          </cell>
          <cell r="B509" t="str">
            <v>"T"-Connector</v>
          </cell>
          <cell r="C509" t="str">
            <v>EA</v>
          </cell>
          <cell r="D509">
            <v>61</v>
          </cell>
          <cell r="E509">
            <v>3572</v>
          </cell>
        </row>
        <row r="510">
          <cell r="A510" t="str">
            <v>5030T</v>
          </cell>
          <cell r="B510" t="str">
            <v>"T" Connector Section</v>
          </cell>
          <cell r="C510" t="str">
            <v>EA</v>
          </cell>
          <cell r="D510">
            <v>56</v>
          </cell>
          <cell r="E510">
            <v>14447</v>
          </cell>
        </row>
        <row r="511">
          <cell r="A511" t="str">
            <v>5031D</v>
          </cell>
          <cell r="B511" t="str">
            <v>Unprtd Inner Shipper Ctn</v>
          </cell>
          <cell r="C511" t="str">
            <v>EA</v>
          </cell>
          <cell r="D511" t="str">
            <v>MZ5</v>
          </cell>
          <cell r="E511">
            <v>514</v>
          </cell>
        </row>
        <row r="512">
          <cell r="A512" t="str">
            <v>5031M</v>
          </cell>
          <cell r="B512" t="str">
            <v>Unprtd Master Shipper Ctn</v>
          </cell>
          <cell r="C512" t="str">
            <v>EA</v>
          </cell>
          <cell r="D512" t="str">
            <v>MZ5</v>
          </cell>
          <cell r="E512">
            <v>333</v>
          </cell>
        </row>
        <row r="513">
          <cell r="A513" t="str">
            <v>5032A</v>
          </cell>
          <cell r="B513" t="str">
            <v>16Gx1" Non-Coring Needle</v>
          </cell>
          <cell r="C513" t="str">
            <v>EA</v>
          </cell>
          <cell r="D513" t="str">
            <v>N3</v>
          </cell>
          <cell r="E513">
            <v>173</v>
          </cell>
        </row>
        <row r="514">
          <cell r="A514" t="str">
            <v>5039A</v>
          </cell>
          <cell r="B514" t="str">
            <v>18G X11/2' FILTER NEEDLE</v>
          </cell>
          <cell r="C514" t="str">
            <v>EA</v>
          </cell>
          <cell r="D514" t="str">
            <v>N9</v>
          </cell>
          <cell r="E514">
            <v>686</v>
          </cell>
        </row>
        <row r="515">
          <cell r="A515" t="str">
            <v>5040B</v>
          </cell>
          <cell r="B515" t="str">
            <v>1/4" Straight Connector</v>
          </cell>
          <cell r="C515" t="str">
            <v>EA</v>
          </cell>
          <cell r="D515">
            <v>61</v>
          </cell>
          <cell r="E515">
            <v>105120</v>
          </cell>
        </row>
        <row r="516">
          <cell r="A516" t="str">
            <v>5050B</v>
          </cell>
          <cell r="B516" t="str">
            <v>5/16" Straight Connector</v>
          </cell>
          <cell r="C516" t="str">
            <v>EA</v>
          </cell>
          <cell r="D516">
            <v>59</v>
          </cell>
          <cell r="E516">
            <v>41472</v>
          </cell>
        </row>
        <row r="517">
          <cell r="A517" t="str">
            <v>5060B</v>
          </cell>
          <cell r="B517" t="str">
            <v>3/8" Straight Connector</v>
          </cell>
          <cell r="C517" t="str">
            <v>EA</v>
          </cell>
          <cell r="D517">
            <v>56</v>
          </cell>
          <cell r="E517">
            <v>9470</v>
          </cell>
        </row>
        <row r="518">
          <cell r="A518" t="str">
            <v>5061A</v>
          </cell>
          <cell r="B518" t="str">
            <v>SPOT BANDAGE -COVIDIEN</v>
          </cell>
          <cell r="C518" t="str">
            <v>EA</v>
          </cell>
          <cell r="D518">
            <v>38</v>
          </cell>
          <cell r="E518">
            <v>1162</v>
          </cell>
        </row>
        <row r="519">
          <cell r="A519" t="str">
            <v>5070B</v>
          </cell>
          <cell r="B519" t="str">
            <v>1/4" Y-Connector</v>
          </cell>
          <cell r="C519" t="str">
            <v>EA</v>
          </cell>
          <cell r="D519">
            <v>56</v>
          </cell>
          <cell r="E519">
            <v>10665</v>
          </cell>
        </row>
        <row r="520">
          <cell r="A520" t="str">
            <v>5080B</v>
          </cell>
          <cell r="B520" t="str">
            <v>3/8 Y-Connector</v>
          </cell>
          <cell r="C520" t="str">
            <v>EA</v>
          </cell>
          <cell r="D520">
            <v>56</v>
          </cell>
          <cell r="E520">
            <v>46112</v>
          </cell>
        </row>
        <row r="521">
          <cell r="A521" t="str">
            <v>5084A</v>
          </cell>
          <cell r="B521" t="str">
            <v>15.5X25'B/SMS/DRAPE W/A/S</v>
          </cell>
          <cell r="C521" t="str">
            <v>EA</v>
          </cell>
          <cell r="D521">
            <v>69</v>
          </cell>
          <cell r="E521">
            <v>10000</v>
          </cell>
        </row>
        <row r="522">
          <cell r="A522" t="str">
            <v>5090B</v>
          </cell>
          <cell r="B522" t="str">
            <v>6-in-1 Y-Connector</v>
          </cell>
          <cell r="C522" t="str">
            <v>EA</v>
          </cell>
          <cell r="D522">
            <v>59</v>
          </cell>
          <cell r="E522">
            <v>4894</v>
          </cell>
        </row>
        <row r="523">
          <cell r="A523" t="str">
            <v>5100CP</v>
          </cell>
          <cell r="B523" t="str">
            <v>Catheter Plug</v>
          </cell>
          <cell r="C523" t="str">
            <v>EA</v>
          </cell>
          <cell r="D523">
            <v>50</v>
          </cell>
          <cell r="E523">
            <v>17721</v>
          </cell>
        </row>
        <row r="524">
          <cell r="A524" t="str">
            <v>5100DC</v>
          </cell>
          <cell r="B524" t="str">
            <v>Drainage Tube Cover</v>
          </cell>
          <cell r="C524" t="str">
            <v>EA</v>
          </cell>
          <cell r="D524">
            <v>50</v>
          </cell>
          <cell r="E524">
            <v>18749</v>
          </cell>
        </row>
        <row r="525">
          <cell r="A525" t="str">
            <v>5106</v>
          </cell>
          <cell r="B525" t="str">
            <v>EmbTwlWhite10x13fold</v>
          </cell>
          <cell r="C525" t="str">
            <v>EA</v>
          </cell>
        </row>
        <row r="526">
          <cell r="A526" t="str">
            <v>5116A-1</v>
          </cell>
          <cell r="B526" t="str">
            <v>17# RECYCLD WHT TISSUE18"</v>
          </cell>
          <cell r="C526" t="str">
            <v>LB</v>
          </cell>
        </row>
        <row r="527">
          <cell r="A527" t="str">
            <v>5117</v>
          </cell>
          <cell r="B527" t="str">
            <v>18X26" W/W Fenestr. Drape</v>
          </cell>
          <cell r="C527" t="str">
            <v>EA</v>
          </cell>
          <cell r="D527">
            <v>68</v>
          </cell>
          <cell r="E527">
            <v>57169</v>
          </cell>
        </row>
        <row r="528">
          <cell r="A528" t="str">
            <v>5121D</v>
          </cell>
          <cell r="B528" t="str">
            <v>Unptd Inner Ctn/Clean Con</v>
          </cell>
          <cell r="C528" t="str">
            <v>EA</v>
          </cell>
          <cell r="D528" t="str">
            <v>MZ6</v>
          </cell>
          <cell r="E528">
            <v>645</v>
          </cell>
        </row>
        <row r="529">
          <cell r="A529" t="str">
            <v>5121M</v>
          </cell>
          <cell r="B529" t="str">
            <v>Unptd Shipr Ctn/Clean Con</v>
          </cell>
          <cell r="C529" t="str">
            <v>EA</v>
          </cell>
          <cell r="D529" t="str">
            <v>MZ4</v>
          </cell>
          <cell r="E529">
            <v>159</v>
          </cell>
        </row>
        <row r="530">
          <cell r="A530" t="str">
            <v>5122-1</v>
          </cell>
          <cell r="B530" t="str">
            <v>Blue Foam Strip for Trach</v>
          </cell>
          <cell r="C530" t="str">
            <v>EA</v>
          </cell>
          <cell r="D530">
            <v>17</v>
          </cell>
          <cell r="E530">
            <v>8697</v>
          </cell>
        </row>
        <row r="531">
          <cell r="A531" t="str">
            <v>5158TS</v>
          </cell>
          <cell r="B531" t="str">
            <v>TRANSLA/INSRT DO NOT ORDE</v>
          </cell>
          <cell r="C531" t="str">
            <v>EA</v>
          </cell>
        </row>
        <row r="532">
          <cell r="A532" t="str">
            <v>5235A</v>
          </cell>
          <cell r="B532" t="str">
            <v>5 PORT NEEDLE S/S/DEVICE</v>
          </cell>
          <cell r="C532" t="str">
            <v>EA</v>
          </cell>
          <cell r="D532">
            <v>21</v>
          </cell>
          <cell r="E532">
            <v>1044</v>
          </cell>
        </row>
        <row r="533">
          <cell r="A533" t="str">
            <v>5235B</v>
          </cell>
          <cell r="B533" t="str">
            <v>INST/SHEET/NDLE S/DEVICE</v>
          </cell>
          <cell r="C533" t="str">
            <v>EA</v>
          </cell>
          <cell r="D533">
            <v>6</v>
          </cell>
          <cell r="E533">
            <v>999</v>
          </cell>
        </row>
        <row r="534">
          <cell r="A534" t="str">
            <v>5304A</v>
          </cell>
          <cell r="B534" t="str">
            <v>2COMP/TRAY 4.63X9.56X1.81</v>
          </cell>
          <cell r="C534" t="str">
            <v>EA</v>
          </cell>
          <cell r="D534">
            <v>23</v>
          </cell>
          <cell r="E534">
            <v>99</v>
          </cell>
        </row>
        <row r="535">
          <cell r="A535" t="str">
            <v>5317L-1</v>
          </cell>
          <cell r="B535" t="str">
            <v>4.5"IRIS LG LOOP/TIP PROT</v>
          </cell>
          <cell r="C535" t="str">
            <v>EA</v>
          </cell>
          <cell r="D535">
            <v>45</v>
          </cell>
          <cell r="E535">
            <v>26201</v>
          </cell>
        </row>
        <row r="536">
          <cell r="A536" t="str">
            <v>5317N</v>
          </cell>
          <cell r="B536" t="str">
            <v>4.5"Iris Scissor Straight</v>
          </cell>
          <cell r="C536" t="str">
            <v>EA</v>
          </cell>
          <cell r="D536">
            <v>46</v>
          </cell>
          <cell r="E536">
            <v>86832</v>
          </cell>
        </row>
        <row r="537">
          <cell r="A537" t="str">
            <v>5340A</v>
          </cell>
          <cell r="B537" t="str">
            <v>9 1/2"PLASTIC SPONGE FCEP</v>
          </cell>
          <cell r="C537" t="str">
            <v>EA</v>
          </cell>
          <cell r="D537">
            <v>29</v>
          </cell>
          <cell r="E537">
            <v>160</v>
          </cell>
        </row>
        <row r="538">
          <cell r="A538" t="str">
            <v>5340B</v>
          </cell>
          <cell r="B538" t="str">
            <v>13"SM BORE EXT SET W/M/F</v>
          </cell>
          <cell r="C538" t="str">
            <v>EA</v>
          </cell>
          <cell r="D538">
            <v>31</v>
          </cell>
          <cell r="E538">
            <v>890</v>
          </cell>
        </row>
        <row r="539">
          <cell r="A539" t="str">
            <v>5359A</v>
          </cell>
          <cell r="B539" t="str">
            <v>1.75 X0.5 PRE-PRINT L/6S</v>
          </cell>
          <cell r="C539" t="str">
            <v>EA</v>
          </cell>
        </row>
        <row r="540">
          <cell r="A540" t="str">
            <v>5375A</v>
          </cell>
          <cell r="B540" t="str">
            <v>Ster 27Gx1/2" Safety Need</v>
          </cell>
          <cell r="C540" t="str">
            <v>EA</v>
          </cell>
          <cell r="D540" t="str">
            <v>N1</v>
          </cell>
          <cell r="E540">
            <v>1989</v>
          </cell>
        </row>
        <row r="541">
          <cell r="A541" t="str">
            <v>5398B</v>
          </cell>
          <cell r="B541" t="str">
            <v>5ML SPECIMEN TUBE EDTA/S</v>
          </cell>
          <cell r="C541" t="str">
            <v>EA</v>
          </cell>
        </row>
        <row r="542">
          <cell r="A542" t="str">
            <v>5398C</v>
          </cell>
          <cell r="B542" t="str">
            <v>8.5ML VACUTAINER P/S/TUBE</v>
          </cell>
          <cell r="C542" t="str">
            <v>EA</v>
          </cell>
        </row>
        <row r="543">
          <cell r="A543" t="str">
            <v>5398D</v>
          </cell>
          <cell r="B543" t="str">
            <v>INSTR/SHEET DO NOT ORDER</v>
          </cell>
          <cell r="C543" t="str">
            <v>EA</v>
          </cell>
        </row>
        <row r="544">
          <cell r="A544" t="str">
            <v>5406C</v>
          </cell>
          <cell r="B544" t="str">
            <v>104"X76"X120" FEN/LAP/D</v>
          </cell>
          <cell r="C544" t="str">
            <v>EA</v>
          </cell>
          <cell r="D544">
            <v>24</v>
          </cell>
          <cell r="E544">
            <v>10</v>
          </cell>
        </row>
        <row r="545">
          <cell r="A545" t="str">
            <v>5406C-1</v>
          </cell>
          <cell r="B545" t="str">
            <v>106'X77X120"LAPAROTOMY/D</v>
          </cell>
          <cell r="C545" t="str">
            <v>EA</v>
          </cell>
          <cell r="D545">
            <v>25</v>
          </cell>
          <cell r="E545">
            <v>29</v>
          </cell>
        </row>
        <row r="546">
          <cell r="A546" t="str">
            <v>5406D</v>
          </cell>
          <cell r="B546" t="str">
            <v>INSTRUCTS DO NOT ORDER</v>
          </cell>
          <cell r="C546" t="str">
            <v>EA</v>
          </cell>
        </row>
        <row r="547">
          <cell r="A547" t="str">
            <v>5412-1</v>
          </cell>
          <cell r="B547" t="str">
            <v>1530 1X54" MICROPORE TAPE</v>
          </cell>
          <cell r="C547" t="str">
            <v>EA</v>
          </cell>
          <cell r="D547">
            <v>20</v>
          </cell>
          <cell r="E547">
            <v>1074</v>
          </cell>
        </row>
        <row r="548">
          <cell r="A548" t="str">
            <v>5423-2</v>
          </cell>
          <cell r="B548" t="str">
            <v>3"X3" 12PLY G/PROCESSED</v>
          </cell>
          <cell r="C548" t="str">
            <v>EA</v>
          </cell>
          <cell r="D548">
            <v>31</v>
          </cell>
          <cell r="E548">
            <v>95842</v>
          </cell>
        </row>
        <row r="549">
          <cell r="A549" t="str">
            <v>5446-1</v>
          </cell>
          <cell r="B549" t="str">
            <v>6CC LUER LOCK SYRINGE L/F</v>
          </cell>
          <cell r="C549" t="str">
            <v>EA</v>
          </cell>
          <cell r="D549">
            <v>18</v>
          </cell>
          <cell r="E549">
            <v>1899</v>
          </cell>
        </row>
        <row r="550">
          <cell r="A550" t="str">
            <v>5446-2</v>
          </cell>
          <cell r="B550" t="str">
            <v>BD 5ML LUER LOCK SYRINGE</v>
          </cell>
          <cell r="C550" t="str">
            <v>EA</v>
          </cell>
          <cell r="D550">
            <v>7</v>
          </cell>
          <cell r="E550">
            <v>37199</v>
          </cell>
        </row>
        <row r="551">
          <cell r="A551" t="str">
            <v>5456N</v>
          </cell>
          <cell r="B551" t="str">
            <v>Iris Scissor Cvd 4.5"</v>
          </cell>
          <cell r="C551" t="str">
            <v>EA</v>
          </cell>
          <cell r="D551">
            <v>38</v>
          </cell>
          <cell r="E551">
            <v>3355</v>
          </cell>
        </row>
        <row r="552">
          <cell r="A552" t="str">
            <v>5458A</v>
          </cell>
          <cell r="B552" t="str">
            <v>23G X 11/2"NEEDLE STERILE</v>
          </cell>
          <cell r="C552" t="str">
            <v>EA</v>
          </cell>
          <cell r="D552" t="str">
            <v>N1</v>
          </cell>
          <cell r="E552">
            <v>340</v>
          </cell>
        </row>
        <row r="553">
          <cell r="A553" t="str">
            <v>5517</v>
          </cell>
          <cell r="B553" t="str">
            <v>Clr Polybag 12x6x18Gusset</v>
          </cell>
          <cell r="C553" t="str">
            <v>EA</v>
          </cell>
          <cell r="D553">
            <v>32</v>
          </cell>
          <cell r="E553">
            <v>13588</v>
          </cell>
        </row>
        <row r="554">
          <cell r="A554" t="str">
            <v>5563-2</v>
          </cell>
          <cell r="B554" t="str">
            <v>2X212PLYGZE/PROCSSD</v>
          </cell>
          <cell r="C554" t="str">
            <v>EA</v>
          </cell>
          <cell r="D554">
            <v>20</v>
          </cell>
          <cell r="E554">
            <v>100499</v>
          </cell>
        </row>
        <row r="555">
          <cell r="A555" t="str">
            <v>5565A-1</v>
          </cell>
          <cell r="B555" t="str">
            <v>#15 SCALPEL W/T/PROTECTOR</v>
          </cell>
          <cell r="C555" t="str">
            <v>EA</v>
          </cell>
          <cell r="D555">
            <v>20</v>
          </cell>
          <cell r="E555">
            <v>6614</v>
          </cell>
        </row>
        <row r="556">
          <cell r="A556" t="str">
            <v>5576A</v>
          </cell>
          <cell r="B556" t="str">
            <v>25G X 21/2QUINCKE N/STER</v>
          </cell>
          <cell r="C556" t="str">
            <v>EA</v>
          </cell>
        </row>
        <row r="557">
          <cell r="A557" t="str">
            <v>5600A</v>
          </cell>
          <cell r="B557" t="str">
            <v>18GX3.5" QUINCKE NEEDLE</v>
          </cell>
          <cell r="C557" t="str">
            <v>EA</v>
          </cell>
          <cell r="D557" t="str">
            <v>N6</v>
          </cell>
          <cell r="E557">
            <v>7043</v>
          </cell>
        </row>
        <row r="558">
          <cell r="A558" t="str">
            <v>5600D</v>
          </cell>
          <cell r="B558" t="str">
            <v>NEEDLE DISP BOX 25 PK CE</v>
          </cell>
          <cell r="C558" t="str">
            <v>EA</v>
          </cell>
          <cell r="D558" t="str">
            <v>MZ6</v>
          </cell>
          <cell r="E558">
            <v>99</v>
          </cell>
        </row>
        <row r="559">
          <cell r="A559" t="str">
            <v>5600S</v>
          </cell>
          <cell r="B559" t="str">
            <v>UNPRINTED SHIPPER CTN</v>
          </cell>
          <cell r="C559" t="str">
            <v>EA</v>
          </cell>
          <cell r="D559" t="str">
            <v>MZ3</v>
          </cell>
          <cell r="E559">
            <v>102</v>
          </cell>
        </row>
        <row r="560">
          <cell r="A560" t="str">
            <v>5610A</v>
          </cell>
          <cell r="B560" t="str">
            <v>20GX3.5" QUINCKE NEEDLE</v>
          </cell>
          <cell r="C560" t="str">
            <v>EA</v>
          </cell>
          <cell r="D560" t="str">
            <v>N2</v>
          </cell>
          <cell r="E560">
            <v>18919</v>
          </cell>
        </row>
        <row r="561">
          <cell r="A561" t="str">
            <v>5620A</v>
          </cell>
          <cell r="B561" t="str">
            <v>22GX3.5" QUINCKE NEEDLE</v>
          </cell>
          <cell r="C561" t="str">
            <v>EA</v>
          </cell>
          <cell r="D561" t="str">
            <v>N5</v>
          </cell>
          <cell r="E561">
            <v>43502</v>
          </cell>
        </row>
        <row r="562">
          <cell r="A562" t="str">
            <v>5630A</v>
          </cell>
          <cell r="B562" t="str">
            <v>25GX3.5" QUINCKE NEEDLE</v>
          </cell>
          <cell r="C562" t="str">
            <v>EA</v>
          </cell>
          <cell r="D562" t="str">
            <v>N6</v>
          </cell>
          <cell r="E562">
            <v>13332</v>
          </cell>
        </row>
        <row r="563">
          <cell r="A563" t="str">
            <v>5640A</v>
          </cell>
          <cell r="B563" t="str">
            <v>22GX1.5" QUINCKE NEEDLE</v>
          </cell>
          <cell r="C563" t="str">
            <v>EA</v>
          </cell>
          <cell r="D563" t="str">
            <v>N4</v>
          </cell>
          <cell r="E563">
            <v>7630</v>
          </cell>
        </row>
        <row r="564">
          <cell r="A564" t="str">
            <v>5650A</v>
          </cell>
          <cell r="B564" t="str">
            <v>22GX5" QUINCKE SPINAL NDL</v>
          </cell>
          <cell r="C564" t="str">
            <v>EA</v>
          </cell>
          <cell r="D564" t="str">
            <v>N2</v>
          </cell>
          <cell r="E564">
            <v>10303</v>
          </cell>
        </row>
        <row r="565">
          <cell r="A565" t="str">
            <v>5651A</v>
          </cell>
          <cell r="B565" t="str">
            <v>DECANTER VIAL</v>
          </cell>
          <cell r="C565" t="str">
            <v>EA</v>
          </cell>
          <cell r="D565">
            <v>5</v>
          </cell>
          <cell r="E565">
            <v>87</v>
          </cell>
        </row>
        <row r="566">
          <cell r="A566" t="str">
            <v>5651C</v>
          </cell>
          <cell r="B566" t="str">
            <v>6 NON-COATED ELECTR/B</v>
          </cell>
          <cell r="C566" t="str">
            <v>EA</v>
          </cell>
          <cell r="D566">
            <v>14</v>
          </cell>
          <cell r="E566">
            <v>22</v>
          </cell>
        </row>
        <row r="567">
          <cell r="A567" t="str">
            <v>5660A</v>
          </cell>
          <cell r="B567" t="str">
            <v>22GX7"QUINCKE SPINAL NDLE</v>
          </cell>
          <cell r="C567" t="str">
            <v>EA</v>
          </cell>
          <cell r="D567" t="str">
            <v>N4</v>
          </cell>
          <cell r="E567">
            <v>4446</v>
          </cell>
        </row>
        <row r="568">
          <cell r="A568" t="str">
            <v>5670A</v>
          </cell>
          <cell r="B568" t="str">
            <v>25GX3.5"WHITACRE NEEDLE</v>
          </cell>
          <cell r="C568" t="str">
            <v>EA</v>
          </cell>
          <cell r="D568" t="str">
            <v>N9</v>
          </cell>
          <cell r="E568">
            <v>4134</v>
          </cell>
        </row>
        <row r="569">
          <cell r="A569" t="str">
            <v>5689A</v>
          </cell>
          <cell r="B569" t="str">
            <v>14" DOME BAG</v>
          </cell>
          <cell r="C569" t="str">
            <v>EA</v>
          </cell>
          <cell r="D569">
            <v>25</v>
          </cell>
          <cell r="E569">
            <v>123</v>
          </cell>
        </row>
        <row r="570">
          <cell r="A570" t="str">
            <v>5689B</v>
          </cell>
          <cell r="B570" t="str">
            <v>6" STANDARD BORE EXT.SET</v>
          </cell>
          <cell r="C570" t="str">
            <v>EA</v>
          </cell>
          <cell r="D570">
            <v>20</v>
          </cell>
          <cell r="E570">
            <v>2194</v>
          </cell>
        </row>
        <row r="571">
          <cell r="A571" t="str">
            <v>5689C</v>
          </cell>
          <cell r="B571" t="str">
            <v>GAD LABEL 0.5 X 1.75</v>
          </cell>
          <cell r="C571" t="str">
            <v>EA</v>
          </cell>
          <cell r="D571">
            <v>20</v>
          </cell>
          <cell r="E571">
            <v>1398</v>
          </cell>
        </row>
        <row r="572">
          <cell r="A572" t="str">
            <v>5689D</v>
          </cell>
          <cell r="B572" t="str">
            <v>LIDO/EPI LABEL .5 X 1.75</v>
          </cell>
          <cell r="C572" t="str">
            <v>EA</v>
          </cell>
          <cell r="D572">
            <v>21</v>
          </cell>
          <cell r="E572">
            <v>12</v>
          </cell>
        </row>
        <row r="573">
          <cell r="A573" t="str">
            <v>5711</v>
          </cell>
          <cell r="B573" t="str">
            <v>Unprtd Shipper for 845</v>
          </cell>
          <cell r="C573" t="str">
            <v>EA</v>
          </cell>
          <cell r="D573" t="str">
            <v>MZ2</v>
          </cell>
          <cell r="E573">
            <v>382</v>
          </cell>
        </row>
        <row r="574">
          <cell r="A574" t="str">
            <v>5717</v>
          </cell>
          <cell r="B574" t="str">
            <v>Unp Ship #5718 H.Schein</v>
          </cell>
          <cell r="C574" t="str">
            <v>EA</v>
          </cell>
          <cell r="D574" t="str">
            <v>MZ3</v>
          </cell>
          <cell r="E574">
            <v>400</v>
          </cell>
        </row>
        <row r="575">
          <cell r="A575" t="str">
            <v>5723-2</v>
          </cell>
          <cell r="B575" t="str">
            <v>CTN FOR 847</v>
          </cell>
          <cell r="C575" t="str">
            <v>EA</v>
          </cell>
          <cell r="D575" t="str">
            <v>MZ5</v>
          </cell>
          <cell r="E575">
            <v>372</v>
          </cell>
        </row>
        <row r="576">
          <cell r="A576" t="str">
            <v>5729</v>
          </cell>
          <cell r="B576" t="str">
            <v>Unp Ship #5730 H.Schein</v>
          </cell>
          <cell r="C576" t="str">
            <v>EA</v>
          </cell>
          <cell r="D576" t="str">
            <v>MZ6</v>
          </cell>
          <cell r="E576">
            <v>1079</v>
          </cell>
        </row>
        <row r="577">
          <cell r="A577" t="str">
            <v>5732</v>
          </cell>
          <cell r="B577" t="str">
            <v>Unp Ship #5736 H.Schein</v>
          </cell>
          <cell r="C577" t="str">
            <v>EA</v>
          </cell>
          <cell r="D577" t="str">
            <v>MZ2</v>
          </cell>
          <cell r="E577">
            <v>490</v>
          </cell>
        </row>
        <row r="578">
          <cell r="A578" t="str">
            <v>5896C</v>
          </cell>
          <cell r="B578" t="str">
            <v>Foam Adh Str 3/C2.25x2.75</v>
          </cell>
          <cell r="C578" t="str">
            <v>EA</v>
          </cell>
          <cell r="D578">
            <v>22</v>
          </cell>
          <cell r="E578">
            <v>3452</v>
          </cell>
        </row>
        <row r="579">
          <cell r="A579" t="str">
            <v>5908-1</v>
          </cell>
          <cell r="B579" t="str">
            <v>STERILE ALCOHOL PREP PAD</v>
          </cell>
          <cell r="C579" t="str">
            <v>EA</v>
          </cell>
          <cell r="D579">
            <v>15</v>
          </cell>
          <cell r="E579">
            <v>19402</v>
          </cell>
        </row>
        <row r="580">
          <cell r="A580" t="str">
            <v>5920A</v>
          </cell>
          <cell r="B580" t="str">
            <v>5ML GLASS LOR W/GLASS/LS</v>
          </cell>
          <cell r="C580" t="str">
            <v>EA</v>
          </cell>
          <cell r="D580">
            <v>32</v>
          </cell>
          <cell r="E580">
            <v>983</v>
          </cell>
        </row>
        <row r="581">
          <cell r="A581" t="str">
            <v>5925A</v>
          </cell>
          <cell r="B581" t="str">
            <v>5ML-10ML AMPULE CRACKER</v>
          </cell>
          <cell r="C581" t="str">
            <v>EA</v>
          </cell>
          <cell r="D581">
            <v>25</v>
          </cell>
          <cell r="E581">
            <v>569</v>
          </cell>
        </row>
        <row r="582">
          <cell r="A582" t="str">
            <v>5930A-1</v>
          </cell>
          <cell r="B582" t="str">
            <v>5ML GLASS LOR METAL TP LS</v>
          </cell>
          <cell r="C582" t="str">
            <v>EA</v>
          </cell>
          <cell r="D582">
            <v>19</v>
          </cell>
          <cell r="E582">
            <v>1739</v>
          </cell>
        </row>
        <row r="583">
          <cell r="A583" t="str">
            <v>5930C-1</v>
          </cell>
          <cell r="B583" t="str">
            <v>SILICONE STOPPER FOR LOR</v>
          </cell>
          <cell r="C583" t="str">
            <v>EA</v>
          </cell>
          <cell r="D583">
            <v>24</v>
          </cell>
          <cell r="E583">
            <v>11141</v>
          </cell>
        </row>
        <row r="584">
          <cell r="A584" t="str">
            <v>5940A-1</v>
          </cell>
          <cell r="B584" t="str">
            <v>5ML GLASS LOR METAL TP LL</v>
          </cell>
          <cell r="C584" t="str">
            <v>EA</v>
          </cell>
          <cell r="D584">
            <v>26</v>
          </cell>
          <cell r="E584">
            <v>1750</v>
          </cell>
        </row>
        <row r="585">
          <cell r="A585" t="str">
            <v>5950A-1</v>
          </cell>
          <cell r="B585" t="str">
            <v>10ML LOR L/L SYRINGE</v>
          </cell>
          <cell r="C585" t="str">
            <v>EA</v>
          </cell>
          <cell r="D585">
            <v>60</v>
          </cell>
          <cell r="E585">
            <v>36063</v>
          </cell>
        </row>
        <row r="586">
          <cell r="A586" t="str">
            <v>5950B-2</v>
          </cell>
          <cell r="B586" t="str">
            <v>10 ML/LOR/B/W/L/L/T-ENHAN</v>
          </cell>
          <cell r="C586" t="str">
            <v>EA</v>
          </cell>
          <cell r="D586">
            <v>64</v>
          </cell>
          <cell r="E586">
            <v>7000</v>
          </cell>
        </row>
        <row r="587">
          <cell r="A587" t="str">
            <v>5950D-2</v>
          </cell>
          <cell r="B587" t="str">
            <v>DISP BOX FOR 595/596</v>
          </cell>
          <cell r="C587" t="str">
            <v>EA</v>
          </cell>
          <cell r="D587" t="str">
            <v>MZ7</v>
          </cell>
          <cell r="E587">
            <v>275</v>
          </cell>
        </row>
        <row r="588">
          <cell r="A588" t="str">
            <v>5950G-1</v>
          </cell>
          <cell r="B588" t="str">
            <v>LUBRICATD BARREL ASSM L/L</v>
          </cell>
          <cell r="C588" t="str">
            <v>EA</v>
          </cell>
        </row>
        <row r="589">
          <cell r="A589" t="str">
            <v>5950P</v>
          </cell>
          <cell r="B589" t="str">
            <v>PLUNGER FOR 10ml SYRINGE</v>
          </cell>
          <cell r="C589" t="str">
            <v>EA</v>
          </cell>
          <cell r="D589">
            <v>62</v>
          </cell>
          <cell r="E589">
            <v>4500</v>
          </cell>
        </row>
        <row r="590">
          <cell r="A590" t="str">
            <v>5950S-2</v>
          </cell>
          <cell r="B590" t="str">
            <v>SHIPPER CTN</v>
          </cell>
          <cell r="C590" t="str">
            <v>EA</v>
          </cell>
          <cell r="D590" t="str">
            <v>MZ3</v>
          </cell>
          <cell r="E590">
            <v>515</v>
          </cell>
        </row>
        <row r="591">
          <cell r="A591" t="str">
            <v>5950T</v>
          </cell>
          <cell r="B591" t="str">
            <v>PISTON 10ml LOR SYRINGE</v>
          </cell>
          <cell r="C591" t="str">
            <v>EA</v>
          </cell>
        </row>
        <row r="592">
          <cell r="A592" t="str">
            <v>5952A</v>
          </cell>
          <cell r="B592" t="str">
            <v>8281-55 MED SANTOPRENE</v>
          </cell>
          <cell r="C592" t="str">
            <v>LB</v>
          </cell>
          <cell r="D592">
            <v>145</v>
          </cell>
          <cell r="E592">
            <v>275</v>
          </cell>
        </row>
        <row r="593">
          <cell r="A593" t="str">
            <v>5960A-1</v>
          </cell>
          <cell r="B593" t="str">
            <v>10ML LOR L/S SYRINGE</v>
          </cell>
          <cell r="C593" t="str">
            <v>EA</v>
          </cell>
          <cell r="D593">
            <v>32</v>
          </cell>
          <cell r="E593">
            <v>32018</v>
          </cell>
        </row>
        <row r="594">
          <cell r="A594" t="str">
            <v>5960B-2</v>
          </cell>
          <cell r="B594" t="str">
            <v>10ML LOR B/W/L/S/TIP-ENH</v>
          </cell>
          <cell r="C594" t="str">
            <v>EA</v>
          </cell>
        </row>
        <row r="595">
          <cell r="A595" t="str">
            <v>5960G-1</v>
          </cell>
          <cell r="B595" t="str">
            <v>LUBRICATD BARREL ASSM L/S</v>
          </cell>
          <cell r="C595" t="str">
            <v>EA</v>
          </cell>
        </row>
        <row r="596">
          <cell r="A596" t="str">
            <v>5980A</v>
          </cell>
          <cell r="B596" t="str">
            <v>SAF-T-CUBE</v>
          </cell>
          <cell r="C596" t="str">
            <v>EA</v>
          </cell>
          <cell r="D596">
            <v>24</v>
          </cell>
          <cell r="E596">
            <v>141626</v>
          </cell>
        </row>
        <row r="597">
          <cell r="A597" t="str">
            <v>5985A</v>
          </cell>
          <cell r="B597" t="str">
            <v>22GX2"HUBERN/C/NEEDLE W/H</v>
          </cell>
          <cell r="C597" t="str">
            <v>EA</v>
          </cell>
        </row>
        <row r="598">
          <cell r="A598" t="str">
            <v>5985B</v>
          </cell>
          <cell r="B598" t="str">
            <v>3'ROUND P/TEMP/W/1/2"HOLE</v>
          </cell>
          <cell r="C598" t="str">
            <v>EA</v>
          </cell>
        </row>
        <row r="599">
          <cell r="A599" t="str">
            <v>6/667</v>
          </cell>
          <cell r="B599" t="str">
            <v>HM#1097 Glue</v>
          </cell>
          <cell r="C599" t="str">
            <v>LB</v>
          </cell>
          <cell r="D599">
            <v>62</v>
          </cell>
          <cell r="E599">
            <v>125</v>
          </cell>
        </row>
        <row r="600">
          <cell r="A600" t="str">
            <v>6/9324</v>
          </cell>
          <cell r="B600" t="str">
            <v>LOCTITE GRADE 4061</v>
          </cell>
          <cell r="C600" t="str">
            <v>GM</v>
          </cell>
        </row>
        <row r="601">
          <cell r="A601" t="str">
            <v>6020B</v>
          </cell>
          <cell r="B601" t="str">
            <v>26G X 1-1/2" NEEDLE</v>
          </cell>
          <cell r="C601" t="str">
            <v>EA</v>
          </cell>
          <cell r="D601" t="str">
            <v>N9</v>
          </cell>
          <cell r="E601">
            <v>962</v>
          </cell>
        </row>
        <row r="602">
          <cell r="A602" t="str">
            <v>6020C</v>
          </cell>
          <cell r="B602" t="str">
            <v>1.75X0.5 PRE/P/LABEL(3SH)</v>
          </cell>
          <cell r="C602" t="str">
            <v>EA</v>
          </cell>
        </row>
        <row r="603">
          <cell r="A603" t="str">
            <v>6020D</v>
          </cell>
          <cell r="B603" t="str">
            <v>1.75X0.5 PRE-PRINT/L/6/CD</v>
          </cell>
          <cell r="C603" t="str">
            <v>EA</v>
          </cell>
        </row>
        <row r="604">
          <cell r="A604" t="str">
            <v>6056A</v>
          </cell>
          <cell r="B604" t="str">
            <v>26"X30"B/SMS STER/FIELD</v>
          </cell>
          <cell r="C604" t="str">
            <v>EA</v>
          </cell>
          <cell r="D604">
            <v>69</v>
          </cell>
          <cell r="E604">
            <v>9645</v>
          </cell>
        </row>
        <row r="605">
          <cell r="A605" t="str">
            <v>6056B-1</v>
          </cell>
          <cell r="B605" t="str">
            <v>22X28 DRAPE/3X5FEN/4TABS</v>
          </cell>
          <cell r="C605" t="str">
            <v>EA</v>
          </cell>
          <cell r="D605">
            <v>25</v>
          </cell>
          <cell r="E605">
            <v>416</v>
          </cell>
        </row>
        <row r="606">
          <cell r="A606" t="str">
            <v>6056C-1</v>
          </cell>
          <cell r="B606" t="str">
            <v>MEDICATION LABELSHEET</v>
          </cell>
          <cell r="C606" t="str">
            <v>EA</v>
          </cell>
          <cell r="D606">
            <v>31</v>
          </cell>
          <cell r="E606">
            <v>469</v>
          </cell>
        </row>
        <row r="607">
          <cell r="A607" t="str">
            <v>6097A</v>
          </cell>
          <cell r="B607" t="str">
            <v>14"X 48"IMPERV/STOCKINETT</v>
          </cell>
          <cell r="C607" t="str">
            <v>EA</v>
          </cell>
        </row>
        <row r="608">
          <cell r="A608" t="str">
            <v>6100S-1</v>
          </cell>
          <cell r="B608" t="str">
            <v>UNPTD SHIPPER CTN</v>
          </cell>
          <cell r="C608" t="str">
            <v>EA</v>
          </cell>
          <cell r="D608" t="str">
            <v>MZ5</v>
          </cell>
          <cell r="E608">
            <v>475</v>
          </cell>
        </row>
        <row r="609">
          <cell r="A609" t="str">
            <v>6138D</v>
          </cell>
          <cell r="B609" t="str">
            <v>PICC LINE DRAPE</v>
          </cell>
          <cell r="C609" t="str">
            <v>EA</v>
          </cell>
        </row>
        <row r="610">
          <cell r="A610" t="str">
            <v>6154D</v>
          </cell>
          <cell r="B610" t="str">
            <v>Antimicrobial Wipes</v>
          </cell>
          <cell r="C610" t="str">
            <v>EA</v>
          </cell>
        </row>
        <row r="611">
          <cell r="A611" t="str">
            <v>6225A</v>
          </cell>
          <cell r="B611" t="str">
            <v>SOAP LABEL 1.75 X 0.5</v>
          </cell>
          <cell r="C611" t="str">
            <v>EA</v>
          </cell>
        </row>
        <row r="612">
          <cell r="A612" t="str">
            <v>6250B</v>
          </cell>
          <cell r="B612" t="str">
            <v>GUIDEWIRE BOWL</v>
          </cell>
          <cell r="C612" t="str">
            <v>EA</v>
          </cell>
        </row>
        <row r="613">
          <cell r="A613" t="str">
            <v>6280A</v>
          </cell>
          <cell r="B613" t="str">
            <v>SNARE-IT J-NEEDLE 11GX4"</v>
          </cell>
          <cell r="C613" t="str">
            <v>EA</v>
          </cell>
          <cell r="D613">
            <v>28</v>
          </cell>
          <cell r="E613">
            <v>1312</v>
          </cell>
        </row>
        <row r="614">
          <cell r="A614" t="str">
            <v>6280B</v>
          </cell>
          <cell r="B614" t="str">
            <v>SNARE-IT CANNULA FOR6280A</v>
          </cell>
          <cell r="C614" t="str">
            <v>EA</v>
          </cell>
          <cell r="D614">
            <v>32</v>
          </cell>
          <cell r="E614">
            <v>1313</v>
          </cell>
        </row>
        <row r="615">
          <cell r="A615" t="str">
            <v>6280C</v>
          </cell>
          <cell r="B615" t="str">
            <v>EXTRA CAP FOR 6280A</v>
          </cell>
          <cell r="C615" t="str">
            <v>EA</v>
          </cell>
          <cell r="D615">
            <v>20</v>
          </cell>
          <cell r="E615">
            <v>1445</v>
          </cell>
        </row>
        <row r="616">
          <cell r="A616" t="str">
            <v>6280D</v>
          </cell>
          <cell r="B616" t="str">
            <v>VERIFICAT/EJECTOR ROD/W/G</v>
          </cell>
          <cell r="C616" t="str">
            <v>EA</v>
          </cell>
          <cell r="D616">
            <v>27</v>
          </cell>
          <cell r="E616">
            <v>1378</v>
          </cell>
        </row>
        <row r="617">
          <cell r="A617" t="str">
            <v>6280ISREVA</v>
          </cell>
          <cell r="B617" t="str">
            <v>INSTRUCTION SHEET 6280</v>
          </cell>
          <cell r="C617" t="str">
            <v>EA</v>
          </cell>
        </row>
        <row r="618">
          <cell r="A618" t="str">
            <v>6300S</v>
          </cell>
          <cell r="B618" t="str">
            <v>UNPRINTED SHIPPER CARTON</v>
          </cell>
          <cell r="C618" t="str">
            <v>EA</v>
          </cell>
          <cell r="D618" t="str">
            <v>MZ6</v>
          </cell>
          <cell r="E618">
            <v>893</v>
          </cell>
        </row>
        <row r="619">
          <cell r="A619" t="str">
            <v>6307A</v>
          </cell>
          <cell r="B619" t="str">
            <v>LATEX P/WALLET GLOVE S/8</v>
          </cell>
          <cell r="C619" t="str">
            <v>PR</v>
          </cell>
        </row>
        <row r="620">
          <cell r="A620" t="str">
            <v>6311S</v>
          </cell>
          <cell r="B620" t="str">
            <v>UNPRINTED SHIPPER CTN</v>
          </cell>
          <cell r="C620" t="str">
            <v>EA</v>
          </cell>
          <cell r="D620" t="str">
            <v>MZ6</v>
          </cell>
          <cell r="E620">
            <v>1167</v>
          </cell>
        </row>
        <row r="621">
          <cell r="A621" t="str">
            <v>6320A</v>
          </cell>
          <cell r="B621" t="str">
            <v>I-STYLE NEEDLE W/T-HANDLE</v>
          </cell>
          <cell r="C621" t="str">
            <v>EA</v>
          </cell>
          <cell r="D621">
            <v>32</v>
          </cell>
          <cell r="E621">
            <v>1140</v>
          </cell>
        </row>
        <row r="622">
          <cell r="A622" t="str">
            <v>6320C</v>
          </cell>
          <cell r="B622" t="str">
            <v>EXTRA CAP 6320A</v>
          </cell>
          <cell r="C622" t="str">
            <v>EA</v>
          </cell>
          <cell r="D622">
            <v>24</v>
          </cell>
          <cell r="E622">
            <v>1198</v>
          </cell>
        </row>
        <row r="623">
          <cell r="A623" t="str">
            <v>6335A</v>
          </cell>
          <cell r="B623" t="str">
            <v>12"SM/Bore w/rot m/f /l/l</v>
          </cell>
          <cell r="C623" t="str">
            <v>EA</v>
          </cell>
          <cell r="D623">
            <v>27</v>
          </cell>
          <cell r="E623">
            <v>911</v>
          </cell>
        </row>
        <row r="624">
          <cell r="A624" t="str">
            <v>6335B</v>
          </cell>
          <cell r="B624" t="str">
            <v>22GX11/2" N/C/HUBER/N/STR</v>
          </cell>
          <cell r="C624" t="str">
            <v>EA</v>
          </cell>
          <cell r="D624" t="str">
            <v>N2</v>
          </cell>
          <cell r="E624">
            <v>1959</v>
          </cell>
        </row>
        <row r="625">
          <cell r="A625" t="str">
            <v>6335B</v>
          </cell>
          <cell r="B625" t="str">
            <v>22GX11/2" N/C/HUBER/N/STR</v>
          </cell>
          <cell r="C625" t="str">
            <v>EA</v>
          </cell>
          <cell r="D625" t="str">
            <v>N3</v>
          </cell>
          <cell r="E625">
            <v>32</v>
          </cell>
        </row>
        <row r="626">
          <cell r="A626" t="str">
            <v>6340C</v>
          </cell>
          <cell r="B626" t="str">
            <v>21" X 36" N/S CLR DRAPE</v>
          </cell>
          <cell r="C626" t="str">
            <v>EA</v>
          </cell>
          <cell r="D626">
            <v>61</v>
          </cell>
          <cell r="E626">
            <v>1151</v>
          </cell>
        </row>
        <row r="627">
          <cell r="A627" t="str">
            <v>6340S</v>
          </cell>
          <cell r="B627" t="str">
            <v>Unprinted Ctn</v>
          </cell>
          <cell r="C627" t="str">
            <v>EA</v>
          </cell>
          <cell r="D627" t="str">
            <v>MZ6</v>
          </cell>
          <cell r="E627">
            <v>1038</v>
          </cell>
        </row>
        <row r="628">
          <cell r="A628" t="str">
            <v>6341</v>
          </cell>
          <cell r="B628" t="str">
            <v>3"SCRIM REINFORCED MATL</v>
          </cell>
          <cell r="C628" t="str">
            <v>SY</v>
          </cell>
          <cell r="D628" t="str">
            <v>J</v>
          </cell>
          <cell r="E628">
            <v>16137</v>
          </cell>
        </row>
        <row r="629">
          <cell r="A629" t="str">
            <v>6341A-1</v>
          </cell>
          <cell r="B629" t="str">
            <v>62.0" BLUE SRM FOR 6340</v>
          </cell>
          <cell r="C629" t="str">
            <v>SY</v>
          </cell>
        </row>
        <row r="630">
          <cell r="A630" t="str">
            <v>6342-1</v>
          </cell>
          <cell r="B630" t="str">
            <v>.0025 Clr POLY,21"WIDE</v>
          </cell>
          <cell r="C630" t="str">
            <v>LB</v>
          </cell>
          <cell r="D630" t="str">
            <v>J</v>
          </cell>
          <cell r="E630">
            <v>2211</v>
          </cell>
        </row>
        <row r="631">
          <cell r="A631" t="str">
            <v>6386A</v>
          </cell>
          <cell r="B631" t="str">
            <v>25Gx3 1/2" Quincke S/Need</v>
          </cell>
          <cell r="C631" t="str">
            <v>EA</v>
          </cell>
          <cell r="D631" t="str">
            <v>N3</v>
          </cell>
          <cell r="E631">
            <v>350</v>
          </cell>
        </row>
        <row r="632">
          <cell r="A632" t="str">
            <v>6400B</v>
          </cell>
          <cell r="B632" t="str">
            <v>BLUE ONE COMPARTMENT TRAY</v>
          </cell>
          <cell r="C632" t="str">
            <v>EA</v>
          </cell>
          <cell r="D632">
            <v>25</v>
          </cell>
          <cell r="E632">
            <v>27</v>
          </cell>
        </row>
        <row r="633">
          <cell r="A633" t="str">
            <v>6402A</v>
          </cell>
          <cell r="B633" t="str">
            <v>22GX11/2"HUBER NDLE/S/M/H</v>
          </cell>
          <cell r="C633" t="str">
            <v>EA</v>
          </cell>
          <cell r="D633" t="str">
            <v>N3</v>
          </cell>
          <cell r="E633">
            <v>425</v>
          </cell>
        </row>
        <row r="634">
          <cell r="A634" t="str">
            <v>6417A-1</v>
          </cell>
          <cell r="B634" t="str">
            <v>I-STYLE NEEDLE 15GX50MM</v>
          </cell>
          <cell r="C634" t="str">
            <v>EA</v>
          </cell>
          <cell r="D634">
            <v>32</v>
          </cell>
          <cell r="E634">
            <v>2000</v>
          </cell>
        </row>
        <row r="635">
          <cell r="A635" t="str">
            <v>6440DB</v>
          </cell>
          <cell r="B635" t="str">
            <v>DISP BOXES</v>
          </cell>
          <cell r="C635" t="str">
            <v>EA</v>
          </cell>
        </row>
        <row r="636">
          <cell r="A636" t="str">
            <v>6440TS</v>
          </cell>
          <cell r="B636" t="str">
            <v>TRANSLATION INSERT/644</v>
          </cell>
          <cell r="C636" t="str">
            <v>EA</v>
          </cell>
        </row>
        <row r="637">
          <cell r="A637" t="str">
            <v>6450A-1</v>
          </cell>
          <cell r="B637" t="str">
            <v>21GX2.5" QUINCKE NEEDLE</v>
          </cell>
          <cell r="C637" t="str">
            <v>EA</v>
          </cell>
          <cell r="D637" t="str">
            <v>N6</v>
          </cell>
          <cell r="E637">
            <v>5033</v>
          </cell>
        </row>
        <row r="638">
          <cell r="A638" t="str">
            <v>6450B-1</v>
          </cell>
          <cell r="B638" t="str">
            <v>BUSSE 24MIL LUMBAR TRAY</v>
          </cell>
          <cell r="C638" t="str">
            <v>EA</v>
          </cell>
          <cell r="D638">
            <v>35</v>
          </cell>
          <cell r="E638">
            <v>10957</v>
          </cell>
        </row>
        <row r="639">
          <cell r="A639" t="str">
            <v>6450E</v>
          </cell>
          <cell r="B639" t="str">
            <v>13" X 13" 1PP1 W/TAPE/FEN</v>
          </cell>
          <cell r="C639" t="str">
            <v>EA</v>
          </cell>
          <cell r="D639">
            <v>20</v>
          </cell>
          <cell r="E639">
            <v>13505</v>
          </cell>
        </row>
        <row r="640">
          <cell r="A640" t="str">
            <v>6450E-1</v>
          </cell>
          <cell r="B640" t="str">
            <v>18X16 WHITE DRAPE FEN ADH</v>
          </cell>
          <cell r="C640" t="str">
            <v>EA</v>
          </cell>
        </row>
        <row r="641">
          <cell r="A641" t="str">
            <v>6450P</v>
          </cell>
          <cell r="B641" t="str">
            <v>LARGE MANOMETER T/PRINTED</v>
          </cell>
          <cell r="C641" t="str">
            <v>EA</v>
          </cell>
          <cell r="D641">
            <v>56</v>
          </cell>
          <cell r="E641">
            <v>16310</v>
          </cell>
        </row>
        <row r="642">
          <cell r="A642" t="str">
            <v>6450P</v>
          </cell>
          <cell r="B642" t="str">
            <v>LARGE MANOMETER T/PRINTED</v>
          </cell>
          <cell r="C642" t="str">
            <v>EA</v>
          </cell>
          <cell r="D642" t="str">
            <v>149PKG</v>
          </cell>
          <cell r="E642">
            <v>3215</v>
          </cell>
        </row>
        <row r="643">
          <cell r="A643" t="str">
            <v>6450PC</v>
          </cell>
          <cell r="B643" t="str">
            <v>LARGE MAMOMETER T/W/CONN</v>
          </cell>
          <cell r="C643" t="str">
            <v>EA</v>
          </cell>
        </row>
        <row r="644">
          <cell r="A644" t="str">
            <v>6450T</v>
          </cell>
          <cell r="B644" t="str">
            <v>LG/MANOMETER T/TAPE/W/O/F</v>
          </cell>
          <cell r="C644" t="str">
            <v>EA</v>
          </cell>
        </row>
        <row r="645">
          <cell r="A645" t="str">
            <v>6450TB</v>
          </cell>
          <cell r="B645" t="str">
            <v>LARGE MANOMETER T/BEVELED</v>
          </cell>
          <cell r="C645" t="str">
            <v>EA</v>
          </cell>
        </row>
        <row r="646">
          <cell r="A646" t="str">
            <v>6450TS-2</v>
          </cell>
          <cell r="B646" t="str">
            <v>TRANSLATION INSERT</v>
          </cell>
          <cell r="C646" t="str">
            <v>EA</v>
          </cell>
        </row>
        <row r="647">
          <cell r="A647" t="str">
            <v>6452C</v>
          </cell>
          <cell r="B647" t="str">
            <v>14.30" TUBE FOR MANOMETER</v>
          </cell>
          <cell r="C647" t="str">
            <v>EA</v>
          </cell>
          <cell r="D647">
            <v>144</v>
          </cell>
          <cell r="E647">
            <v>199187</v>
          </cell>
        </row>
        <row r="648">
          <cell r="A648" t="str">
            <v>6455A-1</v>
          </cell>
          <cell r="B648" t="str">
            <v>#5 10ML CLEAR VIAL PE CAP</v>
          </cell>
          <cell r="C648" t="str">
            <v>EA</v>
          </cell>
          <cell r="D648">
            <v>25</v>
          </cell>
          <cell r="E648">
            <v>6965</v>
          </cell>
        </row>
        <row r="649">
          <cell r="A649" t="str">
            <v>6460B</v>
          </cell>
          <cell r="B649" t="str">
            <v>30X30 POLYBCKD CSR</v>
          </cell>
          <cell r="C649" t="str">
            <v>EA</v>
          </cell>
          <cell r="D649">
            <v>28</v>
          </cell>
          <cell r="E649">
            <v>956</v>
          </cell>
        </row>
        <row r="650">
          <cell r="A650" t="str">
            <v>6480B-1</v>
          </cell>
          <cell r="B650" t="str">
            <v>3-WAY STOPCOCK</v>
          </cell>
          <cell r="C650" t="str">
            <v>EA</v>
          </cell>
          <cell r="D650">
            <v>19</v>
          </cell>
          <cell r="E650">
            <v>16052</v>
          </cell>
        </row>
        <row r="651">
          <cell r="A651" t="str">
            <v>6480C</v>
          </cell>
          <cell r="B651" t="str">
            <v>17.5"X27" 1PP1 W/TAPE/FEN</v>
          </cell>
          <cell r="C651" t="str">
            <v>EA</v>
          </cell>
          <cell r="D651">
            <v>24</v>
          </cell>
          <cell r="E651">
            <v>390</v>
          </cell>
        </row>
        <row r="652">
          <cell r="A652" t="str">
            <v>6480C-1</v>
          </cell>
          <cell r="B652" t="str">
            <v>24X18 BLUE TPT 4"FEN STRP</v>
          </cell>
          <cell r="C652" t="str">
            <v>EA</v>
          </cell>
          <cell r="D652">
            <v>67</v>
          </cell>
          <cell r="E652">
            <v>49103</v>
          </cell>
        </row>
        <row r="653">
          <cell r="A653" t="str">
            <v>6480D</v>
          </cell>
          <cell r="B653" t="str">
            <v>2ml LdocaineAmp HSPIRA RX</v>
          </cell>
          <cell r="C653" t="str">
            <v>EA</v>
          </cell>
          <cell r="D653" t="str">
            <v>DRUGS</v>
          </cell>
          <cell r="E653">
            <v>985</v>
          </cell>
        </row>
        <row r="654">
          <cell r="A654" t="str">
            <v>6480E-1</v>
          </cell>
          <cell r="B654" t="str">
            <v>6"STANDRD BORE EXT SET</v>
          </cell>
          <cell r="C654" t="str">
            <v>EA</v>
          </cell>
          <cell r="D654">
            <v>31</v>
          </cell>
          <cell r="E654">
            <v>36128</v>
          </cell>
        </row>
        <row r="655">
          <cell r="A655" t="str">
            <v>6480H</v>
          </cell>
          <cell r="B655" t="str">
            <v>5ML 1% LIDOCAINE AMP/RX</v>
          </cell>
          <cell r="C655" t="str">
            <v>EA</v>
          </cell>
          <cell r="D655" t="str">
            <v>DRUGS</v>
          </cell>
          <cell r="E655">
            <v>17594</v>
          </cell>
        </row>
        <row r="656">
          <cell r="A656" t="str">
            <v>6480I</v>
          </cell>
          <cell r="B656" t="str">
            <v>INSTRUCTION FOR USE/6480H</v>
          </cell>
          <cell r="C656" t="str">
            <v>EA</v>
          </cell>
          <cell r="D656">
            <v>6</v>
          </cell>
          <cell r="E656">
            <v>13097</v>
          </cell>
        </row>
        <row r="657">
          <cell r="A657" t="str">
            <v>6482C</v>
          </cell>
          <cell r="B657" t="str">
            <v>7.925" TUBE FOR MANOMETER</v>
          </cell>
          <cell r="C657" t="str">
            <v>EA</v>
          </cell>
          <cell r="D657">
            <v>144</v>
          </cell>
          <cell r="E657">
            <v>149987</v>
          </cell>
        </row>
        <row r="658">
          <cell r="A658" t="str">
            <v>6483P</v>
          </cell>
          <cell r="B658" t="str">
            <v>SMALL MANOMETER T/PRINTED</v>
          </cell>
          <cell r="C658" t="str">
            <v>EA</v>
          </cell>
          <cell r="D658">
            <v>58</v>
          </cell>
          <cell r="E658">
            <v>395</v>
          </cell>
        </row>
        <row r="659">
          <cell r="A659" t="str">
            <v>6483PC</v>
          </cell>
          <cell r="B659" t="str">
            <v>SMALL MANOMETER T/W/CONN</v>
          </cell>
          <cell r="C659" t="str">
            <v>EA</v>
          </cell>
          <cell r="D659">
            <v>63</v>
          </cell>
          <cell r="E659">
            <v>19687</v>
          </cell>
        </row>
        <row r="660">
          <cell r="A660" t="str">
            <v>6483PC</v>
          </cell>
          <cell r="B660" t="str">
            <v>SMALL MANOMETER T/W/CONN</v>
          </cell>
          <cell r="C660" t="str">
            <v>EA</v>
          </cell>
          <cell r="D660" t="str">
            <v>149PKG</v>
          </cell>
          <cell r="E660">
            <v>10250</v>
          </cell>
        </row>
        <row r="661">
          <cell r="A661" t="str">
            <v>6490C-1</v>
          </cell>
          <cell r="B661" t="str">
            <v>28" X 28" wrap</v>
          </cell>
          <cell r="C661" t="str">
            <v>EA</v>
          </cell>
          <cell r="D661">
            <v>7</v>
          </cell>
          <cell r="E661">
            <v>3626</v>
          </cell>
        </row>
        <row r="662">
          <cell r="A662" t="str">
            <v>6500A-2</v>
          </cell>
          <cell r="B662" t="str">
            <v>BUSSEAMNIO/ARTHRO24MILTRY</v>
          </cell>
          <cell r="C662" t="str">
            <v>EA</v>
          </cell>
          <cell r="D662">
            <v>35</v>
          </cell>
          <cell r="E662">
            <v>4109</v>
          </cell>
        </row>
        <row r="663">
          <cell r="A663" t="str">
            <v>6500G-4</v>
          </cell>
          <cell r="B663" t="str">
            <v>ANGLED SPONGE STICK/BLUE</v>
          </cell>
          <cell r="C663" t="str">
            <v>EA</v>
          </cell>
          <cell r="D663">
            <v>2</v>
          </cell>
          <cell r="E663">
            <v>109012</v>
          </cell>
        </row>
        <row r="664">
          <cell r="A664" t="str">
            <v>6500G-4</v>
          </cell>
          <cell r="B664" t="str">
            <v>ANGLED SPONGE STICK/BLUE</v>
          </cell>
          <cell r="C664" t="str">
            <v>EA</v>
          </cell>
          <cell r="D664">
            <v>4</v>
          </cell>
          <cell r="E664">
            <v>105853</v>
          </cell>
        </row>
        <row r="665">
          <cell r="A665" t="str">
            <v>6500G-4</v>
          </cell>
          <cell r="B665" t="str">
            <v>ANGLED SPONGE STICK/BLUE</v>
          </cell>
          <cell r="C665" t="str">
            <v>EA</v>
          </cell>
          <cell r="D665">
            <v>5</v>
          </cell>
          <cell r="E665">
            <v>56000</v>
          </cell>
        </row>
        <row r="666">
          <cell r="A666" t="str">
            <v>6500G-4</v>
          </cell>
          <cell r="B666" t="str">
            <v>ANGLED SPONGE STICK/BLUE</v>
          </cell>
          <cell r="C666" t="str">
            <v>EA</v>
          </cell>
          <cell r="D666">
            <v>3</v>
          </cell>
          <cell r="E666">
            <v>-36089</v>
          </cell>
        </row>
        <row r="667">
          <cell r="A667" t="str">
            <v>6501A-2</v>
          </cell>
          <cell r="B667" t="str">
            <v>#1 AMBER VIAL W/PP CAP</v>
          </cell>
          <cell r="C667" t="str">
            <v>EA</v>
          </cell>
        </row>
        <row r="668">
          <cell r="A668" t="str">
            <v>6501A-3</v>
          </cell>
          <cell r="B668" t="str">
            <v>#1 AMBER VIAL W/PE CAP</v>
          </cell>
          <cell r="C668" t="str">
            <v>EA</v>
          </cell>
          <cell r="D668">
            <v>60</v>
          </cell>
          <cell r="E668">
            <v>5440</v>
          </cell>
        </row>
        <row r="669">
          <cell r="A669" t="str">
            <v>6502A-3</v>
          </cell>
          <cell r="B669" t="str">
            <v>#2 AMBER VIAL W/ PE CAP</v>
          </cell>
          <cell r="C669" t="str">
            <v>EA</v>
          </cell>
          <cell r="D669">
            <v>18</v>
          </cell>
          <cell r="E669">
            <v>3926</v>
          </cell>
        </row>
        <row r="670">
          <cell r="A670" t="str">
            <v>6502A-3</v>
          </cell>
          <cell r="B670" t="str">
            <v>#2 AMBER VIAL W/ PE CAP</v>
          </cell>
          <cell r="C670" t="str">
            <v>EA</v>
          </cell>
          <cell r="D670" t="str">
            <v>149PKG</v>
          </cell>
          <cell r="E670">
            <v>695</v>
          </cell>
        </row>
        <row r="671">
          <cell r="A671" t="str">
            <v>6503A-3</v>
          </cell>
          <cell r="B671" t="str">
            <v>#3 AMBER VIAL W/PE CAP</v>
          </cell>
          <cell r="C671" t="str">
            <v>EA</v>
          </cell>
          <cell r="D671">
            <v>60</v>
          </cell>
          <cell r="E671">
            <v>14910</v>
          </cell>
        </row>
        <row r="672">
          <cell r="A672" t="str">
            <v>6510A-1</v>
          </cell>
          <cell r="B672" t="str">
            <v>BUSSE 24MIL BASIC BIOPTRY</v>
          </cell>
          <cell r="C672" t="str">
            <v>EA</v>
          </cell>
          <cell r="D672">
            <v>35</v>
          </cell>
          <cell r="E672">
            <v>2092</v>
          </cell>
        </row>
        <row r="673">
          <cell r="A673" t="str">
            <v>6510D</v>
          </cell>
          <cell r="B673" t="str">
            <v>6" RULER</v>
          </cell>
          <cell r="C673" t="str">
            <v>EA</v>
          </cell>
          <cell r="D673">
            <v>30</v>
          </cell>
          <cell r="E673">
            <v>6452</v>
          </cell>
        </row>
        <row r="674">
          <cell r="A674" t="str">
            <v>6510E</v>
          </cell>
          <cell r="B674" t="str">
            <v>22 GAUGE X 1 1/2" NEEDLE</v>
          </cell>
          <cell r="C674" t="str">
            <v>EA</v>
          </cell>
          <cell r="D674" t="str">
            <v>N8</v>
          </cell>
          <cell r="E674">
            <v>13079</v>
          </cell>
        </row>
        <row r="675">
          <cell r="A675" t="str">
            <v>6510FS</v>
          </cell>
          <cell r="B675" t="str">
            <v>2FS TYVEK UNCOATED 14"</v>
          </cell>
          <cell r="C675" t="str">
            <v>MI</v>
          </cell>
          <cell r="D675">
            <v>35</v>
          </cell>
          <cell r="E675">
            <v>6048</v>
          </cell>
        </row>
        <row r="676">
          <cell r="A676" t="str">
            <v>6510L</v>
          </cell>
          <cell r="B676" t="str">
            <v>PATIENT ID LABEL</v>
          </cell>
          <cell r="C676" t="str">
            <v>EA</v>
          </cell>
          <cell r="D676">
            <v>31</v>
          </cell>
          <cell r="E676">
            <v>112429</v>
          </cell>
        </row>
        <row r="677">
          <cell r="A677" t="str">
            <v>6510S</v>
          </cell>
          <cell r="B677" t="str">
            <v>UNPRINTED SHIPPER CTN</v>
          </cell>
          <cell r="C677" t="str">
            <v>EA</v>
          </cell>
          <cell r="D677" t="str">
            <v>MZ4</v>
          </cell>
          <cell r="E677">
            <v>1747</v>
          </cell>
        </row>
        <row r="678">
          <cell r="A678" t="str">
            <v>6510T</v>
          </cell>
          <cell r="B678" t="str">
            <v>UNCOTD TYVEK 1059B 14"W</v>
          </cell>
          <cell r="C678" t="str">
            <v>MI</v>
          </cell>
        </row>
        <row r="679">
          <cell r="A679" t="str">
            <v>6520A-1</v>
          </cell>
          <cell r="B679" t="str">
            <v>24MIL BONEMARROWTRAY/TOP</v>
          </cell>
          <cell r="C679" t="str">
            <v>EA</v>
          </cell>
          <cell r="D679">
            <v>35</v>
          </cell>
          <cell r="E679">
            <v>2400</v>
          </cell>
        </row>
        <row r="680">
          <cell r="A680" t="str">
            <v>6520B-1</v>
          </cell>
          <cell r="B680" t="str">
            <v>24MIL BoneMarrowTray/Botm</v>
          </cell>
          <cell r="C680" t="str">
            <v>EA</v>
          </cell>
          <cell r="D680">
            <v>35</v>
          </cell>
          <cell r="E680">
            <v>3509</v>
          </cell>
        </row>
        <row r="681">
          <cell r="A681" t="str">
            <v>6520C-1</v>
          </cell>
          <cell r="B681" t="str">
            <v>11GX100MM J-STYLE NEEDLE</v>
          </cell>
          <cell r="C681" t="str">
            <v>EA</v>
          </cell>
          <cell r="D681">
            <v>19</v>
          </cell>
          <cell r="E681">
            <v>5506</v>
          </cell>
        </row>
        <row r="682">
          <cell r="A682" t="str">
            <v>6520D-1</v>
          </cell>
          <cell r="B682" t="str">
            <v>I-STYLE NEEDLE 15GX45MM</v>
          </cell>
          <cell r="C682" t="str">
            <v>EA</v>
          </cell>
          <cell r="D682">
            <v>20</v>
          </cell>
          <cell r="E682">
            <v>2257</v>
          </cell>
        </row>
        <row r="683">
          <cell r="A683" t="str">
            <v>6520F-1</v>
          </cell>
          <cell r="B683" t="str">
            <v>STER SPECIMEN VIAL W/EDTA</v>
          </cell>
          <cell r="C683" t="str">
            <v>EA</v>
          </cell>
          <cell r="D683">
            <v>14</v>
          </cell>
          <cell r="E683">
            <v>126</v>
          </cell>
        </row>
        <row r="684">
          <cell r="A684" t="str">
            <v>6520G-1</v>
          </cell>
          <cell r="B684" t="str">
            <v>AMBER VIAL WITH SNAP CAP</v>
          </cell>
          <cell r="C684" t="str">
            <v>EA</v>
          </cell>
          <cell r="D684">
            <v>29</v>
          </cell>
          <cell r="E684">
            <v>509</v>
          </cell>
        </row>
        <row r="685">
          <cell r="A685" t="str">
            <v>6520H</v>
          </cell>
          <cell r="B685" t="str">
            <v>STIRRING ROD</v>
          </cell>
          <cell r="C685" t="str">
            <v>EA</v>
          </cell>
          <cell r="D685">
            <v>24</v>
          </cell>
          <cell r="E685">
            <v>146</v>
          </cell>
        </row>
        <row r="686">
          <cell r="A686" t="str">
            <v>6520J</v>
          </cell>
          <cell r="B686" t="str">
            <v>FEMALE LUER LOCK ADAPTOR</v>
          </cell>
          <cell r="C686" t="str">
            <v>EA</v>
          </cell>
          <cell r="D686">
            <v>24</v>
          </cell>
          <cell r="E686">
            <v>4343</v>
          </cell>
        </row>
        <row r="687">
          <cell r="A687" t="str">
            <v>6520S</v>
          </cell>
          <cell r="B687" t="str">
            <v>UNPRINTED SHIPPER CARTON</v>
          </cell>
          <cell r="C687" t="str">
            <v>EA</v>
          </cell>
          <cell r="D687" t="str">
            <v>MZ2</v>
          </cell>
          <cell r="E687">
            <v>57</v>
          </cell>
        </row>
        <row r="688">
          <cell r="A688" t="str">
            <v>6530C</v>
          </cell>
          <cell r="B688" t="str">
            <v>21 GAUGE X 1 1/2" NEEDLE</v>
          </cell>
          <cell r="C688" t="str">
            <v>EA</v>
          </cell>
          <cell r="D688" t="str">
            <v>N7</v>
          </cell>
          <cell r="E688">
            <v>4038</v>
          </cell>
        </row>
        <row r="689">
          <cell r="A689" t="str">
            <v>6530E</v>
          </cell>
          <cell r="B689" t="str">
            <v>MINI SCALPEL W#11/B/S/TIP</v>
          </cell>
          <cell r="C689" t="str">
            <v>EA</v>
          </cell>
          <cell r="D689">
            <v>24</v>
          </cell>
          <cell r="E689">
            <v>-28</v>
          </cell>
        </row>
        <row r="690">
          <cell r="A690" t="str">
            <v>6531A-3</v>
          </cell>
          <cell r="B690" t="str">
            <v>#1 10ML CLEAR VIAL PE CAP</v>
          </cell>
          <cell r="C690" t="str">
            <v>EA</v>
          </cell>
          <cell r="D690">
            <v>46</v>
          </cell>
          <cell r="E690">
            <v>169558</v>
          </cell>
        </row>
        <row r="691">
          <cell r="A691" t="str">
            <v>6531A-3</v>
          </cell>
          <cell r="B691" t="str">
            <v>#1 10ML CLEAR VIAL PE CAP</v>
          </cell>
          <cell r="C691" t="str">
            <v>EA</v>
          </cell>
          <cell r="D691" t="str">
            <v>LIS</v>
          </cell>
          <cell r="E691">
            <v>144974</v>
          </cell>
        </row>
        <row r="692">
          <cell r="A692" t="str">
            <v>6531A-3</v>
          </cell>
          <cell r="B692" t="str">
            <v>#1 10ML CLEAR VIAL PE CAP</v>
          </cell>
          <cell r="C692" t="str">
            <v>EA</v>
          </cell>
          <cell r="D692" t="str">
            <v>149PKG</v>
          </cell>
          <cell r="E692">
            <v>12</v>
          </cell>
        </row>
        <row r="693">
          <cell r="A693" t="str">
            <v>6532A-3</v>
          </cell>
          <cell r="B693" t="str">
            <v>#2 10ML CLEAR VIAL PE CAP</v>
          </cell>
          <cell r="C693" t="str">
            <v>EA</v>
          </cell>
          <cell r="D693" t="str">
            <v>LIS</v>
          </cell>
          <cell r="E693">
            <v>224974</v>
          </cell>
        </row>
        <row r="694">
          <cell r="A694" t="str">
            <v>6532A-3</v>
          </cell>
          <cell r="B694" t="str">
            <v>#2 10ML CLEAR VIAL PE CAP</v>
          </cell>
          <cell r="C694" t="str">
            <v>EA</v>
          </cell>
          <cell r="D694">
            <v>44</v>
          </cell>
          <cell r="E694">
            <v>107142</v>
          </cell>
        </row>
        <row r="695">
          <cell r="A695" t="str">
            <v>6533A-3</v>
          </cell>
          <cell r="B695" t="str">
            <v>#3 10ML CLEAR VIAL PE CAP</v>
          </cell>
          <cell r="C695" t="str">
            <v>EA</v>
          </cell>
          <cell r="D695">
            <v>45</v>
          </cell>
          <cell r="E695">
            <v>153231</v>
          </cell>
        </row>
        <row r="696">
          <cell r="A696" t="str">
            <v>6533A-3</v>
          </cell>
          <cell r="B696" t="str">
            <v>#3 10ML CLEAR VIAL PE CAP</v>
          </cell>
          <cell r="C696" t="str">
            <v>EA</v>
          </cell>
          <cell r="D696" t="str">
            <v>LIS</v>
          </cell>
          <cell r="E696">
            <v>54974</v>
          </cell>
        </row>
        <row r="697">
          <cell r="A697" t="str">
            <v>6533A-3</v>
          </cell>
          <cell r="B697" t="str">
            <v>#3 10ML CLEAR VIAL PE CAP</v>
          </cell>
          <cell r="C697" t="str">
            <v>EA</v>
          </cell>
          <cell r="D697" t="str">
            <v>149PKG</v>
          </cell>
          <cell r="E697">
            <v>500</v>
          </cell>
        </row>
        <row r="698">
          <cell r="A698" t="str">
            <v>6534A-3</v>
          </cell>
          <cell r="B698" t="str">
            <v>#4 10ML CLEAR VIAL PE CAP</v>
          </cell>
          <cell r="C698" t="str">
            <v>EA</v>
          </cell>
          <cell r="D698">
            <v>47</v>
          </cell>
          <cell r="E698">
            <v>151171</v>
          </cell>
        </row>
        <row r="699">
          <cell r="A699" t="str">
            <v>6534A-3</v>
          </cell>
          <cell r="B699" t="str">
            <v>#4 10ML CLEAR VIAL PE CAP</v>
          </cell>
          <cell r="C699" t="str">
            <v>EA</v>
          </cell>
          <cell r="D699" t="str">
            <v>149PKG</v>
          </cell>
          <cell r="E699">
            <v>250</v>
          </cell>
        </row>
        <row r="700">
          <cell r="A700" t="str">
            <v>6540C-1</v>
          </cell>
          <cell r="B700" t="str">
            <v>EXTRA CAP</v>
          </cell>
          <cell r="C700" t="str">
            <v>EA</v>
          </cell>
          <cell r="D700">
            <v>26</v>
          </cell>
          <cell r="E700">
            <v>5494</v>
          </cell>
        </row>
        <row r="701">
          <cell r="A701" t="str">
            <v>6540F</v>
          </cell>
          <cell r="B701" t="str">
            <v>VERIFICATION/EXTRACTOR</v>
          </cell>
          <cell r="C701" t="str">
            <v>EA</v>
          </cell>
          <cell r="D701">
            <v>23</v>
          </cell>
          <cell r="E701">
            <v>5480</v>
          </cell>
        </row>
        <row r="702">
          <cell r="A702" t="str">
            <v>6540G</v>
          </cell>
          <cell r="B702" t="str">
            <v>SAFETY GUIDE</v>
          </cell>
          <cell r="C702" t="str">
            <v>EA</v>
          </cell>
          <cell r="D702">
            <v>27</v>
          </cell>
          <cell r="E702">
            <v>6179</v>
          </cell>
        </row>
        <row r="703">
          <cell r="A703" t="str">
            <v>6540H</v>
          </cell>
          <cell r="B703" t="str">
            <v>MALE L/L CLOSED CAP</v>
          </cell>
          <cell r="C703" t="str">
            <v>EA</v>
          </cell>
          <cell r="D703">
            <v>30</v>
          </cell>
          <cell r="E703">
            <v>9228</v>
          </cell>
        </row>
        <row r="704">
          <cell r="A704" t="str">
            <v>6560A-2</v>
          </cell>
          <cell r="B704" t="str">
            <v>20"STD EXTSET M L/S F L/L</v>
          </cell>
          <cell r="C704" t="str">
            <v>EA</v>
          </cell>
          <cell r="D704">
            <v>18</v>
          </cell>
          <cell r="E704">
            <v>14717</v>
          </cell>
        </row>
        <row r="705">
          <cell r="A705" t="str">
            <v>6588A</v>
          </cell>
          <cell r="B705" t="str">
            <v>36"SM BORE SET W/M&amp;F L/L</v>
          </cell>
          <cell r="C705" t="str">
            <v>EA</v>
          </cell>
          <cell r="D705">
            <v>26</v>
          </cell>
          <cell r="E705">
            <v>2585</v>
          </cell>
        </row>
        <row r="706">
          <cell r="A706" t="str">
            <v>6600B</v>
          </cell>
          <cell r="B706" t="str">
            <v>.5MIL PE FILM ,23.5"WIDE</v>
          </cell>
          <cell r="C706" t="str">
            <v>LB</v>
          </cell>
          <cell r="D706" t="str">
            <v>J</v>
          </cell>
          <cell r="E706">
            <v>134</v>
          </cell>
        </row>
        <row r="707">
          <cell r="A707" t="str">
            <v>6600C</v>
          </cell>
          <cell r="B707" t="str">
            <v>24X36 WHITEDRAPE4"FENPTCH</v>
          </cell>
          <cell r="C707" t="str">
            <v>EA</v>
          </cell>
          <cell r="D707">
            <v>57</v>
          </cell>
          <cell r="E707">
            <v>14067</v>
          </cell>
        </row>
        <row r="708">
          <cell r="A708" t="str">
            <v>6600CR</v>
          </cell>
          <cell r="B708" t="str">
            <v>24x36" DRAPE-NOT FOR ARP</v>
          </cell>
          <cell r="C708" t="str">
            <v>EA</v>
          </cell>
          <cell r="D708">
            <v>63</v>
          </cell>
          <cell r="E708">
            <v>4555</v>
          </cell>
        </row>
        <row r="709">
          <cell r="A709" t="str">
            <v>6605A</v>
          </cell>
          <cell r="B709" t="str">
            <v>17.5#WHITEVIRGINTISSUE24"</v>
          </cell>
          <cell r="C709" t="str">
            <v>LB</v>
          </cell>
          <cell r="D709" t="str">
            <v>J</v>
          </cell>
          <cell r="E709">
            <v>4526</v>
          </cell>
        </row>
        <row r="710">
          <cell r="A710" t="str">
            <v>6610A-1</v>
          </cell>
          <cell r="B710" t="str">
            <v>18# BLUE TISSUE 24"WIDE</v>
          </cell>
          <cell r="C710" t="str">
            <v>LB</v>
          </cell>
          <cell r="D710" t="str">
            <v>J</v>
          </cell>
          <cell r="E710">
            <v>4395</v>
          </cell>
        </row>
        <row r="711">
          <cell r="A711" t="str">
            <v>6640C</v>
          </cell>
          <cell r="B711" t="str">
            <v>24X18 BLUE DRAPE</v>
          </cell>
          <cell r="C711" t="str">
            <v>EA</v>
          </cell>
          <cell r="D711">
            <v>60</v>
          </cell>
          <cell r="E711">
            <v>1161</v>
          </cell>
        </row>
        <row r="712">
          <cell r="A712" t="str">
            <v>6669</v>
          </cell>
          <cell r="B712" t="str">
            <v>Unprinted Carton</v>
          </cell>
          <cell r="C712" t="str">
            <v>EA</v>
          </cell>
          <cell r="D712" t="str">
            <v>MZ2</v>
          </cell>
          <cell r="E712">
            <v>698</v>
          </cell>
        </row>
        <row r="713">
          <cell r="A713" t="str">
            <v>6700A-1</v>
          </cell>
          <cell r="B713" t="str">
            <v>24 MIL NRVBLK TRAY TOP</v>
          </cell>
          <cell r="C713" t="str">
            <v>EA</v>
          </cell>
          <cell r="D713">
            <v>35</v>
          </cell>
          <cell r="E713">
            <v>1281</v>
          </cell>
        </row>
        <row r="714">
          <cell r="A714" t="str">
            <v>6700A-2</v>
          </cell>
          <cell r="B714" t="str">
            <v>24 MIL THERMOF/B/TRAY/TOP</v>
          </cell>
          <cell r="C714" t="str">
            <v>EA</v>
          </cell>
          <cell r="D714">
            <v>74</v>
          </cell>
          <cell r="E714">
            <v>293</v>
          </cell>
        </row>
        <row r="715">
          <cell r="A715" t="str">
            <v>6700B-1</v>
          </cell>
          <cell r="B715" t="str">
            <v>24MIL NrvBlk Tray Bottom</v>
          </cell>
          <cell r="C715" t="str">
            <v>EA</v>
          </cell>
          <cell r="D715">
            <v>35</v>
          </cell>
          <cell r="E715">
            <v>1886</v>
          </cell>
        </row>
        <row r="716">
          <cell r="A716" t="str">
            <v>6700C</v>
          </cell>
          <cell r="B716" t="str">
            <v>24X30CLR FEN DRAPE W/STRP</v>
          </cell>
          <cell r="C716" t="str">
            <v>EA</v>
          </cell>
          <cell r="D716">
            <v>64</v>
          </cell>
          <cell r="E716">
            <v>18451</v>
          </cell>
        </row>
        <row r="717">
          <cell r="A717" t="str">
            <v>6700E</v>
          </cell>
          <cell r="B717" t="str">
            <v>12MIL EVA/SURLYN/EVA FILM</v>
          </cell>
          <cell r="C717" t="str">
            <v>LB</v>
          </cell>
          <cell r="D717">
            <v>35</v>
          </cell>
          <cell r="E717">
            <v>2518</v>
          </cell>
        </row>
        <row r="718">
          <cell r="A718" t="str">
            <v>6700G</v>
          </cell>
          <cell r="B718" t="str">
            <v>18Gx3.5"Touhy w/fx wings</v>
          </cell>
          <cell r="C718" t="str">
            <v>EA</v>
          </cell>
          <cell r="D718" t="str">
            <v>N4</v>
          </cell>
          <cell r="E718">
            <v>911</v>
          </cell>
        </row>
        <row r="719">
          <cell r="A719" t="str">
            <v>6700H</v>
          </cell>
          <cell r="B719" t="str">
            <v>20GX31/2" TUOHY N/W/F/WG</v>
          </cell>
          <cell r="C719" t="str">
            <v>EA</v>
          </cell>
          <cell r="D719" t="str">
            <v>N2</v>
          </cell>
          <cell r="E719">
            <v>1772</v>
          </cell>
        </row>
        <row r="720">
          <cell r="A720" t="str">
            <v>6700R</v>
          </cell>
          <cell r="B720" t="str">
            <v>3/4" RELEASE LINER</v>
          </cell>
          <cell r="C720" t="str">
            <v>MF</v>
          </cell>
        </row>
        <row r="721">
          <cell r="A721" t="str">
            <v>6700S</v>
          </cell>
          <cell r="B721" t="str">
            <v>UNPRINTED CARTON</v>
          </cell>
          <cell r="C721" t="str">
            <v>EA</v>
          </cell>
          <cell r="D721" t="str">
            <v>MZ4</v>
          </cell>
          <cell r="E721">
            <v>562</v>
          </cell>
        </row>
        <row r="722">
          <cell r="A722" t="str">
            <v>6701A</v>
          </cell>
          <cell r="B722" t="str">
            <v>SKIN MARKER</v>
          </cell>
          <cell r="C722" t="str">
            <v>EA</v>
          </cell>
          <cell r="D722">
            <v>21</v>
          </cell>
          <cell r="E722">
            <v>6613</v>
          </cell>
        </row>
        <row r="723">
          <cell r="A723" t="str">
            <v>6701B</v>
          </cell>
          <cell r="B723" t="str">
            <v>20CC CONTROL SYRINGE</v>
          </cell>
          <cell r="C723" t="str">
            <v>EA</v>
          </cell>
          <cell r="D723">
            <v>19</v>
          </cell>
          <cell r="E723">
            <v>260</v>
          </cell>
        </row>
        <row r="724">
          <cell r="A724" t="str">
            <v>6701C</v>
          </cell>
          <cell r="B724" t="str">
            <v>25 GAUGE X 1.5" NEEDLE</v>
          </cell>
          <cell r="C724" t="str">
            <v>EA</v>
          </cell>
          <cell r="D724" t="str">
            <v>N8</v>
          </cell>
          <cell r="E724">
            <v>49218</v>
          </cell>
        </row>
        <row r="725">
          <cell r="A725" t="str">
            <v>6701D</v>
          </cell>
          <cell r="B725" t="str">
            <v>18 G X 1.5" FILTER NEEDLE</v>
          </cell>
          <cell r="C725" t="str">
            <v>EA</v>
          </cell>
          <cell r="D725" t="str">
            <v>N4</v>
          </cell>
          <cell r="E725">
            <v>3854</v>
          </cell>
        </row>
        <row r="726">
          <cell r="A726" t="str">
            <v>6705A</v>
          </cell>
          <cell r="B726" t="str">
            <v>P/F TRILON GLOVE MED</v>
          </cell>
          <cell r="C726" t="str">
            <v>EA</v>
          </cell>
          <cell r="D726">
            <v>26</v>
          </cell>
          <cell r="E726">
            <v>3690</v>
          </cell>
        </row>
        <row r="727">
          <cell r="A727" t="str">
            <v>6710A-3</v>
          </cell>
          <cell r="B727" t="str">
            <v>2.0 MIL PE FILM 30" WIDE</v>
          </cell>
          <cell r="C727" t="str">
            <v>LB</v>
          </cell>
          <cell r="D727" t="str">
            <v>J</v>
          </cell>
          <cell r="E727">
            <v>6784</v>
          </cell>
        </row>
        <row r="728">
          <cell r="A728" t="str">
            <v>6710E</v>
          </cell>
          <cell r="B728" t="str">
            <v>.75 PVP SOLUTION, STERILE</v>
          </cell>
          <cell r="C728" t="str">
            <v>EA</v>
          </cell>
          <cell r="D728">
            <v>15</v>
          </cell>
          <cell r="E728">
            <v>1850</v>
          </cell>
        </row>
        <row r="729">
          <cell r="A729" t="str">
            <v>6710FS</v>
          </cell>
          <cell r="B729" t="str">
            <v>2FS TYVEK, COATED,14"</v>
          </cell>
          <cell r="C729" t="str">
            <v>MI</v>
          </cell>
          <cell r="D729">
            <v>35</v>
          </cell>
          <cell r="E729">
            <v>1008</v>
          </cell>
        </row>
        <row r="730">
          <cell r="A730" t="str">
            <v>6711B</v>
          </cell>
          <cell r="B730" t="str">
            <v>.9%SODIUM CHLOR AMPULE/RX</v>
          </cell>
          <cell r="C730" t="str">
            <v>EA</v>
          </cell>
          <cell r="D730" t="str">
            <v>DRUGS</v>
          </cell>
          <cell r="E730">
            <v>9285</v>
          </cell>
        </row>
        <row r="731">
          <cell r="A731" t="str">
            <v>6711D</v>
          </cell>
          <cell r="B731" t="str">
            <v>18GX3.5" TUOHY NDL W/ FX</v>
          </cell>
          <cell r="C731" t="str">
            <v>EA</v>
          </cell>
          <cell r="D731" t="str">
            <v>N3</v>
          </cell>
          <cell r="E731">
            <v>288</v>
          </cell>
        </row>
        <row r="732">
          <cell r="A732" t="str">
            <v>6711E-1</v>
          </cell>
          <cell r="B732" t="str">
            <v>20GX100CM EPI CATH W/ADPT</v>
          </cell>
          <cell r="C732" t="str">
            <v>EA</v>
          </cell>
          <cell r="D732">
            <v>28</v>
          </cell>
          <cell r="E732">
            <v>3282</v>
          </cell>
        </row>
        <row r="733">
          <cell r="A733" t="str">
            <v>6711G</v>
          </cell>
          <cell r="B733" t="str">
            <v>3"X4.5"POLYWITH PERF</v>
          </cell>
          <cell r="C733" t="str">
            <v>EA</v>
          </cell>
        </row>
        <row r="734">
          <cell r="A734" t="str">
            <v>6711H</v>
          </cell>
          <cell r="B734" t="str">
            <v>INSTRUCTION FOR USE/6711B</v>
          </cell>
          <cell r="C734" t="str">
            <v>EA</v>
          </cell>
          <cell r="D734">
            <v>6</v>
          </cell>
          <cell r="E734">
            <v>20326</v>
          </cell>
        </row>
        <row r="735">
          <cell r="A735" t="str">
            <v>6711L</v>
          </cell>
          <cell r="B735" t="str">
            <v>YELLOW CATHETER LABEL</v>
          </cell>
          <cell r="C735" t="str">
            <v>EA</v>
          </cell>
          <cell r="D735">
            <v>26</v>
          </cell>
          <cell r="E735">
            <v>1453</v>
          </cell>
        </row>
        <row r="736">
          <cell r="A736" t="str">
            <v>6711U</v>
          </cell>
          <cell r="B736" t="str">
            <v>EPID. CATHETER INST SHT</v>
          </cell>
          <cell r="C736" t="str">
            <v>EA</v>
          </cell>
          <cell r="D736">
            <v>6</v>
          </cell>
          <cell r="E736">
            <v>1475</v>
          </cell>
        </row>
        <row r="737">
          <cell r="A737" t="str">
            <v>6715A</v>
          </cell>
          <cell r="B737" t="str">
            <v>2.5MIL TRANSLCNT FILM 30"</v>
          </cell>
          <cell r="C737" t="str">
            <v>LB</v>
          </cell>
          <cell r="D737" t="str">
            <v>J</v>
          </cell>
          <cell r="E737">
            <v>271</v>
          </cell>
        </row>
        <row r="738">
          <cell r="A738" t="str">
            <v>6715C</v>
          </cell>
          <cell r="B738" t="str">
            <v>30X24"TRANSFENDRAPEW/STRP</v>
          </cell>
          <cell r="C738" t="str">
            <v>EA</v>
          </cell>
          <cell r="D738">
            <v>60</v>
          </cell>
          <cell r="E738">
            <v>2205</v>
          </cell>
        </row>
        <row r="739">
          <cell r="A739" t="str">
            <v>6720A</v>
          </cell>
          <cell r="B739" t="str">
            <v>CATHETER PAD</v>
          </cell>
          <cell r="C739" t="str">
            <v>EA</v>
          </cell>
          <cell r="D739">
            <v>27</v>
          </cell>
          <cell r="E739">
            <v>274</v>
          </cell>
        </row>
        <row r="740">
          <cell r="A740" t="str">
            <v>6720F</v>
          </cell>
          <cell r="B740" t="str">
            <v>5ML LIDOCAINE W/EPINEPHR</v>
          </cell>
          <cell r="C740" t="str">
            <v>EA</v>
          </cell>
          <cell r="D740" t="str">
            <v>DRUGS</v>
          </cell>
          <cell r="E740">
            <v>490</v>
          </cell>
        </row>
        <row r="741">
          <cell r="A741" t="str">
            <v>6720G</v>
          </cell>
          <cell r="B741" t="str">
            <v>EN-2440 W/EPINE INSRT</v>
          </cell>
          <cell r="C741" t="str">
            <v>EA</v>
          </cell>
          <cell r="D741">
            <v>6</v>
          </cell>
          <cell r="E741">
            <v>3061</v>
          </cell>
        </row>
        <row r="742">
          <cell r="A742" t="str">
            <v>6720J</v>
          </cell>
          <cell r="B742" t="str">
            <v>EN-0690 EPINEPHRINE INSRT</v>
          </cell>
          <cell r="C742" t="str">
            <v>EA</v>
          </cell>
          <cell r="D742">
            <v>6</v>
          </cell>
          <cell r="E742">
            <v>2922</v>
          </cell>
        </row>
        <row r="743">
          <cell r="A743" t="str">
            <v>6720S-1</v>
          </cell>
          <cell r="B743" t="str">
            <v>SHIP CTN HEAVYWALL 44ECT</v>
          </cell>
          <cell r="C743" t="str">
            <v>EA</v>
          </cell>
          <cell r="D743" t="str">
            <v>MZ1</v>
          </cell>
          <cell r="E743">
            <v>3051</v>
          </cell>
        </row>
        <row r="744">
          <cell r="A744" t="str">
            <v>6720T</v>
          </cell>
          <cell r="B744" t="str">
            <v>BUSSE SM PAINMGMT TRY TOP</v>
          </cell>
          <cell r="C744" t="str">
            <v>EA</v>
          </cell>
          <cell r="D744">
            <v>35</v>
          </cell>
          <cell r="E744">
            <v>22978</v>
          </cell>
        </row>
        <row r="745">
          <cell r="A745" t="str">
            <v>6730B</v>
          </cell>
          <cell r="B745" t="str">
            <v>BUSSE LOW PROFILE BTM TRY</v>
          </cell>
          <cell r="C745" t="str">
            <v>EA</v>
          </cell>
          <cell r="D745">
            <v>35</v>
          </cell>
          <cell r="E745">
            <v>9805</v>
          </cell>
        </row>
        <row r="746">
          <cell r="A746" t="str">
            <v>6760B-1</v>
          </cell>
          <cell r="B746" t="str">
            <v>2.0MIL CLEAR PE FILM,24"</v>
          </cell>
          <cell r="C746" t="str">
            <v>LB</v>
          </cell>
          <cell r="D746" t="str">
            <v>J</v>
          </cell>
          <cell r="E746">
            <v>988</v>
          </cell>
        </row>
        <row r="747">
          <cell r="A747" t="str">
            <v>6795A</v>
          </cell>
          <cell r="B747" t="str">
            <v>SAFELINE INJECTION SITE</v>
          </cell>
          <cell r="C747" t="str">
            <v>EA</v>
          </cell>
          <cell r="D747">
            <v>25</v>
          </cell>
          <cell r="E747">
            <v>189</v>
          </cell>
        </row>
        <row r="748">
          <cell r="A748" t="str">
            <v>6795B</v>
          </cell>
          <cell r="B748" t="str">
            <v>5.25"MIRCOBORE EXT/S/W/TC</v>
          </cell>
          <cell r="C748" t="str">
            <v>EA</v>
          </cell>
        </row>
        <row r="749">
          <cell r="A749" t="str">
            <v>6795C</v>
          </cell>
          <cell r="B749" t="str">
            <v>1-3/4 X1-3/4" TEGAD/DRESS</v>
          </cell>
          <cell r="C749" t="str">
            <v>EA</v>
          </cell>
          <cell r="D749">
            <v>14</v>
          </cell>
          <cell r="E749">
            <v>387</v>
          </cell>
        </row>
        <row r="750">
          <cell r="A750" t="str">
            <v>6795F</v>
          </cell>
          <cell r="B750" t="str">
            <v>INSTR/S/INJEC/ NOT ORDER</v>
          </cell>
          <cell r="C750" t="str">
            <v>EA</v>
          </cell>
        </row>
        <row r="751">
          <cell r="A751" t="str">
            <v>6795G</v>
          </cell>
          <cell r="B751" t="str">
            <v>INST/5.25" M/EXT NOT ORDE</v>
          </cell>
          <cell r="C751" t="str">
            <v>EA</v>
          </cell>
        </row>
        <row r="752">
          <cell r="A752" t="str">
            <v>6800A-2</v>
          </cell>
          <cell r="B752" t="str">
            <v>45GSM SMS BLUE 15.5"WIDE</v>
          </cell>
          <cell r="C752" t="str">
            <v>SY</v>
          </cell>
          <cell r="D752" t="str">
            <v>LIS</v>
          </cell>
          <cell r="E752">
            <v>64656</v>
          </cell>
        </row>
        <row r="753">
          <cell r="A753" t="str">
            <v>6800A-2</v>
          </cell>
          <cell r="B753" t="str">
            <v>45GSM SMS BLUE 15.5"WIDE</v>
          </cell>
          <cell r="C753" t="str">
            <v>SY</v>
          </cell>
          <cell r="D753" t="str">
            <v>J</v>
          </cell>
          <cell r="E753">
            <v>21552</v>
          </cell>
        </row>
        <row r="754">
          <cell r="A754" t="str">
            <v>6802A</v>
          </cell>
          <cell r="B754" t="str">
            <v>15.5X25"BLUESMS W/ 2" FLD</v>
          </cell>
          <cell r="C754" t="str">
            <v>EA</v>
          </cell>
          <cell r="D754">
            <v>72</v>
          </cell>
          <cell r="E754">
            <v>96802</v>
          </cell>
        </row>
        <row r="755">
          <cell r="A755" t="str">
            <v>6818A</v>
          </cell>
          <cell r="B755" t="str">
            <v>B.D.10CCSYR.W/ECCENTRIC/T</v>
          </cell>
          <cell r="C755" t="str">
            <v>EA</v>
          </cell>
        </row>
        <row r="756">
          <cell r="A756" t="str">
            <v>6821A</v>
          </cell>
          <cell r="B756" t="str">
            <v>19 1/2"X23" BLUE KAYCEL/T</v>
          </cell>
          <cell r="C756" t="str">
            <v>EA</v>
          </cell>
          <cell r="D756">
            <v>62</v>
          </cell>
          <cell r="E756">
            <v>24133</v>
          </cell>
        </row>
        <row r="757">
          <cell r="A757" t="str">
            <v>6822</v>
          </cell>
          <cell r="B757" t="str">
            <v>19.5x23 Blue Absorb Twl</v>
          </cell>
          <cell r="C757" t="str">
            <v>EA</v>
          </cell>
          <cell r="D757">
            <v>65</v>
          </cell>
          <cell r="E757">
            <v>101523</v>
          </cell>
        </row>
        <row r="758">
          <cell r="A758" t="str">
            <v>6825A-2</v>
          </cell>
          <cell r="B758" t="str">
            <v>45GSM BLUE SMS MATL 26"W</v>
          </cell>
          <cell r="C758" t="str">
            <v>SY</v>
          </cell>
          <cell r="D758" t="str">
            <v>LIS</v>
          </cell>
          <cell r="E758">
            <v>58578</v>
          </cell>
        </row>
        <row r="759">
          <cell r="A759" t="str">
            <v>6825A-2</v>
          </cell>
          <cell r="B759" t="str">
            <v>45GSM BLUE SMS MATL 26"W</v>
          </cell>
          <cell r="C759" t="str">
            <v>SY</v>
          </cell>
          <cell r="D759" t="str">
            <v>J</v>
          </cell>
          <cell r="E759">
            <v>11771</v>
          </cell>
        </row>
        <row r="760">
          <cell r="A760" t="str">
            <v>6825C</v>
          </cell>
          <cell r="B760" t="str">
            <v>26X22SMSDRAPE4X4FENADHPAT</v>
          </cell>
          <cell r="C760" t="str">
            <v>EA</v>
          </cell>
          <cell r="D760">
            <v>62</v>
          </cell>
          <cell r="E760">
            <v>2275</v>
          </cell>
        </row>
        <row r="761">
          <cell r="A761" t="str">
            <v>6826A</v>
          </cell>
          <cell r="B761" t="str">
            <v>26X26"B/SMS DRAPE W/5"FEN</v>
          </cell>
          <cell r="C761" t="str">
            <v>EA</v>
          </cell>
          <cell r="D761">
            <v>61</v>
          </cell>
          <cell r="E761">
            <v>695</v>
          </cell>
        </row>
        <row r="762">
          <cell r="A762" t="str">
            <v>6827A-1</v>
          </cell>
          <cell r="B762" t="str">
            <v>26"X22"BLUE SMS DRAPE W/S</v>
          </cell>
          <cell r="C762" t="str">
            <v>EA</v>
          </cell>
          <cell r="D762">
            <v>63</v>
          </cell>
          <cell r="E762">
            <v>4424</v>
          </cell>
        </row>
        <row r="763">
          <cell r="A763" t="str">
            <v>6829C</v>
          </cell>
          <cell r="B763" t="str">
            <v>26X22BL SMS DRAP4X8FE</v>
          </cell>
          <cell r="C763" t="str">
            <v>EA</v>
          </cell>
          <cell r="D763">
            <v>61</v>
          </cell>
          <cell r="E763">
            <v>3303</v>
          </cell>
        </row>
        <row r="764">
          <cell r="A764" t="str">
            <v>6830A-1</v>
          </cell>
          <cell r="B764" t="str">
            <v>11" X 17" TRANS DRAPE</v>
          </cell>
          <cell r="C764" t="str">
            <v>EA</v>
          </cell>
          <cell r="D764">
            <v>30</v>
          </cell>
          <cell r="E764">
            <v>1</v>
          </cell>
        </row>
        <row r="765">
          <cell r="A765" t="str">
            <v>6840A-1</v>
          </cell>
          <cell r="B765" t="str">
            <v>17" X 23" Trans Drape</v>
          </cell>
          <cell r="C765" t="str">
            <v>EA</v>
          </cell>
          <cell r="D765">
            <v>34</v>
          </cell>
          <cell r="E765">
            <v>217</v>
          </cell>
        </row>
        <row r="766">
          <cell r="A766" t="str">
            <v>6841C-1</v>
          </cell>
          <cell r="B766" t="str">
            <v>ADH.PATCH 4.5"x 5.25</v>
          </cell>
          <cell r="C766" t="str">
            <v>EA</v>
          </cell>
        </row>
        <row r="767">
          <cell r="A767" t="str">
            <v>6850DW</v>
          </cell>
          <cell r="B767" t="str">
            <v>UNPTD.SHIPPER CTN</v>
          </cell>
          <cell r="C767" t="str">
            <v>EA</v>
          </cell>
          <cell r="D767" t="str">
            <v>MZ1</v>
          </cell>
          <cell r="E767">
            <v>380</v>
          </cell>
        </row>
        <row r="768">
          <cell r="A768" t="str">
            <v>6850S</v>
          </cell>
          <cell r="B768" t="str">
            <v>UNPTD.SHIPPER CTN</v>
          </cell>
          <cell r="C768" t="str">
            <v>EA</v>
          </cell>
          <cell r="D768" t="str">
            <v>MZ4</v>
          </cell>
          <cell r="E768">
            <v>389</v>
          </cell>
        </row>
        <row r="769">
          <cell r="A769" t="str">
            <v>6870S</v>
          </cell>
          <cell r="B769" t="str">
            <v>UNPRINTED CTN</v>
          </cell>
          <cell r="C769" t="str">
            <v>EA</v>
          </cell>
          <cell r="D769" t="str">
            <v>MZ3</v>
          </cell>
          <cell r="E769">
            <v>901</v>
          </cell>
        </row>
        <row r="770">
          <cell r="A770" t="str">
            <v>6880S</v>
          </cell>
          <cell r="B770" t="str">
            <v>UNPTD SHIPPER CTN FOR 688</v>
          </cell>
          <cell r="C770" t="str">
            <v>EA</v>
          </cell>
          <cell r="D770" t="str">
            <v>MZ4</v>
          </cell>
          <cell r="E770">
            <v>929</v>
          </cell>
        </row>
        <row r="771">
          <cell r="A771" t="str">
            <v>6890S</v>
          </cell>
          <cell r="B771" t="str">
            <v>UNPTD SHIPPER CTN FOR 689</v>
          </cell>
          <cell r="C771" t="str">
            <v>EA</v>
          </cell>
          <cell r="D771" t="str">
            <v>MZ3</v>
          </cell>
          <cell r="E771">
            <v>546</v>
          </cell>
        </row>
        <row r="772">
          <cell r="A772" t="str">
            <v>6900C</v>
          </cell>
          <cell r="B772" t="str">
            <v>NS30X24ClearDrape4x8F/Ad</v>
          </cell>
          <cell r="C772" t="str">
            <v>EA</v>
          </cell>
          <cell r="D772">
            <v>60</v>
          </cell>
          <cell r="E772">
            <v>12593</v>
          </cell>
        </row>
        <row r="773">
          <cell r="A773" t="str">
            <v>6910C</v>
          </cell>
          <cell r="B773" t="str">
            <v>N/S 24X30 C/Drape W/4"/P</v>
          </cell>
          <cell r="C773" t="str">
            <v>EA</v>
          </cell>
          <cell r="D773">
            <v>60</v>
          </cell>
          <cell r="E773">
            <v>3980</v>
          </cell>
        </row>
        <row r="774">
          <cell r="A774" t="str">
            <v>6912C</v>
          </cell>
          <cell r="B774" t="str">
            <v>1.75"X.5" P/PLabels/12SHT</v>
          </cell>
          <cell r="C774" t="str">
            <v>EA</v>
          </cell>
        </row>
        <row r="775">
          <cell r="A775" t="str">
            <v>6915-2</v>
          </cell>
          <cell r="B775" t="str">
            <v>Unprinted Disp for Towels</v>
          </cell>
          <cell r="C775" t="str">
            <v>EA</v>
          </cell>
          <cell r="D775" t="str">
            <v>CIR</v>
          </cell>
          <cell r="E775">
            <v>5199</v>
          </cell>
        </row>
        <row r="776">
          <cell r="A776" t="str">
            <v>6915-2</v>
          </cell>
          <cell r="B776" t="str">
            <v>Unprinted Disp for Towels</v>
          </cell>
          <cell r="C776" t="str">
            <v>EA</v>
          </cell>
          <cell r="D776" t="str">
            <v>MZ1</v>
          </cell>
          <cell r="E776">
            <v>273</v>
          </cell>
        </row>
        <row r="777">
          <cell r="A777" t="str">
            <v>6916-1</v>
          </cell>
          <cell r="B777" t="str">
            <v>UNPRINTED SHIPPER CARTON.</v>
          </cell>
          <cell r="C777" t="str">
            <v>EA</v>
          </cell>
          <cell r="D777" t="str">
            <v>MZ1</v>
          </cell>
          <cell r="E777">
            <v>3864</v>
          </cell>
        </row>
        <row r="778">
          <cell r="A778" t="str">
            <v>6916-1</v>
          </cell>
          <cell r="B778" t="str">
            <v>UNPRINTED SHIPPER CARTON.</v>
          </cell>
          <cell r="C778" t="str">
            <v>EA</v>
          </cell>
          <cell r="D778" t="str">
            <v>CIR</v>
          </cell>
          <cell r="E778">
            <v>864</v>
          </cell>
        </row>
        <row r="779">
          <cell r="A779" t="str">
            <v>6930A</v>
          </cell>
          <cell r="B779" t="str">
            <v>19.5"Blue SRM</v>
          </cell>
          <cell r="C779" t="str">
            <v>SY</v>
          </cell>
          <cell r="D779" t="str">
            <v>J</v>
          </cell>
          <cell r="E779">
            <v>30453</v>
          </cell>
        </row>
        <row r="780">
          <cell r="A780" t="str">
            <v>6932A-1</v>
          </cell>
          <cell r="B780" t="str">
            <v>UNPRINTED CTN./695/9598</v>
          </cell>
          <cell r="C780" t="str">
            <v>EA</v>
          </cell>
          <cell r="D780" t="str">
            <v>MZ2</v>
          </cell>
          <cell r="E780">
            <v>1414</v>
          </cell>
        </row>
        <row r="781">
          <cell r="A781" t="str">
            <v>6934</v>
          </cell>
          <cell r="B781" t="str">
            <v>Polybag/1.5Mil(28x18x39)</v>
          </cell>
          <cell r="C781" t="str">
            <v>EA</v>
          </cell>
          <cell r="D781">
            <v>64</v>
          </cell>
          <cell r="E781">
            <v>8592</v>
          </cell>
        </row>
        <row r="782">
          <cell r="A782" t="str">
            <v>6935S</v>
          </cell>
          <cell r="B782" t="str">
            <v>UNPRINTED CTN</v>
          </cell>
          <cell r="C782" t="str">
            <v>EA</v>
          </cell>
          <cell r="D782" t="str">
            <v>MZ3</v>
          </cell>
          <cell r="E782">
            <v>1102</v>
          </cell>
        </row>
        <row r="783">
          <cell r="A783" t="str">
            <v>6950F</v>
          </cell>
          <cell r="B783" t="str">
            <v>17.5" Blue Polypropylene</v>
          </cell>
          <cell r="C783" t="str">
            <v>LB</v>
          </cell>
          <cell r="D783" t="str">
            <v>J</v>
          </cell>
          <cell r="E783">
            <v>939</v>
          </cell>
        </row>
        <row r="784">
          <cell r="A784" t="str">
            <v>6961-1</v>
          </cell>
          <cell r="B784" t="str">
            <v>17.5#WHITEVIRGINTISSUE18"</v>
          </cell>
          <cell r="C784" t="str">
            <v>LB</v>
          </cell>
          <cell r="D784" t="str">
            <v>J</v>
          </cell>
          <cell r="E784">
            <v>23026</v>
          </cell>
        </row>
        <row r="785">
          <cell r="A785" t="str">
            <v>6962</v>
          </cell>
          <cell r="B785" t="str">
            <v>18"WIDE BLUE 1PLY/TISSUE</v>
          </cell>
          <cell r="C785" t="str">
            <v>LB</v>
          </cell>
        </row>
        <row r="786">
          <cell r="A786" t="str">
            <v>6962-1</v>
          </cell>
          <cell r="B786" t="str">
            <v>17.5#BLUE TISSUE 18" WIDE</v>
          </cell>
          <cell r="C786" t="str">
            <v>LB</v>
          </cell>
          <cell r="D786" t="str">
            <v>J</v>
          </cell>
          <cell r="E786">
            <v>16824</v>
          </cell>
        </row>
        <row r="787">
          <cell r="A787" t="str">
            <v>6967A</v>
          </cell>
          <cell r="B787" t="str">
            <v>8 PER PRINTED LABEL</v>
          </cell>
          <cell r="C787" t="str">
            <v>EA</v>
          </cell>
        </row>
        <row r="788">
          <cell r="A788" t="str">
            <v>6972-1</v>
          </cell>
          <cell r="B788" t="str">
            <v>9.5"WIDE 42# COATED PAPER</v>
          </cell>
          <cell r="C788" t="str">
            <v>MI</v>
          </cell>
          <cell r="D788" t="str">
            <v>J</v>
          </cell>
          <cell r="E788">
            <v>9632</v>
          </cell>
        </row>
        <row r="789">
          <cell r="A789" t="str">
            <v>6982A</v>
          </cell>
          <cell r="B789" t="str">
            <v>COATED PAPER FOR 698</v>
          </cell>
          <cell r="C789" t="str">
            <v>MI</v>
          </cell>
          <cell r="D789" t="str">
            <v>J</v>
          </cell>
          <cell r="E789">
            <v>4396</v>
          </cell>
        </row>
        <row r="790">
          <cell r="A790" t="str">
            <v>6988</v>
          </cell>
          <cell r="B790" t="str">
            <v>18X26 T/P/T Drpe/Adh Ptch</v>
          </cell>
          <cell r="C790" t="str">
            <v>EA</v>
          </cell>
          <cell r="D790">
            <v>70</v>
          </cell>
          <cell r="E790">
            <v>72056</v>
          </cell>
        </row>
        <row r="791">
          <cell r="A791" t="str">
            <v>6988DB-1</v>
          </cell>
          <cell r="B791" t="str">
            <v>UNPRINTED KRAFT DISP BOX</v>
          </cell>
          <cell r="C791" t="str">
            <v>EA</v>
          </cell>
          <cell r="D791" t="str">
            <v>MZ2</v>
          </cell>
          <cell r="E791">
            <v>391</v>
          </cell>
        </row>
        <row r="792">
          <cell r="A792" t="str">
            <v>6988S</v>
          </cell>
          <cell r="B792" t="str">
            <v>Unprinted Shipper for 698</v>
          </cell>
          <cell r="C792" t="str">
            <v>EA</v>
          </cell>
          <cell r="D792" t="str">
            <v>MZ2</v>
          </cell>
          <cell r="E792">
            <v>932</v>
          </cell>
        </row>
        <row r="793">
          <cell r="A793" t="str">
            <v>70006F</v>
          </cell>
          <cell r="B793" t="str">
            <v>CATHETER ACCESS P/PLASTIC</v>
          </cell>
          <cell r="C793" t="str">
            <v>EA</v>
          </cell>
        </row>
        <row r="794">
          <cell r="A794" t="str">
            <v>70007A</v>
          </cell>
          <cell r="B794" t="str">
            <v>REFILL PLASTIC TEMP/W/H</v>
          </cell>
          <cell r="C794" t="str">
            <v>EA</v>
          </cell>
        </row>
        <row r="795">
          <cell r="A795" t="str">
            <v>7001</v>
          </cell>
          <cell r="B795" t="str">
            <v>Unptd 10Pk Shipper Ctn</v>
          </cell>
          <cell r="C795" t="str">
            <v>EA</v>
          </cell>
          <cell r="D795" t="str">
            <v>MZ2</v>
          </cell>
          <cell r="E795">
            <v>250</v>
          </cell>
        </row>
        <row r="796">
          <cell r="A796" t="str">
            <v>7003A</v>
          </cell>
          <cell r="B796" t="str">
            <v>Blue Underpad</v>
          </cell>
          <cell r="C796" t="str">
            <v>EA</v>
          </cell>
          <cell r="D796">
            <v>48</v>
          </cell>
          <cell r="E796">
            <v>75372</v>
          </cell>
        </row>
        <row r="797">
          <cell r="A797" t="str">
            <v>7003A</v>
          </cell>
          <cell r="B797" t="str">
            <v>Blue Underpad</v>
          </cell>
          <cell r="C797" t="str">
            <v>EA</v>
          </cell>
          <cell r="D797" t="str">
            <v>LIS</v>
          </cell>
          <cell r="E797">
            <v>50087</v>
          </cell>
        </row>
        <row r="798">
          <cell r="A798" t="str">
            <v>7030-1</v>
          </cell>
          <cell r="B798" t="str">
            <v>14 FR CATHETER</v>
          </cell>
          <cell r="C798" t="str">
            <v>EA</v>
          </cell>
          <cell r="D798">
            <v>22</v>
          </cell>
          <cell r="E798">
            <v>3660</v>
          </cell>
        </row>
        <row r="799">
          <cell r="A799" t="str">
            <v>7030P</v>
          </cell>
          <cell r="B799" t="str">
            <v>TRACH SET PACK#1 703</v>
          </cell>
          <cell r="C799" t="str">
            <v>EA</v>
          </cell>
          <cell r="D799">
            <v>8</v>
          </cell>
          <cell r="E799">
            <v>1494</v>
          </cell>
        </row>
        <row r="800">
          <cell r="A800" t="str">
            <v>7032-2</v>
          </cell>
          <cell r="B800" t="str">
            <v>4"X4"8PLYGAUZE/PROCESSED</v>
          </cell>
          <cell r="C800" t="str">
            <v>EA</v>
          </cell>
          <cell r="D800">
            <v>21</v>
          </cell>
          <cell r="E800">
            <v>126585</v>
          </cell>
        </row>
        <row r="801">
          <cell r="A801" t="str">
            <v>7032A-2</v>
          </cell>
          <cell r="B801" t="str">
            <v>4"X4"8PLYGAUZE/PROC/5'S</v>
          </cell>
          <cell r="C801" t="str">
            <v>EA</v>
          </cell>
          <cell r="D801">
            <v>8</v>
          </cell>
          <cell r="E801">
            <v>481128</v>
          </cell>
        </row>
        <row r="802">
          <cell r="A802" t="str">
            <v>7035V-1</v>
          </cell>
          <cell r="B802" t="str">
            <v>Vinyl Gloves, powder-free</v>
          </cell>
          <cell r="C802" t="str">
            <v>EA</v>
          </cell>
          <cell r="D802">
            <v>33</v>
          </cell>
          <cell r="E802">
            <v>28268</v>
          </cell>
        </row>
        <row r="803">
          <cell r="A803" t="str">
            <v>7049A</v>
          </cell>
          <cell r="B803" t="str">
            <v>12"S/BORE EXT.SET W/M&amp;F</v>
          </cell>
          <cell r="C803" t="str">
            <v>EA</v>
          </cell>
          <cell r="D803">
            <v>31</v>
          </cell>
          <cell r="E803">
            <v>1064</v>
          </cell>
        </row>
        <row r="804">
          <cell r="A804" t="str">
            <v>7049B</v>
          </cell>
          <cell r="B804" t="str">
            <v>22GX3.5 Q/SPINAL NEEDLE</v>
          </cell>
          <cell r="C804" t="str">
            <v>EA</v>
          </cell>
          <cell r="D804" t="str">
            <v>N9</v>
          </cell>
          <cell r="E804">
            <v>92</v>
          </cell>
        </row>
        <row r="805">
          <cell r="A805" t="str">
            <v>7051-1</v>
          </cell>
          <cell r="B805" t="str">
            <v>REMOVABLE BASIN</v>
          </cell>
          <cell r="C805" t="str">
            <v>EA</v>
          </cell>
          <cell r="D805">
            <v>35</v>
          </cell>
          <cell r="E805">
            <v>9783</v>
          </cell>
        </row>
        <row r="806">
          <cell r="A806" t="str">
            <v>7053</v>
          </cell>
          <cell r="B806" t="str">
            <v>Unprinted Shipper Ctn</v>
          </cell>
          <cell r="C806" t="str">
            <v>EA</v>
          </cell>
          <cell r="D806" t="str">
            <v>MZ1</v>
          </cell>
          <cell r="E806">
            <v>774</v>
          </cell>
        </row>
        <row r="807">
          <cell r="A807" t="str">
            <v>7054</v>
          </cell>
          <cell r="B807" t="str">
            <v>4"Cotton Tip AplicatorP/H</v>
          </cell>
          <cell r="C807" t="str">
            <v>EA</v>
          </cell>
          <cell r="D807">
            <v>14</v>
          </cell>
          <cell r="E807">
            <v>36539</v>
          </cell>
        </row>
        <row r="808">
          <cell r="A808" t="str">
            <v>7060P</v>
          </cell>
          <cell r="B808" t="str">
            <v>TRACH SET PACK#4 706</v>
          </cell>
          <cell r="C808" t="str">
            <v>EA</v>
          </cell>
          <cell r="D808">
            <v>28</v>
          </cell>
          <cell r="E808">
            <v>6174</v>
          </cell>
        </row>
        <row r="809">
          <cell r="A809" t="str">
            <v>7073S-1</v>
          </cell>
          <cell r="B809" t="str">
            <v>UNPRINTED SHIPPER CARTON</v>
          </cell>
          <cell r="C809" t="str">
            <v>EA</v>
          </cell>
          <cell r="D809" t="str">
            <v>MZ1</v>
          </cell>
          <cell r="E809">
            <v>392</v>
          </cell>
        </row>
        <row r="810">
          <cell r="A810" t="str">
            <v>7080D-1</v>
          </cell>
          <cell r="B810" t="str">
            <v>28LB ZONE COATED PAPER</v>
          </cell>
          <cell r="C810" t="str">
            <v>MI</v>
          </cell>
          <cell r="D810" t="str">
            <v>J</v>
          </cell>
          <cell r="E810">
            <v>160495</v>
          </cell>
        </row>
        <row r="811">
          <cell r="A811" t="str">
            <v>7080D-1</v>
          </cell>
          <cell r="B811" t="str">
            <v>28LB ZONE COATED PAPER</v>
          </cell>
          <cell r="C811" t="str">
            <v>MI</v>
          </cell>
          <cell r="D811" t="str">
            <v>CIR</v>
          </cell>
          <cell r="E811">
            <v>21347</v>
          </cell>
        </row>
        <row r="812">
          <cell r="A812" t="str">
            <v>7084T</v>
          </cell>
          <cell r="B812" t="str">
            <v>30 LB WHT PAPER UNCOATED</v>
          </cell>
          <cell r="C812" t="str">
            <v>MI</v>
          </cell>
          <cell r="D812">
            <v>144</v>
          </cell>
          <cell r="E812">
            <v>191960</v>
          </cell>
        </row>
        <row r="813">
          <cell r="A813" t="str">
            <v>7084T</v>
          </cell>
          <cell r="B813" t="str">
            <v>30 LB WHT PAPER UNCOATED</v>
          </cell>
          <cell r="C813" t="str">
            <v>MI</v>
          </cell>
          <cell r="D813" t="str">
            <v>CIR</v>
          </cell>
          <cell r="E813">
            <v>23845</v>
          </cell>
        </row>
        <row r="814">
          <cell r="A814" t="str">
            <v>7092</v>
          </cell>
          <cell r="B814" t="str">
            <v>18x26 Poly Towel</v>
          </cell>
          <cell r="C814" t="str">
            <v>EA</v>
          </cell>
          <cell r="D814">
            <v>73</v>
          </cell>
          <cell r="E814">
            <v>198562</v>
          </cell>
        </row>
        <row r="815">
          <cell r="A815" t="str">
            <v>7092</v>
          </cell>
          <cell r="B815" t="str">
            <v>18x26 Poly Towel</v>
          </cell>
          <cell r="C815" t="str">
            <v>EA</v>
          </cell>
          <cell r="D815" t="str">
            <v>CIR</v>
          </cell>
          <cell r="E815">
            <v>23876</v>
          </cell>
        </row>
        <row r="816">
          <cell r="A816" t="str">
            <v>7095</v>
          </cell>
          <cell r="B816" t="str">
            <v>Straight Trim Trach Brush</v>
          </cell>
          <cell r="C816" t="str">
            <v>EA</v>
          </cell>
          <cell r="D816">
            <v>33</v>
          </cell>
          <cell r="E816">
            <v>9295</v>
          </cell>
        </row>
        <row r="817">
          <cell r="A817" t="str">
            <v>7101</v>
          </cell>
          <cell r="B817" t="str">
            <v>Coated Paper,14"wide</v>
          </cell>
          <cell r="C817" t="str">
            <v>MI</v>
          </cell>
          <cell r="D817">
            <v>35</v>
          </cell>
          <cell r="E817">
            <v>8534</v>
          </cell>
        </row>
        <row r="818">
          <cell r="A818" t="str">
            <v>7102</v>
          </cell>
          <cell r="B818" t="str">
            <v>30 MIL HIPS WHITE ROLLSTK</v>
          </cell>
          <cell r="C818" t="str">
            <v>LB</v>
          </cell>
          <cell r="D818">
            <v>35</v>
          </cell>
          <cell r="E818">
            <v>3547</v>
          </cell>
        </row>
        <row r="819">
          <cell r="A819" t="str">
            <v>7102A</v>
          </cell>
          <cell r="B819" t="str">
            <v>24Mil HIPS WHITE ROLLSTK</v>
          </cell>
          <cell r="C819" t="str">
            <v>LB</v>
          </cell>
          <cell r="D819">
            <v>35</v>
          </cell>
          <cell r="E819">
            <v>14654</v>
          </cell>
        </row>
        <row r="820">
          <cell r="A820" t="str">
            <v>7102A-2</v>
          </cell>
          <cell r="B820" t="str">
            <v>24 MIL CLEAR A-PET 363MM</v>
          </cell>
          <cell r="C820" t="str">
            <v>LB</v>
          </cell>
          <cell r="D820" t="str">
            <v>LIS</v>
          </cell>
          <cell r="E820">
            <v>22880</v>
          </cell>
        </row>
        <row r="821">
          <cell r="A821" t="str">
            <v>7103-2</v>
          </cell>
          <cell r="B821" t="str">
            <v>4"X4"8PLYGAUZE/PROC/4'S</v>
          </cell>
          <cell r="C821" t="str">
            <v>EA</v>
          </cell>
          <cell r="D821">
            <v>7</v>
          </cell>
          <cell r="E821">
            <v>478579</v>
          </cell>
        </row>
        <row r="822">
          <cell r="A822" t="str">
            <v>7105</v>
          </cell>
          <cell r="B822" t="str">
            <v>6" Cotton Tip Applicator</v>
          </cell>
          <cell r="C822" t="str">
            <v>EA</v>
          </cell>
          <cell r="D822">
            <v>23</v>
          </cell>
          <cell r="E822">
            <v>10860</v>
          </cell>
        </row>
        <row r="823">
          <cell r="A823" t="str">
            <v>7106G</v>
          </cell>
          <cell r="B823" t="str">
            <v>Pipe Cleaner Galvanized</v>
          </cell>
          <cell r="C823" t="str">
            <v>EA</v>
          </cell>
          <cell r="D823">
            <v>20</v>
          </cell>
          <cell r="E823">
            <v>12914</v>
          </cell>
        </row>
        <row r="824">
          <cell r="A824" t="str">
            <v>7107</v>
          </cell>
          <cell r="B824" t="str">
            <v>Twill Tape</v>
          </cell>
          <cell r="C824" t="str">
            <v>GY</v>
          </cell>
          <cell r="D824">
            <v>25</v>
          </cell>
          <cell r="E824">
            <v>335</v>
          </cell>
        </row>
        <row r="825">
          <cell r="A825" t="str">
            <v>7113-2</v>
          </cell>
          <cell r="B825" t="str">
            <v>4"X4" 12PLY TRACH SPG DEC</v>
          </cell>
          <cell r="C825" t="str">
            <v>EA</v>
          </cell>
          <cell r="D825">
            <v>33</v>
          </cell>
          <cell r="E825">
            <v>20592</v>
          </cell>
        </row>
        <row r="826">
          <cell r="A826" t="str">
            <v>7114</v>
          </cell>
          <cell r="B826" t="str">
            <v>18X16 Polylined Towel</v>
          </cell>
          <cell r="C826" t="str">
            <v>EA</v>
          </cell>
          <cell r="D826">
            <v>66</v>
          </cell>
          <cell r="E826">
            <v>146082</v>
          </cell>
        </row>
        <row r="827">
          <cell r="A827" t="str">
            <v>7123</v>
          </cell>
          <cell r="B827" t="str">
            <v>Unprinted Shipper Ctn</v>
          </cell>
          <cell r="C827" t="str">
            <v>EA</v>
          </cell>
          <cell r="D827" t="str">
            <v>MZ1</v>
          </cell>
          <cell r="E827">
            <v>2981</v>
          </cell>
        </row>
        <row r="828">
          <cell r="A828" t="str">
            <v>7141</v>
          </cell>
          <cell r="B828" t="str">
            <v>Hydrogen Peroxide for 714</v>
          </cell>
          <cell r="C828" t="str">
            <v>EA</v>
          </cell>
          <cell r="D828">
            <v>20</v>
          </cell>
          <cell r="E828">
            <v>11644</v>
          </cell>
        </row>
        <row r="829">
          <cell r="A829" t="str">
            <v>714CRA</v>
          </cell>
          <cell r="B829" t="str">
            <v>4X4 16PLYG/DRESSING</v>
          </cell>
          <cell r="C829" t="str">
            <v>EA</v>
          </cell>
          <cell r="D829">
            <v>21</v>
          </cell>
          <cell r="E829">
            <v>6065</v>
          </cell>
        </row>
        <row r="830">
          <cell r="A830" t="str">
            <v>7150P</v>
          </cell>
          <cell r="B830" t="str">
            <v>TRACH SET PACK#2 713/715</v>
          </cell>
          <cell r="C830" t="str">
            <v>EA</v>
          </cell>
          <cell r="D830">
            <v>28</v>
          </cell>
          <cell r="E830">
            <v>450</v>
          </cell>
        </row>
        <row r="831">
          <cell r="A831" t="str">
            <v>7161A</v>
          </cell>
          <cell r="B831" t="str">
            <v>Unprtd Ctn/Staple Removr</v>
          </cell>
          <cell r="C831" t="str">
            <v>EA</v>
          </cell>
          <cell r="D831" t="str">
            <v>MZ4</v>
          </cell>
          <cell r="E831">
            <v>779</v>
          </cell>
        </row>
        <row r="832">
          <cell r="A832" t="str">
            <v>7162</v>
          </cell>
          <cell r="B832" t="str">
            <v>Unptd Ship for SRK</v>
          </cell>
          <cell r="C832" t="str">
            <v>EA</v>
          </cell>
          <cell r="D832" t="str">
            <v>MZ5</v>
          </cell>
          <cell r="E832">
            <v>360</v>
          </cell>
        </row>
        <row r="833">
          <cell r="A833" t="str">
            <v>7171</v>
          </cell>
          <cell r="B833" t="str">
            <v>4.5"Sharp/Blunt Scissor</v>
          </cell>
          <cell r="C833" t="str">
            <v>EA</v>
          </cell>
          <cell r="D833">
            <v>44</v>
          </cell>
          <cell r="E833">
            <v>14669</v>
          </cell>
        </row>
        <row r="834">
          <cell r="A834" t="str">
            <v>7180S</v>
          </cell>
          <cell r="B834" t="str">
            <v>CTN FOR 718</v>
          </cell>
          <cell r="C834" t="str">
            <v>EA</v>
          </cell>
          <cell r="D834" t="str">
            <v>MZ6</v>
          </cell>
          <cell r="E834">
            <v>1705</v>
          </cell>
        </row>
        <row r="835">
          <cell r="A835" t="str">
            <v>7191</v>
          </cell>
          <cell r="B835" t="str">
            <v>12 Mil PVC</v>
          </cell>
          <cell r="C835" t="str">
            <v>LB</v>
          </cell>
          <cell r="D835">
            <v>35</v>
          </cell>
          <cell r="E835">
            <v>3791</v>
          </cell>
        </row>
        <row r="836">
          <cell r="A836" t="str">
            <v>7191-1</v>
          </cell>
          <cell r="B836" t="str">
            <v>13 MIL CLEAR A-PET 320MM</v>
          </cell>
          <cell r="C836" t="str">
            <v>LB</v>
          </cell>
          <cell r="D836" t="str">
            <v>LIS</v>
          </cell>
          <cell r="E836">
            <v>7601</v>
          </cell>
        </row>
        <row r="837">
          <cell r="A837" t="str">
            <v>7191-1</v>
          </cell>
          <cell r="B837" t="str">
            <v>13 MIL CLEAR A-PET 320MM</v>
          </cell>
          <cell r="C837" t="str">
            <v>LB</v>
          </cell>
          <cell r="D837">
            <v>35</v>
          </cell>
          <cell r="E837">
            <v>3210</v>
          </cell>
        </row>
        <row r="838">
          <cell r="A838" t="str">
            <v>7192</v>
          </cell>
          <cell r="B838" t="str">
            <v>Plastic Forcep Black</v>
          </cell>
          <cell r="C838" t="str">
            <v>EA</v>
          </cell>
          <cell r="D838">
            <v>53</v>
          </cell>
          <cell r="E838">
            <v>252645</v>
          </cell>
        </row>
        <row r="839">
          <cell r="A839" t="str">
            <v>7192</v>
          </cell>
          <cell r="B839" t="str">
            <v>Plastic Forcep Black</v>
          </cell>
          <cell r="C839" t="str">
            <v>EA</v>
          </cell>
          <cell r="D839">
            <v>30</v>
          </cell>
          <cell r="E839">
            <v>-1</v>
          </cell>
        </row>
        <row r="840">
          <cell r="A840" t="str">
            <v>7192DC</v>
          </cell>
          <cell r="B840" t="str">
            <v>Unprinted Carton</v>
          </cell>
          <cell r="C840" t="str">
            <v>EA</v>
          </cell>
          <cell r="D840" t="str">
            <v>MZ5</v>
          </cell>
          <cell r="E840">
            <v>880</v>
          </cell>
        </row>
        <row r="841">
          <cell r="A841" t="str">
            <v>7192GP</v>
          </cell>
          <cell r="B841" t="str">
            <v>30% Glass Filled PP-Black</v>
          </cell>
          <cell r="C841" t="str">
            <v>LB</v>
          </cell>
          <cell r="D841">
            <v>145</v>
          </cell>
          <cell r="E841">
            <v>3300</v>
          </cell>
        </row>
        <row r="842">
          <cell r="A842" t="str">
            <v>7201</v>
          </cell>
          <cell r="B842" t="str">
            <v>4.5" Littauer Scissor</v>
          </cell>
          <cell r="C842" t="str">
            <v>EA</v>
          </cell>
          <cell r="D842">
            <v>48</v>
          </cell>
          <cell r="E842">
            <v>157013</v>
          </cell>
        </row>
        <row r="843">
          <cell r="A843" t="str">
            <v>7201</v>
          </cell>
          <cell r="B843" t="str">
            <v>4.5" Littauer Scissor</v>
          </cell>
          <cell r="C843" t="str">
            <v>EA</v>
          </cell>
          <cell r="D843">
            <v>49</v>
          </cell>
          <cell r="E843">
            <v>44987</v>
          </cell>
        </row>
        <row r="844">
          <cell r="A844" t="str">
            <v>7202</v>
          </cell>
          <cell r="B844" t="str">
            <v>4"Suture Forceps</v>
          </cell>
          <cell r="C844" t="str">
            <v>EA</v>
          </cell>
          <cell r="D844">
            <v>38</v>
          </cell>
          <cell r="E844">
            <v>183</v>
          </cell>
        </row>
        <row r="845">
          <cell r="A845" t="str">
            <v>7203H-3</v>
          </cell>
          <cell r="B845" t="str">
            <v>4X4 OVER SPONGE PROCESSED</v>
          </cell>
          <cell r="C845" t="str">
            <v>EA</v>
          </cell>
          <cell r="D845">
            <v>21</v>
          </cell>
          <cell r="E845">
            <v>42992</v>
          </cell>
        </row>
        <row r="846">
          <cell r="A846" t="str">
            <v>7204</v>
          </cell>
          <cell r="B846" t="str">
            <v>Staple Removers</v>
          </cell>
          <cell r="C846" t="str">
            <v>EA</v>
          </cell>
          <cell r="D846">
            <v>33</v>
          </cell>
          <cell r="E846">
            <v>400</v>
          </cell>
        </row>
        <row r="847">
          <cell r="A847" t="str">
            <v>7204A</v>
          </cell>
          <cell r="B847" t="str">
            <v>SKIN STAPLE REMOVER</v>
          </cell>
          <cell r="C847" t="str">
            <v>EA</v>
          </cell>
          <cell r="D847">
            <v>20</v>
          </cell>
          <cell r="E847">
            <v>31</v>
          </cell>
        </row>
        <row r="848">
          <cell r="A848" t="str">
            <v>7213-1</v>
          </cell>
          <cell r="B848" t="str">
            <v>5" METAL THUMB FORCEP</v>
          </cell>
          <cell r="C848" t="str">
            <v>EA</v>
          </cell>
          <cell r="D848">
            <v>23</v>
          </cell>
          <cell r="E848">
            <v>4899</v>
          </cell>
        </row>
        <row r="849">
          <cell r="A849" t="str">
            <v>7229A</v>
          </cell>
          <cell r="B849" t="str">
            <v>8.5X11 POST INSERT/WOMAN</v>
          </cell>
          <cell r="C849" t="str">
            <v>EA</v>
          </cell>
        </row>
        <row r="850">
          <cell r="A850" t="str">
            <v>7230A</v>
          </cell>
          <cell r="B850" t="str">
            <v>ALCOHOL PAD</v>
          </cell>
          <cell r="C850" t="str">
            <v>EA</v>
          </cell>
          <cell r="D850">
            <v>15</v>
          </cell>
          <cell r="E850">
            <v>33254</v>
          </cell>
        </row>
        <row r="851">
          <cell r="A851" t="str">
            <v>7230AC</v>
          </cell>
          <cell r="B851" t="str">
            <v>ALCOHOL PAD (CANADA)</v>
          </cell>
          <cell r="C851" t="str">
            <v>EA</v>
          </cell>
        </row>
        <row r="852">
          <cell r="A852" t="str">
            <v>7230B</v>
          </cell>
          <cell r="B852" t="str">
            <v>PVP PREP PAD,MEDIUM</v>
          </cell>
          <cell r="C852" t="str">
            <v>EA</v>
          </cell>
          <cell r="D852">
            <v>15</v>
          </cell>
          <cell r="E852">
            <v>123548</v>
          </cell>
        </row>
        <row r="853">
          <cell r="A853" t="str">
            <v>7230BC</v>
          </cell>
          <cell r="B853" t="str">
            <v>PVP PREP PAD (CANADA)</v>
          </cell>
          <cell r="C853" t="str">
            <v>EA</v>
          </cell>
        </row>
        <row r="854">
          <cell r="A854" t="str">
            <v>7230DW</v>
          </cell>
          <cell r="B854" t="str">
            <v>SHIPPER CTN UNPRINTED-DW</v>
          </cell>
          <cell r="C854" t="str">
            <v>EA</v>
          </cell>
          <cell r="D854" t="str">
            <v>MZ1</v>
          </cell>
          <cell r="E854">
            <v>75</v>
          </cell>
        </row>
        <row r="855">
          <cell r="A855" t="str">
            <v>7230S</v>
          </cell>
          <cell r="B855" t="str">
            <v>UNPRINTED CTN</v>
          </cell>
          <cell r="C855" t="str">
            <v>EA</v>
          </cell>
          <cell r="D855" t="str">
            <v>MZ4</v>
          </cell>
          <cell r="E855">
            <v>1903</v>
          </cell>
        </row>
        <row r="856">
          <cell r="A856" t="str">
            <v>7231A</v>
          </cell>
          <cell r="B856" t="str">
            <v>26X36"BLUE SMS STERILE F/</v>
          </cell>
          <cell r="C856" t="str">
            <v>EA</v>
          </cell>
          <cell r="D856">
            <v>62</v>
          </cell>
          <cell r="E856">
            <v>935</v>
          </cell>
        </row>
        <row r="857">
          <cell r="A857" t="str">
            <v>7245</v>
          </cell>
          <cell r="B857" t="str">
            <v>Unp Ship Ctn</v>
          </cell>
          <cell r="C857" t="str">
            <v>EA</v>
          </cell>
          <cell r="D857" t="str">
            <v>MZ2</v>
          </cell>
          <cell r="E857">
            <v>3027</v>
          </cell>
        </row>
        <row r="858">
          <cell r="A858" t="str">
            <v>7254-1</v>
          </cell>
          <cell r="B858" t="str">
            <v>POLYESTER BRAID</v>
          </cell>
          <cell r="C858" t="str">
            <v>LY</v>
          </cell>
          <cell r="D858">
            <v>56</v>
          </cell>
          <cell r="E858">
            <v>150000</v>
          </cell>
        </row>
        <row r="859">
          <cell r="A859" t="str">
            <v>7257</v>
          </cell>
          <cell r="B859" t="str">
            <v>Polybags</v>
          </cell>
          <cell r="C859" t="str">
            <v>EA</v>
          </cell>
          <cell r="D859">
            <v>61</v>
          </cell>
          <cell r="E859">
            <v>22492</v>
          </cell>
        </row>
        <row r="860">
          <cell r="A860" t="str">
            <v>725PM</v>
          </cell>
          <cell r="B860" t="str">
            <v>Comps for Shrouds&amp;P.Mort</v>
          </cell>
          <cell r="C860" t="str">
            <v>EA</v>
          </cell>
          <cell r="D860">
            <v>58</v>
          </cell>
          <cell r="E860">
            <v>4500</v>
          </cell>
        </row>
        <row r="861">
          <cell r="A861" t="str">
            <v>725PM</v>
          </cell>
          <cell r="B861" t="str">
            <v>Comps for Shrouds&amp;P.Mort</v>
          </cell>
          <cell r="C861" t="str">
            <v>EA</v>
          </cell>
          <cell r="D861">
            <v>57</v>
          </cell>
          <cell r="E861">
            <v>3900</v>
          </cell>
        </row>
        <row r="862">
          <cell r="A862" t="str">
            <v>7275A</v>
          </cell>
          <cell r="B862" t="str">
            <v>UNPRINTED CTN FOR/727/728</v>
          </cell>
          <cell r="C862" t="str">
            <v>EA</v>
          </cell>
          <cell r="D862" t="str">
            <v>MZ5</v>
          </cell>
          <cell r="E862">
            <v>217</v>
          </cell>
        </row>
        <row r="863">
          <cell r="A863" t="str">
            <v>7294A</v>
          </cell>
          <cell r="B863" t="str">
            <v>Unprinted Ctn for 9447</v>
          </cell>
          <cell r="C863" t="str">
            <v>EA</v>
          </cell>
          <cell r="D863" t="str">
            <v>MZ7</v>
          </cell>
          <cell r="E863">
            <v>1115</v>
          </cell>
        </row>
        <row r="864">
          <cell r="A864" t="str">
            <v>7324-1</v>
          </cell>
          <cell r="B864" t="str">
            <v>MINI STITCH CUTTER W/C/TP</v>
          </cell>
          <cell r="C864" t="str">
            <v>EA</v>
          </cell>
          <cell r="D864">
            <v>7</v>
          </cell>
          <cell r="E864">
            <v>10419</v>
          </cell>
        </row>
        <row r="865">
          <cell r="A865" t="str">
            <v>7362</v>
          </cell>
          <cell r="B865" t="str">
            <v>Disp for BI Indicators</v>
          </cell>
          <cell r="C865" t="str">
            <v>EA</v>
          </cell>
          <cell r="D865" t="str">
            <v>MZ6</v>
          </cell>
          <cell r="E865">
            <v>899</v>
          </cell>
        </row>
        <row r="866">
          <cell r="A866" t="str">
            <v>7371L</v>
          </cell>
          <cell r="B866" t="str">
            <v>LITTAUER WITH PLASTIC HDL</v>
          </cell>
          <cell r="C866" t="str">
            <v>EA</v>
          </cell>
          <cell r="D866">
            <v>44</v>
          </cell>
          <cell r="E866">
            <v>22246</v>
          </cell>
        </row>
        <row r="867">
          <cell r="A867" t="str">
            <v>7419A</v>
          </cell>
          <cell r="B867" t="str">
            <v>P/F TRILON GLOVES XLG</v>
          </cell>
          <cell r="C867" t="str">
            <v>EA</v>
          </cell>
          <cell r="D867">
            <v>18</v>
          </cell>
          <cell r="E867">
            <v>3721</v>
          </cell>
        </row>
        <row r="868">
          <cell r="A868" t="str">
            <v>7439A</v>
          </cell>
          <cell r="B868" t="str">
            <v>23G X5" QUINCKE SPINAL</v>
          </cell>
          <cell r="C868" t="str">
            <v>EA</v>
          </cell>
        </row>
        <row r="869">
          <cell r="A869" t="str">
            <v>7440N</v>
          </cell>
          <cell r="B869" t="str">
            <v>Nitrile Glove M PF Wallet</v>
          </cell>
          <cell r="C869" t="str">
            <v>PR</v>
          </cell>
          <cell r="D869">
            <v>17</v>
          </cell>
          <cell r="E869">
            <v>15185</v>
          </cell>
        </row>
        <row r="870">
          <cell r="A870" t="str">
            <v>7451B</v>
          </cell>
          <cell r="B870" t="str">
            <v>STER 1X8"PETROLATUM GAUZE</v>
          </cell>
          <cell r="C870" t="str">
            <v>EA</v>
          </cell>
          <cell r="D870">
            <v>14</v>
          </cell>
          <cell r="E870">
            <v>485</v>
          </cell>
        </row>
        <row r="871">
          <cell r="A871" t="str">
            <v>7461A</v>
          </cell>
          <cell r="B871" t="str">
            <v>ONE COMP APET TRAY</v>
          </cell>
          <cell r="C871" t="str">
            <v>EA</v>
          </cell>
        </row>
        <row r="872">
          <cell r="A872" t="str">
            <v>7470A</v>
          </cell>
          <cell r="B872" t="str">
            <v>4.5" IRIS STR W/PROTECTOR</v>
          </cell>
          <cell r="C872" t="str">
            <v>EA</v>
          </cell>
          <cell r="D872">
            <v>38</v>
          </cell>
          <cell r="E872">
            <v>13127</v>
          </cell>
        </row>
        <row r="873">
          <cell r="A873" t="str">
            <v>7490B</v>
          </cell>
          <cell r="B873" t="str">
            <v>3.5 MIL X 9-5/8" PLASTIC</v>
          </cell>
          <cell r="C873" t="str">
            <v>LB</v>
          </cell>
          <cell r="D873">
            <v>35</v>
          </cell>
          <cell r="E873">
            <v>5593</v>
          </cell>
        </row>
        <row r="874">
          <cell r="A874" t="str">
            <v>7491</v>
          </cell>
          <cell r="B874" t="str">
            <v>18 Gauge x 1.5"Needle</v>
          </cell>
          <cell r="C874" t="str">
            <v>EA</v>
          </cell>
          <cell r="D874" t="str">
            <v>N10</v>
          </cell>
          <cell r="E874">
            <v>35993</v>
          </cell>
        </row>
        <row r="875">
          <cell r="A875" t="str">
            <v>7492A</v>
          </cell>
          <cell r="B875" t="str">
            <v>N-Ster 27Gaugex1.5"Needle</v>
          </cell>
          <cell r="C875" t="str">
            <v>EA</v>
          </cell>
          <cell r="D875" t="str">
            <v>N7</v>
          </cell>
          <cell r="E875">
            <v>47685</v>
          </cell>
        </row>
        <row r="876">
          <cell r="A876" t="str">
            <v>7493</v>
          </cell>
          <cell r="B876" t="str">
            <v>25 Gauge x 5/8 Needle</v>
          </cell>
          <cell r="C876" t="str">
            <v>EA</v>
          </cell>
          <cell r="D876" t="str">
            <v>N7</v>
          </cell>
          <cell r="E876">
            <v>11976</v>
          </cell>
        </row>
        <row r="877">
          <cell r="A877" t="str">
            <v>7494-1</v>
          </cell>
          <cell r="B877" t="str">
            <v>N/S 10CC L/LOCK SYR. L/F</v>
          </cell>
          <cell r="C877" t="str">
            <v>EA</v>
          </cell>
          <cell r="D877">
            <v>18</v>
          </cell>
          <cell r="E877">
            <v>17332</v>
          </cell>
        </row>
        <row r="878">
          <cell r="A878" t="str">
            <v>7494-3</v>
          </cell>
          <cell r="B878" t="str">
            <v>12 CC L/L SYRINGE</v>
          </cell>
          <cell r="C878" t="str">
            <v>EA</v>
          </cell>
          <cell r="D878">
            <v>26</v>
          </cell>
          <cell r="E878">
            <v>18514</v>
          </cell>
        </row>
        <row r="879">
          <cell r="A879" t="str">
            <v>7494A</v>
          </cell>
          <cell r="B879" t="str">
            <v>SPONGE STICK W/O LOGO</v>
          </cell>
          <cell r="C879" t="str">
            <v>EA</v>
          </cell>
          <cell r="D879">
            <v>26</v>
          </cell>
          <cell r="E879">
            <v>13582</v>
          </cell>
        </row>
        <row r="880">
          <cell r="A880" t="str">
            <v>7495</v>
          </cell>
          <cell r="B880" t="str">
            <v>60ML MEDICINE CUP</v>
          </cell>
          <cell r="C880" t="str">
            <v>EA</v>
          </cell>
          <cell r="D880">
            <v>17</v>
          </cell>
          <cell r="E880">
            <v>83126</v>
          </cell>
        </row>
        <row r="881">
          <cell r="A881" t="str">
            <v>7500</v>
          </cell>
          <cell r="B881" t="str">
            <v>15 Mil PVC</v>
          </cell>
          <cell r="C881" t="str">
            <v>LB</v>
          </cell>
          <cell r="D881">
            <v>35</v>
          </cell>
          <cell r="E881">
            <v>5128</v>
          </cell>
        </row>
        <row r="882">
          <cell r="A882" t="str">
            <v>7501</v>
          </cell>
          <cell r="B882" t="str">
            <v>13X19 Wht Absorbent Towel</v>
          </cell>
          <cell r="C882" t="str">
            <v>EA</v>
          </cell>
          <cell r="D882">
            <v>30</v>
          </cell>
          <cell r="E882">
            <v>46114</v>
          </cell>
        </row>
        <row r="883">
          <cell r="A883" t="str">
            <v>7506-1</v>
          </cell>
          <cell r="B883" t="str">
            <v>unptd shipper ctn for 750</v>
          </cell>
          <cell r="C883" t="str">
            <v>EA</v>
          </cell>
          <cell r="D883" t="str">
            <v>MZ6</v>
          </cell>
          <cell r="E883">
            <v>445</v>
          </cell>
        </row>
        <row r="884">
          <cell r="A884" t="str">
            <v>7511</v>
          </cell>
          <cell r="B884" t="str">
            <v>4.5"Sharp/Sharp Scissor</v>
          </cell>
          <cell r="C884" t="str">
            <v>EA</v>
          </cell>
          <cell r="D884">
            <v>17</v>
          </cell>
          <cell r="E884">
            <v>15873</v>
          </cell>
        </row>
        <row r="885">
          <cell r="A885" t="str">
            <v>7512</v>
          </cell>
          <cell r="B885" t="str">
            <v>5"Tissue Forcep</v>
          </cell>
          <cell r="C885" t="str">
            <v>EA</v>
          </cell>
          <cell r="D885">
            <v>49</v>
          </cell>
          <cell r="E885">
            <v>43993</v>
          </cell>
        </row>
        <row r="886">
          <cell r="A886" t="str">
            <v>7513N</v>
          </cell>
          <cell r="B886" t="str">
            <v>Baumgartner Needleholder</v>
          </cell>
          <cell r="C886" t="str">
            <v>EA</v>
          </cell>
          <cell r="D886">
            <v>38</v>
          </cell>
          <cell r="E886">
            <v>19896</v>
          </cell>
        </row>
        <row r="887">
          <cell r="A887" t="str">
            <v>7515FS</v>
          </cell>
          <cell r="B887" t="str">
            <v>2FS TYVEK, COATED,308MM</v>
          </cell>
          <cell r="C887" t="str">
            <v>MI</v>
          </cell>
          <cell r="D887">
            <v>35</v>
          </cell>
          <cell r="E887">
            <v>16764</v>
          </cell>
        </row>
        <row r="888">
          <cell r="A888" t="str">
            <v>7516</v>
          </cell>
          <cell r="B888" t="str">
            <v>18X26B/W/Twl Ptnd</v>
          </cell>
          <cell r="C888" t="str">
            <v>EA</v>
          </cell>
          <cell r="D888">
            <v>68</v>
          </cell>
          <cell r="E888">
            <v>23163</v>
          </cell>
        </row>
        <row r="889">
          <cell r="A889" t="str">
            <v>7519</v>
          </cell>
          <cell r="B889" t="str">
            <v>18X26 Fenestrated Drape</v>
          </cell>
          <cell r="C889" t="str">
            <v>EA</v>
          </cell>
          <cell r="D889">
            <v>71</v>
          </cell>
          <cell r="E889">
            <v>90468</v>
          </cell>
        </row>
        <row r="890">
          <cell r="A890" t="str">
            <v>7519</v>
          </cell>
          <cell r="B890" t="str">
            <v>18X26 Fenestrated Drape</v>
          </cell>
          <cell r="C890" t="str">
            <v>EA</v>
          </cell>
          <cell r="D890" t="str">
            <v>CIR</v>
          </cell>
          <cell r="E890">
            <v>57939</v>
          </cell>
        </row>
        <row r="891">
          <cell r="A891" t="str">
            <v>7522C</v>
          </cell>
          <cell r="B891" t="str">
            <v>Sterile Lg Alcohol Pad</v>
          </cell>
          <cell r="C891" t="str">
            <v>EA</v>
          </cell>
          <cell r="D891">
            <v>18</v>
          </cell>
          <cell r="E891">
            <v>8397</v>
          </cell>
        </row>
        <row r="892">
          <cell r="A892" t="str">
            <v>7524</v>
          </cell>
          <cell r="B892" t="str">
            <v>3"Applicator for 752-755</v>
          </cell>
          <cell r="C892" t="str">
            <v>EA</v>
          </cell>
          <cell r="D892">
            <v>20</v>
          </cell>
          <cell r="E892">
            <v>4656</v>
          </cell>
        </row>
        <row r="893">
          <cell r="A893" t="str">
            <v>7526L</v>
          </cell>
          <cell r="B893" t="str">
            <v>5"MOSQ HEMO CVD/LG LOOP</v>
          </cell>
          <cell r="C893" t="str">
            <v>EA</v>
          </cell>
          <cell r="D893">
            <v>45</v>
          </cell>
          <cell r="E893">
            <v>9641</v>
          </cell>
        </row>
        <row r="894">
          <cell r="A894" t="str">
            <v>7526N</v>
          </cell>
          <cell r="B894" t="str">
            <v>5"Mosquito Hemostat Cvd</v>
          </cell>
          <cell r="C894" t="str">
            <v>EA</v>
          </cell>
          <cell r="D894">
            <v>30</v>
          </cell>
          <cell r="E894">
            <v>8620</v>
          </cell>
        </row>
        <row r="895">
          <cell r="A895" t="str">
            <v>7531L</v>
          </cell>
          <cell r="B895" t="str">
            <v>5"HALST MOSQ HEMO STR LG</v>
          </cell>
          <cell r="C895" t="str">
            <v>EA</v>
          </cell>
          <cell r="D895">
            <v>38</v>
          </cell>
          <cell r="E895">
            <v>6336</v>
          </cell>
        </row>
        <row r="896">
          <cell r="A896" t="str">
            <v>7531N</v>
          </cell>
          <cell r="B896" t="str">
            <v>5"Mosquito Hemostat str</v>
          </cell>
          <cell r="C896" t="str">
            <v>EA</v>
          </cell>
          <cell r="D896">
            <v>47</v>
          </cell>
          <cell r="E896">
            <v>6028</v>
          </cell>
        </row>
        <row r="897">
          <cell r="A897" t="str">
            <v>7537</v>
          </cell>
          <cell r="B897" t="str">
            <v>2"Safety Pins for 752-755</v>
          </cell>
          <cell r="C897" t="str">
            <v>EA</v>
          </cell>
          <cell r="D897">
            <v>20</v>
          </cell>
          <cell r="E897">
            <v>10426</v>
          </cell>
        </row>
        <row r="898">
          <cell r="A898" t="str">
            <v>7541</v>
          </cell>
          <cell r="B898" t="str">
            <v>5 1/4" SHARP/BLUNT</v>
          </cell>
          <cell r="C898" t="str">
            <v>EA</v>
          </cell>
          <cell r="D898">
            <v>49</v>
          </cell>
          <cell r="E898">
            <v>27037</v>
          </cell>
        </row>
        <row r="899">
          <cell r="A899" t="str">
            <v>7541A</v>
          </cell>
          <cell r="B899" t="str">
            <v>5 1/4" S/B SCISSORS</v>
          </cell>
          <cell r="C899" t="str">
            <v>EA</v>
          </cell>
        </row>
        <row r="900">
          <cell r="A900" t="str">
            <v>7542N</v>
          </cell>
          <cell r="B900" t="str">
            <v>5.5"KELLY HEMOSTAT CURVED</v>
          </cell>
          <cell r="C900" t="str">
            <v>EA</v>
          </cell>
          <cell r="D900">
            <v>38</v>
          </cell>
          <cell r="E900">
            <v>-38</v>
          </cell>
        </row>
        <row r="901">
          <cell r="A901" t="str">
            <v>7546-1</v>
          </cell>
          <cell r="B901" t="str">
            <v>UNPRINTED SHIPPER CTN</v>
          </cell>
          <cell r="C901" t="str">
            <v>EA</v>
          </cell>
          <cell r="D901" t="str">
            <v>MZ3</v>
          </cell>
          <cell r="E901">
            <v>504</v>
          </cell>
        </row>
        <row r="902">
          <cell r="A902" t="str">
            <v>7549</v>
          </cell>
          <cell r="B902" t="str">
            <v>UNPRINTED CARTON</v>
          </cell>
          <cell r="C902" t="str">
            <v>EA</v>
          </cell>
          <cell r="D902" t="str">
            <v>MZ6</v>
          </cell>
          <cell r="E902">
            <v>546</v>
          </cell>
        </row>
        <row r="903">
          <cell r="A903" t="str">
            <v>7549DW</v>
          </cell>
          <cell r="B903" t="str">
            <v>SHIPPER CTN - DOUBLE WALL</v>
          </cell>
          <cell r="C903" t="str">
            <v>EA</v>
          </cell>
        </row>
        <row r="904">
          <cell r="A904" t="str">
            <v>7551N</v>
          </cell>
          <cell r="B904" t="str">
            <v>5.5"Kelly Hemostat Strght</v>
          </cell>
          <cell r="C904" t="str">
            <v>EA</v>
          </cell>
          <cell r="D904">
            <v>17</v>
          </cell>
          <cell r="E904">
            <v>18330</v>
          </cell>
        </row>
        <row r="905">
          <cell r="A905" t="str">
            <v>7563-2</v>
          </cell>
          <cell r="B905" t="str">
            <v>4"X4"12PLYGAUZE/PROCESSED</v>
          </cell>
          <cell r="C905" t="str">
            <v>EA</v>
          </cell>
          <cell r="D905">
            <v>19</v>
          </cell>
          <cell r="E905">
            <v>27903</v>
          </cell>
        </row>
        <row r="906">
          <cell r="A906" t="str">
            <v>7572-1</v>
          </cell>
          <cell r="B906" t="str">
            <v>IODOPHOR PVP SWABS{1}</v>
          </cell>
          <cell r="C906" t="str">
            <v>EA</v>
          </cell>
          <cell r="D906">
            <v>14</v>
          </cell>
          <cell r="E906">
            <v>5088</v>
          </cell>
        </row>
        <row r="907">
          <cell r="A907" t="str">
            <v>7573FN</v>
          </cell>
          <cell r="B907" t="str">
            <v>5" Halsey Needhldr/f/pt</v>
          </cell>
          <cell r="C907" t="str">
            <v>EA</v>
          </cell>
          <cell r="D907">
            <v>38</v>
          </cell>
          <cell r="E907">
            <v>2116</v>
          </cell>
        </row>
        <row r="908">
          <cell r="A908" t="str">
            <v>7573L</v>
          </cell>
          <cell r="B908" t="str">
            <v>5"WEBSTER NHLDR/LG LOOP</v>
          </cell>
          <cell r="C908" t="str">
            <v>EA</v>
          </cell>
          <cell r="D908">
            <v>47</v>
          </cell>
          <cell r="E908">
            <v>20780</v>
          </cell>
        </row>
        <row r="909">
          <cell r="A909" t="str">
            <v>7573N</v>
          </cell>
          <cell r="B909" t="str">
            <v>5" Webster Needleholder</v>
          </cell>
          <cell r="C909" t="str">
            <v>EA</v>
          </cell>
          <cell r="D909">
            <v>47</v>
          </cell>
          <cell r="E909">
            <v>4220</v>
          </cell>
        </row>
        <row r="910">
          <cell r="A910" t="str">
            <v>7573SFN</v>
          </cell>
          <cell r="B910" t="str">
            <v>HALSEY F/PT NDLEHDR SATIN</v>
          </cell>
          <cell r="C910" t="str">
            <v>EA</v>
          </cell>
          <cell r="D910">
            <v>45</v>
          </cell>
          <cell r="E910">
            <v>21437</v>
          </cell>
        </row>
        <row r="911">
          <cell r="A911" t="str">
            <v>7575A</v>
          </cell>
          <cell r="B911" t="str">
            <v>Unprinted Carton</v>
          </cell>
          <cell r="C911" t="str">
            <v>EA</v>
          </cell>
          <cell r="D911" t="str">
            <v>MZ6</v>
          </cell>
          <cell r="E911">
            <v>3220</v>
          </cell>
        </row>
        <row r="912">
          <cell r="A912" t="str">
            <v>7576SNL</v>
          </cell>
          <cell r="B912" t="str">
            <v>6"HALSEY FP LGE LOOP STN</v>
          </cell>
          <cell r="C912" t="str">
            <v>EA</v>
          </cell>
          <cell r="D912">
            <v>25</v>
          </cell>
          <cell r="E912">
            <v>787</v>
          </cell>
        </row>
        <row r="913">
          <cell r="A913" t="str">
            <v>7581-1</v>
          </cell>
          <cell r="B913" t="str">
            <v>#11 SCALPEL W/T/PROTECTOR</v>
          </cell>
          <cell r="C913" t="str">
            <v>EA</v>
          </cell>
          <cell r="D913">
            <v>24</v>
          </cell>
          <cell r="E913">
            <v>1297</v>
          </cell>
        </row>
        <row r="914">
          <cell r="A914" t="str">
            <v>7595B</v>
          </cell>
          <cell r="B914" t="str">
            <v>Transfer Forcep Aqua</v>
          </cell>
          <cell r="C914" t="str">
            <v>EA</v>
          </cell>
          <cell r="D914">
            <v>56</v>
          </cell>
          <cell r="E914">
            <v>34565</v>
          </cell>
        </row>
        <row r="915">
          <cell r="A915" t="str">
            <v>7597</v>
          </cell>
          <cell r="B915" t="str">
            <v>#1527 1x54"Transpore Tape</v>
          </cell>
          <cell r="C915" t="str">
            <v>EA</v>
          </cell>
          <cell r="D915">
            <v>24</v>
          </cell>
          <cell r="E915">
            <v>1496</v>
          </cell>
        </row>
        <row r="916">
          <cell r="A916" t="str">
            <v>7600A</v>
          </cell>
          <cell r="B916" t="str">
            <v>3-WAY STOPCOCK</v>
          </cell>
          <cell r="C916" t="str">
            <v>EA</v>
          </cell>
          <cell r="D916">
            <v>24</v>
          </cell>
          <cell r="E916">
            <v>165</v>
          </cell>
        </row>
        <row r="917">
          <cell r="A917" t="str">
            <v>7631</v>
          </cell>
          <cell r="B917" t="str">
            <v>Medi-Rule</v>
          </cell>
          <cell r="C917" t="str">
            <v>EA</v>
          </cell>
          <cell r="D917">
            <v>21</v>
          </cell>
          <cell r="E917">
            <v>13494</v>
          </cell>
        </row>
        <row r="918">
          <cell r="A918" t="str">
            <v>7645A</v>
          </cell>
          <cell r="B918" t="str">
            <v>19G X7/8"N/W/12"SM/V/I/S</v>
          </cell>
          <cell r="C918" t="str">
            <v>EA</v>
          </cell>
        </row>
        <row r="919">
          <cell r="A919" t="str">
            <v>7645B</v>
          </cell>
          <cell r="B919" t="str">
            <v>INSTRUCTION/S DO NOT ORDE</v>
          </cell>
          <cell r="C919" t="str">
            <v>EA</v>
          </cell>
        </row>
        <row r="920">
          <cell r="A920" t="str">
            <v>7645C</v>
          </cell>
          <cell r="B920" t="str">
            <v>8.5ML VACUT/W/ACD A/SOLUT</v>
          </cell>
          <cell r="C920" t="str">
            <v>EA</v>
          </cell>
        </row>
        <row r="921">
          <cell r="A921" t="str">
            <v>7660B</v>
          </cell>
          <cell r="B921" t="str">
            <v>SAF-SHIELD/SPLASH GUARD</v>
          </cell>
          <cell r="C921" t="str">
            <v>EA</v>
          </cell>
          <cell r="D921">
            <v>64</v>
          </cell>
          <cell r="E921">
            <v>74867</v>
          </cell>
        </row>
        <row r="922">
          <cell r="A922" t="str">
            <v>7661-2</v>
          </cell>
          <cell r="B922" t="str">
            <v>INSTRUCTION SHEET</v>
          </cell>
          <cell r="C922" t="str">
            <v>EA</v>
          </cell>
          <cell r="D922">
            <v>6</v>
          </cell>
          <cell r="E922">
            <v>2824</v>
          </cell>
        </row>
        <row r="923">
          <cell r="A923" t="str">
            <v>7680A</v>
          </cell>
          <cell r="B923" t="str">
            <v>5"WEBSTER SUTURE-GLIDE NH</v>
          </cell>
          <cell r="C923" t="str">
            <v>EA</v>
          </cell>
          <cell r="D923">
            <v>30</v>
          </cell>
          <cell r="E923">
            <v>937</v>
          </cell>
        </row>
        <row r="924">
          <cell r="A924" t="str">
            <v>7681A</v>
          </cell>
          <cell r="B924" t="str">
            <v>4 3/4" ADSON 1X2 PREMIUM</v>
          </cell>
          <cell r="C924" t="str">
            <v>EA</v>
          </cell>
          <cell r="D924">
            <v>31</v>
          </cell>
          <cell r="E924">
            <v>1945</v>
          </cell>
        </row>
        <row r="925">
          <cell r="A925" t="str">
            <v>7682A</v>
          </cell>
          <cell r="B925" t="str">
            <v>4.75"ADSON SERR,PREMIUM</v>
          </cell>
          <cell r="C925" t="str">
            <v>EA</v>
          </cell>
          <cell r="D925">
            <v>30</v>
          </cell>
          <cell r="E925">
            <v>962</v>
          </cell>
        </row>
        <row r="926">
          <cell r="A926" t="str">
            <v>7683A</v>
          </cell>
          <cell r="B926" t="str">
            <v>4.5"LITT STITCH,PREMIUM</v>
          </cell>
          <cell r="C926" t="str">
            <v>EA</v>
          </cell>
        </row>
        <row r="927">
          <cell r="A927" t="str">
            <v>7684A</v>
          </cell>
          <cell r="B927" t="str">
            <v>4.5"IRIS STR,PREMIUM</v>
          </cell>
          <cell r="C927" t="str">
            <v>EA</v>
          </cell>
          <cell r="D927">
            <v>31</v>
          </cell>
          <cell r="E927">
            <v>1374</v>
          </cell>
        </row>
        <row r="928">
          <cell r="A928" t="str">
            <v>7685A</v>
          </cell>
          <cell r="B928" t="str">
            <v>4.5"IRIS CRVD, PREMIUM</v>
          </cell>
          <cell r="C928" t="str">
            <v>EA</v>
          </cell>
          <cell r="D928">
            <v>30</v>
          </cell>
          <cell r="E928">
            <v>345</v>
          </cell>
        </row>
        <row r="929">
          <cell r="A929" t="str">
            <v>7686A</v>
          </cell>
          <cell r="B929" t="str">
            <v>4.5 S/B SCISSORS,PREMIUM</v>
          </cell>
          <cell r="C929" t="str">
            <v>EA</v>
          </cell>
        </row>
        <row r="930">
          <cell r="A930" t="str">
            <v>7688A</v>
          </cell>
          <cell r="B930" t="str">
            <v>5" MOSQ HEMO,CVD,PREMIUM</v>
          </cell>
          <cell r="C930" t="str">
            <v>EA</v>
          </cell>
          <cell r="D930">
            <v>31</v>
          </cell>
          <cell r="E930">
            <v>288</v>
          </cell>
        </row>
        <row r="931">
          <cell r="A931" t="str">
            <v>7689A</v>
          </cell>
          <cell r="B931" t="str">
            <v>5"MOSQ HEMO,STR,PREMIUM</v>
          </cell>
          <cell r="C931" t="str">
            <v>EA</v>
          </cell>
        </row>
        <row r="932">
          <cell r="A932" t="str">
            <v>7691A</v>
          </cell>
          <cell r="B932" t="str">
            <v>5.5"KELLY STR,PREMIUM</v>
          </cell>
          <cell r="C932" t="str">
            <v>EA</v>
          </cell>
        </row>
        <row r="933">
          <cell r="A933" t="str">
            <v>7692A</v>
          </cell>
          <cell r="B933" t="str">
            <v>6"WEBSTER SUTURE GLIDE</v>
          </cell>
          <cell r="C933" t="str">
            <v>EA</v>
          </cell>
        </row>
        <row r="934">
          <cell r="A934" t="str">
            <v>7693A</v>
          </cell>
          <cell r="B934" t="str">
            <v>4.5"B/B SCISSORS,PREMIUM</v>
          </cell>
          <cell r="C934" t="str">
            <v>EA</v>
          </cell>
        </row>
        <row r="935">
          <cell r="A935" t="str">
            <v>7701-3</v>
          </cell>
          <cell r="B935" t="str">
            <v>UNPRTD DISP 770</v>
          </cell>
          <cell r="C935" t="str">
            <v>EA</v>
          </cell>
          <cell r="D935" t="str">
            <v>MZ7</v>
          </cell>
          <cell r="E935">
            <v>196</v>
          </cell>
        </row>
        <row r="936">
          <cell r="A936" t="str">
            <v>7702-1</v>
          </cell>
          <cell r="B936" t="str">
            <v>UNPRTD SHIPPER CTN</v>
          </cell>
          <cell r="C936" t="str">
            <v>EA</v>
          </cell>
          <cell r="D936" t="str">
            <v>MZ7</v>
          </cell>
          <cell r="E936">
            <v>669</v>
          </cell>
        </row>
        <row r="937">
          <cell r="A937" t="str">
            <v>7702-2</v>
          </cell>
          <cell r="B937" t="str">
            <v>SHIPPER CTN</v>
          </cell>
          <cell r="C937" t="str">
            <v>EA</v>
          </cell>
          <cell r="D937" t="str">
            <v>MZ4</v>
          </cell>
          <cell r="E937">
            <v>309</v>
          </cell>
        </row>
        <row r="938">
          <cell r="A938" t="str">
            <v>7713A</v>
          </cell>
          <cell r="B938" t="str">
            <v>STER 6"STD BORE EXT SET</v>
          </cell>
          <cell r="C938" t="str">
            <v>EA</v>
          </cell>
        </row>
        <row r="939">
          <cell r="A939" t="str">
            <v>7713B</v>
          </cell>
          <cell r="B939" t="str">
            <v>INSTR 7713A DO NOT ORDER</v>
          </cell>
          <cell r="C939" t="str">
            <v>EA</v>
          </cell>
        </row>
        <row r="940">
          <cell r="A940" t="str">
            <v>7720A</v>
          </cell>
          <cell r="B940" t="str">
            <v>STAPLE REMOVAL W/P/HANDLE</v>
          </cell>
          <cell r="C940" t="str">
            <v>EA</v>
          </cell>
          <cell r="D940">
            <v>32</v>
          </cell>
          <cell r="E940">
            <v>35702</v>
          </cell>
        </row>
        <row r="941">
          <cell r="A941" t="str">
            <v>7720S</v>
          </cell>
          <cell r="B941" t="str">
            <v>UNPRINTED CTN</v>
          </cell>
          <cell r="C941" t="str">
            <v>EA</v>
          </cell>
          <cell r="D941" t="str">
            <v>MZ5</v>
          </cell>
          <cell r="E941">
            <v>941</v>
          </cell>
        </row>
        <row r="942">
          <cell r="A942" t="str">
            <v>7730A</v>
          </cell>
          <cell r="B942" t="str">
            <v>CORRIGATED INSERT</v>
          </cell>
          <cell r="C942" t="str">
            <v>EA</v>
          </cell>
          <cell r="D942" t="str">
            <v>MZ6</v>
          </cell>
          <cell r="E942">
            <v>2179</v>
          </cell>
        </row>
        <row r="943">
          <cell r="A943" t="str">
            <v>7792A</v>
          </cell>
          <cell r="B943" t="str">
            <v>30"X42" BLUE PATIENT GOWN</v>
          </cell>
          <cell r="C943" t="str">
            <v>EA</v>
          </cell>
          <cell r="D943">
            <v>18</v>
          </cell>
          <cell r="E943">
            <v>156</v>
          </cell>
        </row>
        <row r="944">
          <cell r="A944" t="str">
            <v>7820A</v>
          </cell>
          <cell r="B944" t="str">
            <v>WEBSTER PREM L/L DBL BVL</v>
          </cell>
          <cell r="C944" t="str">
            <v>EA</v>
          </cell>
          <cell r="D944">
            <v>30</v>
          </cell>
          <cell r="E944">
            <v>390</v>
          </cell>
        </row>
        <row r="945">
          <cell r="A945" t="str">
            <v>7821A</v>
          </cell>
          <cell r="B945" t="str">
            <v>HALSEY NEEDLHDR PREM L/L</v>
          </cell>
          <cell r="C945" t="str">
            <v>EA</v>
          </cell>
          <cell r="D945">
            <v>5</v>
          </cell>
          <cell r="E945">
            <v>456</v>
          </cell>
        </row>
        <row r="946">
          <cell r="A946" t="str">
            <v>7822A</v>
          </cell>
          <cell r="B946" t="str">
            <v>ADSON SER PREM SOFT TOUCH</v>
          </cell>
          <cell r="C946" t="str">
            <v>EA</v>
          </cell>
          <cell r="D946">
            <v>34</v>
          </cell>
          <cell r="E946">
            <v>800</v>
          </cell>
        </row>
        <row r="947">
          <cell r="A947" t="str">
            <v>7823A</v>
          </cell>
          <cell r="B947" t="str">
            <v>KELLY HEMO, CRVD,PREM L/L</v>
          </cell>
          <cell r="C947" t="str">
            <v>EA</v>
          </cell>
          <cell r="D947">
            <v>31</v>
          </cell>
          <cell r="E947">
            <v>279</v>
          </cell>
        </row>
        <row r="948">
          <cell r="A948" t="str">
            <v>7824A</v>
          </cell>
          <cell r="B948" t="str">
            <v>IRIS SCISS, STR,PREM,L/L</v>
          </cell>
          <cell r="C948" t="str">
            <v>EA</v>
          </cell>
          <cell r="D948">
            <v>29</v>
          </cell>
          <cell r="E948">
            <v>1047</v>
          </cell>
        </row>
        <row r="949">
          <cell r="A949" t="str">
            <v>7825A</v>
          </cell>
          <cell r="B949" t="str">
            <v>OR SCISS4.5",S/B,PREM,L/L</v>
          </cell>
          <cell r="C949" t="str">
            <v>EA</v>
          </cell>
          <cell r="D949">
            <v>19</v>
          </cell>
          <cell r="E949">
            <v>190</v>
          </cell>
        </row>
        <row r="950">
          <cell r="A950" t="str">
            <v>7826A</v>
          </cell>
          <cell r="B950" t="str">
            <v>VAGINAL SPECULUM W/L/S/AD</v>
          </cell>
          <cell r="C950" t="str">
            <v>EA</v>
          </cell>
          <cell r="D950">
            <v>19</v>
          </cell>
          <cell r="E950">
            <v>472</v>
          </cell>
        </row>
        <row r="951">
          <cell r="A951" t="str">
            <v>7826B</v>
          </cell>
          <cell r="B951" t="str">
            <v>ADSON SERR PREM F/P REG</v>
          </cell>
          <cell r="C951" t="str">
            <v>EA</v>
          </cell>
        </row>
        <row r="952">
          <cell r="A952" t="str">
            <v>7828A</v>
          </cell>
          <cell r="B952" t="str">
            <v>HALSTEAD MOSQ PREM STR LL</v>
          </cell>
          <cell r="C952" t="str">
            <v>EA</v>
          </cell>
          <cell r="D952">
            <v>21</v>
          </cell>
          <cell r="E952">
            <v>190</v>
          </cell>
        </row>
        <row r="953">
          <cell r="A953" t="str">
            <v>7830A</v>
          </cell>
          <cell r="B953" t="str">
            <v>ADSON 1X2 PREM SOFT TOUCH</v>
          </cell>
          <cell r="C953" t="str">
            <v>EA</v>
          </cell>
          <cell r="D953">
            <v>34</v>
          </cell>
          <cell r="E953">
            <v>1612</v>
          </cell>
        </row>
        <row r="954">
          <cell r="A954" t="str">
            <v>7831A</v>
          </cell>
          <cell r="B954" t="str">
            <v>KELLY HEMO, STR, PREM L/L</v>
          </cell>
          <cell r="C954" t="str">
            <v>EA</v>
          </cell>
          <cell r="D954">
            <v>38</v>
          </cell>
          <cell r="E954">
            <v>193</v>
          </cell>
        </row>
        <row r="955">
          <cell r="A955" t="str">
            <v>7832A</v>
          </cell>
          <cell r="B955" t="str">
            <v>IRIS SCISS,CRVD,PREM,L/L</v>
          </cell>
          <cell r="C955" t="str">
            <v>EA</v>
          </cell>
          <cell r="D955">
            <v>22</v>
          </cell>
          <cell r="E955">
            <v>173</v>
          </cell>
        </row>
        <row r="956">
          <cell r="A956" t="str">
            <v>7833A</v>
          </cell>
          <cell r="B956" t="str">
            <v>OR SCISS5.5",S/B,PREM,L/L</v>
          </cell>
          <cell r="C956" t="str">
            <v>EA</v>
          </cell>
          <cell r="D956">
            <v>27</v>
          </cell>
          <cell r="E956">
            <v>195</v>
          </cell>
        </row>
        <row r="957">
          <cell r="A957" t="str">
            <v>7834A</v>
          </cell>
          <cell r="B957" t="str">
            <v>ADSON 1X2 PREM F/P REG</v>
          </cell>
          <cell r="C957" t="str">
            <v>EA</v>
          </cell>
          <cell r="D957">
            <v>30</v>
          </cell>
          <cell r="E957">
            <v>673</v>
          </cell>
        </row>
        <row r="958">
          <cell r="A958" t="str">
            <v>7835A</v>
          </cell>
          <cell r="B958" t="str">
            <v>HALSTEAD MOSQ PREM CRV LL</v>
          </cell>
          <cell r="C958" t="str">
            <v>EA</v>
          </cell>
          <cell r="D958">
            <v>18</v>
          </cell>
          <cell r="E958">
            <v>939</v>
          </cell>
        </row>
        <row r="959">
          <cell r="A959" t="str">
            <v>7836A</v>
          </cell>
          <cell r="B959" t="str">
            <v>WEBSTER 6"PREM DBL BVL LL</v>
          </cell>
          <cell r="C959" t="str">
            <v>EA</v>
          </cell>
          <cell r="D959">
            <v>5</v>
          </cell>
          <cell r="E959">
            <v>193</v>
          </cell>
        </row>
        <row r="960">
          <cell r="A960" t="str">
            <v>7906A</v>
          </cell>
          <cell r="B960" t="str">
            <v>36'MICRO B/SET W/FITMENTS</v>
          </cell>
          <cell r="C960" t="str">
            <v>EA</v>
          </cell>
          <cell r="D960">
            <v>28</v>
          </cell>
          <cell r="E960">
            <v>668</v>
          </cell>
        </row>
        <row r="961">
          <cell r="A961" t="str">
            <v>7911</v>
          </cell>
          <cell r="B961" t="str">
            <v>ONE PIECE /24" TAPE</v>
          </cell>
          <cell r="C961" t="str">
            <v>EA</v>
          </cell>
          <cell r="D961">
            <v>26</v>
          </cell>
          <cell r="E961">
            <v>4181</v>
          </cell>
        </row>
        <row r="962">
          <cell r="A962" t="str">
            <v>7920A</v>
          </cell>
          <cell r="B962" t="str">
            <v>6"SM EXT.SET W/T-CON/ML/L</v>
          </cell>
          <cell r="C962" t="str">
            <v>EA</v>
          </cell>
          <cell r="D962">
            <v>18</v>
          </cell>
          <cell r="E962">
            <v>63</v>
          </cell>
        </row>
        <row r="963">
          <cell r="A963" t="str">
            <v>7937A</v>
          </cell>
          <cell r="B963" t="str">
            <v>12"SM B/W/FIXM@F/L/L EX/S</v>
          </cell>
          <cell r="C963" t="str">
            <v>EA</v>
          </cell>
          <cell r="D963">
            <v>25</v>
          </cell>
          <cell r="E963">
            <v>6209</v>
          </cell>
        </row>
        <row r="964">
          <cell r="A964" t="str">
            <v>7937B</v>
          </cell>
          <cell r="B964" t="str">
            <v>STER 25MM .2MICRON FILTER</v>
          </cell>
          <cell r="C964" t="str">
            <v>EA</v>
          </cell>
          <cell r="D964">
            <v>19</v>
          </cell>
          <cell r="E964">
            <v>627</v>
          </cell>
        </row>
        <row r="965">
          <cell r="A965" t="str">
            <v>7938A</v>
          </cell>
          <cell r="B965" t="str">
            <v>24GX2"HUB/NDLE/STR/P/HUB</v>
          </cell>
          <cell r="C965" t="str">
            <v>EA</v>
          </cell>
          <cell r="D965" t="str">
            <v>N1</v>
          </cell>
          <cell r="E965">
            <v>335</v>
          </cell>
        </row>
        <row r="966">
          <cell r="A966" t="str">
            <v>7938B</v>
          </cell>
          <cell r="B966" t="str">
            <v>24GX11/2" HUB/NDL/STR/HUB</v>
          </cell>
          <cell r="C966" t="str">
            <v>EA</v>
          </cell>
          <cell r="D966" t="str">
            <v>N1</v>
          </cell>
          <cell r="E966">
            <v>325</v>
          </cell>
        </row>
        <row r="967">
          <cell r="A967" t="str">
            <v>7998A</v>
          </cell>
          <cell r="B967" t="str">
            <v>3MM BIOPSY/PUNCH/W/PLUNGE</v>
          </cell>
          <cell r="C967" t="str">
            <v>EA</v>
          </cell>
          <cell r="D967">
            <v>34</v>
          </cell>
          <cell r="E967">
            <v>63</v>
          </cell>
        </row>
        <row r="968">
          <cell r="A968" t="str">
            <v>8000P</v>
          </cell>
          <cell r="B968" t="str">
            <v>TRACH SET PACK#3 714/800</v>
          </cell>
          <cell r="C968" t="str">
            <v>EA</v>
          </cell>
          <cell r="D968">
            <v>26</v>
          </cell>
          <cell r="E968">
            <v>7017</v>
          </cell>
        </row>
        <row r="969">
          <cell r="A969" t="str">
            <v>8001A-1</v>
          </cell>
          <cell r="B969" t="str">
            <v>SALINE SOLUTION 4OZ .9%</v>
          </cell>
          <cell r="C969" t="str">
            <v>EA</v>
          </cell>
          <cell r="D969">
            <v>16</v>
          </cell>
          <cell r="E969">
            <v>14648</v>
          </cell>
        </row>
        <row r="970">
          <cell r="A970" t="str">
            <v>8080A-1</v>
          </cell>
          <cell r="B970" t="str">
            <v>STER 18 GA.X 1"NEEDLE</v>
          </cell>
          <cell r="C970" t="str">
            <v>EA</v>
          </cell>
          <cell r="D970" t="str">
            <v>N2</v>
          </cell>
          <cell r="E970">
            <v>166</v>
          </cell>
        </row>
        <row r="971">
          <cell r="A971" t="str">
            <v>8088B</v>
          </cell>
          <cell r="B971" t="str">
            <v>STER 4X4 OVRSPONGE 2/PKG</v>
          </cell>
          <cell r="C971" t="str">
            <v>PK</v>
          </cell>
          <cell r="D971">
            <v>15</v>
          </cell>
          <cell r="E971">
            <v>688</v>
          </cell>
        </row>
        <row r="972">
          <cell r="A972" t="str">
            <v>8088C</v>
          </cell>
          <cell r="B972" t="str">
            <v>6" x 8" ZIPLOC BAG</v>
          </cell>
          <cell r="C972" t="str">
            <v>EA</v>
          </cell>
          <cell r="D972">
            <v>34</v>
          </cell>
          <cell r="E972">
            <v>12968</v>
          </cell>
        </row>
        <row r="973">
          <cell r="A973" t="str">
            <v>8101A</v>
          </cell>
          <cell r="B973" t="str">
            <v>2X1"6P/PNTD/&amp; 4 B/MED/LB</v>
          </cell>
          <cell r="C973" t="str">
            <v>EA</v>
          </cell>
        </row>
        <row r="974">
          <cell r="A974" t="str">
            <v>8153G</v>
          </cell>
          <cell r="B974" t="str">
            <v>23INX36IN UNDERPAD</v>
          </cell>
          <cell r="C974" t="str">
            <v>EA</v>
          </cell>
          <cell r="D974">
            <v>34</v>
          </cell>
          <cell r="E974">
            <v>3459</v>
          </cell>
        </row>
        <row r="975">
          <cell r="A975" t="str">
            <v>8171A</v>
          </cell>
          <cell r="B975" t="str">
            <v>Blue 3 Compartment P/Tray</v>
          </cell>
          <cell r="C975" t="str">
            <v>EA</v>
          </cell>
          <cell r="D975">
            <v>23</v>
          </cell>
          <cell r="E975">
            <v>194</v>
          </cell>
        </row>
        <row r="976">
          <cell r="A976" t="str">
            <v>8179B</v>
          </cell>
          <cell r="B976" t="str">
            <v>STER 22GA X 1.5 IN NEEDLE</v>
          </cell>
          <cell r="C976" t="str">
            <v>EA</v>
          </cell>
          <cell r="D976" t="str">
            <v>N4</v>
          </cell>
          <cell r="E976">
            <v>995</v>
          </cell>
        </row>
        <row r="977">
          <cell r="A977" t="str">
            <v>8179C</v>
          </cell>
          <cell r="B977" t="str">
            <v>ZIPLOC 6X9IN ORANGE B/BAG</v>
          </cell>
          <cell r="C977" t="str">
            <v>EA</v>
          </cell>
          <cell r="D977">
            <v>5</v>
          </cell>
          <cell r="E977">
            <v>964</v>
          </cell>
        </row>
        <row r="978">
          <cell r="A978" t="str">
            <v>8180A</v>
          </cell>
          <cell r="B978" t="str">
            <v>CHLORAPREP FREPP 1.5ML</v>
          </cell>
          <cell r="C978" t="str">
            <v>EA</v>
          </cell>
          <cell r="D978">
            <v>14</v>
          </cell>
          <cell r="E978">
            <v>578</v>
          </cell>
        </row>
        <row r="979">
          <cell r="A979" t="str">
            <v>8180I</v>
          </cell>
          <cell r="B979" t="str">
            <v>CHLORAPREP 1.5 INSERT</v>
          </cell>
          <cell r="C979" t="str">
            <v>EA</v>
          </cell>
          <cell r="D979">
            <v>6</v>
          </cell>
          <cell r="E979">
            <v>19899</v>
          </cell>
        </row>
        <row r="980">
          <cell r="A980" t="str">
            <v>8184A</v>
          </cell>
          <cell r="B980" t="str">
            <v>SURGEONWALTGLOVS-S/8</v>
          </cell>
          <cell r="C980" t="str">
            <v>PR</v>
          </cell>
          <cell r="D980">
            <v>15</v>
          </cell>
          <cell r="E980">
            <v>57</v>
          </cell>
        </row>
        <row r="981">
          <cell r="A981" t="str">
            <v>8186A</v>
          </cell>
          <cell r="B981" t="str">
            <v>COVADERM DRESSING 4INX4IN</v>
          </cell>
          <cell r="C981" t="str">
            <v>EA</v>
          </cell>
          <cell r="D981">
            <v>27</v>
          </cell>
          <cell r="E981">
            <v>560</v>
          </cell>
        </row>
        <row r="982">
          <cell r="A982" t="str">
            <v>8186B</v>
          </cell>
          <cell r="B982" t="str">
            <v>1INX54IN DURAPORE TAPE</v>
          </cell>
          <cell r="C982" t="str">
            <v>EA</v>
          </cell>
          <cell r="D982">
            <v>20</v>
          </cell>
          <cell r="E982">
            <v>402</v>
          </cell>
        </row>
        <row r="983">
          <cell r="A983" t="str">
            <v>8186G</v>
          </cell>
          <cell r="B983" t="str">
            <v>3/4IN ROUND GREEN/A/LABEL</v>
          </cell>
          <cell r="C983" t="str">
            <v>EA</v>
          </cell>
          <cell r="D983">
            <v>34</v>
          </cell>
          <cell r="E983">
            <v>911</v>
          </cell>
        </row>
        <row r="984">
          <cell r="A984" t="str">
            <v>8186R</v>
          </cell>
          <cell r="B984" t="str">
            <v>3/4IN ROUND RED ADH LABEL</v>
          </cell>
          <cell r="C984" t="str">
            <v>EA</v>
          </cell>
          <cell r="D984">
            <v>5</v>
          </cell>
          <cell r="E984">
            <v>4711</v>
          </cell>
        </row>
        <row r="985">
          <cell r="A985" t="str">
            <v>8190A-1</v>
          </cell>
          <cell r="B985" t="str">
            <v>CHLORAPREP 1.0ML</v>
          </cell>
          <cell r="C985" t="str">
            <v>EA</v>
          </cell>
          <cell r="D985">
            <v>15</v>
          </cell>
          <cell r="E985">
            <v>2765</v>
          </cell>
        </row>
        <row r="986">
          <cell r="A986" t="str">
            <v>8190B</v>
          </cell>
          <cell r="B986" t="str">
            <v>INSERT CHLORAPREP 1.0ML</v>
          </cell>
          <cell r="C986" t="str">
            <v>EA</v>
          </cell>
          <cell r="D986">
            <v>6</v>
          </cell>
          <cell r="E986">
            <v>4674</v>
          </cell>
        </row>
        <row r="987">
          <cell r="A987" t="str">
            <v>8200A</v>
          </cell>
          <cell r="B987" t="str">
            <v>55# COATED PAPER, 308MM</v>
          </cell>
          <cell r="C987" t="str">
            <v>MI</v>
          </cell>
          <cell r="D987">
            <v>35</v>
          </cell>
          <cell r="E987">
            <v>5761</v>
          </cell>
        </row>
        <row r="988">
          <cell r="A988" t="str">
            <v>8200LF</v>
          </cell>
          <cell r="B988" t="str">
            <v>ORANGE TOURNIQUETS</v>
          </cell>
          <cell r="C988" t="str">
            <v>EA</v>
          </cell>
          <cell r="D988">
            <v>22</v>
          </cell>
          <cell r="E988">
            <v>82952</v>
          </cell>
        </row>
        <row r="989">
          <cell r="A989" t="str">
            <v>8220C</v>
          </cell>
          <cell r="B989" t="str">
            <v>PREVAN/SWAB B11400 INSRT</v>
          </cell>
          <cell r="C989" t="str">
            <v>EA</v>
          </cell>
          <cell r="D989">
            <v>6</v>
          </cell>
          <cell r="E989">
            <v>84140</v>
          </cell>
        </row>
        <row r="990">
          <cell r="A990" t="str">
            <v>8222</v>
          </cell>
          <cell r="B990" t="str">
            <v>UNPRINTED CARTON</v>
          </cell>
          <cell r="C990" t="str">
            <v>EA</v>
          </cell>
          <cell r="D990" t="str">
            <v>MZ3</v>
          </cell>
          <cell r="E990">
            <v>808</v>
          </cell>
        </row>
        <row r="991">
          <cell r="A991" t="str">
            <v>8236A</v>
          </cell>
          <cell r="B991" t="str">
            <v>STANDARD C-ARM DRAPE</v>
          </cell>
          <cell r="C991" t="str">
            <v>EA</v>
          </cell>
          <cell r="D991">
            <v>14</v>
          </cell>
          <cell r="E991">
            <v>24</v>
          </cell>
        </row>
        <row r="992">
          <cell r="A992" t="str">
            <v>8236B</v>
          </cell>
          <cell r="B992" t="str">
            <v>87"X124" FEMORAL A/DRAPE</v>
          </cell>
          <cell r="C992" t="str">
            <v>EA</v>
          </cell>
          <cell r="D992">
            <v>31</v>
          </cell>
          <cell r="E992">
            <v>67</v>
          </cell>
        </row>
        <row r="993">
          <cell r="A993" t="str">
            <v>8243A</v>
          </cell>
          <cell r="B993" t="str">
            <v>Tegadrm w/lbl 2 3/8"x2.75</v>
          </cell>
          <cell r="C993" t="str">
            <v>EA</v>
          </cell>
          <cell r="D993">
            <v>15</v>
          </cell>
          <cell r="E993">
            <v>18268</v>
          </cell>
        </row>
        <row r="994">
          <cell r="A994" t="str">
            <v>8243A-1</v>
          </cell>
          <cell r="B994" t="str">
            <v>2.38X2.8"TRANSP DRESSING</v>
          </cell>
          <cell r="C994" t="str">
            <v>EA</v>
          </cell>
          <cell r="D994">
            <v>27</v>
          </cell>
          <cell r="E994">
            <v>35214</v>
          </cell>
        </row>
        <row r="995">
          <cell r="A995" t="str">
            <v>8248B</v>
          </cell>
          <cell r="B995" t="str">
            <v>HIBICLENS 15MIL LIQUID</v>
          </cell>
          <cell r="C995" t="str">
            <v>EA</v>
          </cell>
          <cell r="D995">
            <v>14</v>
          </cell>
          <cell r="E995">
            <v>364</v>
          </cell>
        </row>
        <row r="996">
          <cell r="A996" t="str">
            <v>8252A</v>
          </cell>
          <cell r="B996" t="str">
            <v>Unptd Ctn D/C/Tray/30cs</v>
          </cell>
          <cell r="C996" t="str">
            <v>EA</v>
          </cell>
          <cell r="D996" t="str">
            <v>MZ1</v>
          </cell>
          <cell r="E996">
            <v>825</v>
          </cell>
        </row>
        <row r="997">
          <cell r="A997" t="str">
            <v>8252C</v>
          </cell>
          <cell r="B997" t="str">
            <v>Unptd Ctn for 3/C Tray</v>
          </cell>
          <cell r="C997" t="str">
            <v>EA</v>
          </cell>
          <cell r="D997" t="str">
            <v>MZ2</v>
          </cell>
          <cell r="E997">
            <v>183</v>
          </cell>
        </row>
        <row r="998">
          <cell r="A998" t="str">
            <v>8253-1</v>
          </cell>
          <cell r="B998" t="str">
            <v>PVP IOD OINTMENT 1 GRAM</v>
          </cell>
          <cell r="C998" t="str">
            <v>EA</v>
          </cell>
          <cell r="D998">
            <v>14</v>
          </cell>
          <cell r="E998">
            <v>2145</v>
          </cell>
        </row>
        <row r="999">
          <cell r="A999" t="str">
            <v>8254-1</v>
          </cell>
          <cell r="B999" t="str">
            <v>2X2 NONADH DRESSG SLIT</v>
          </cell>
          <cell r="C999" t="str">
            <v>EA</v>
          </cell>
          <cell r="D999">
            <v>5</v>
          </cell>
          <cell r="E999">
            <v>4959</v>
          </cell>
        </row>
        <row r="1000">
          <cell r="A1000" t="str">
            <v>8255-1</v>
          </cell>
          <cell r="B1000" t="str">
            <v>2"x2" NON ADHERING DRESSG</v>
          </cell>
          <cell r="C1000" t="str">
            <v>EA</v>
          </cell>
          <cell r="D1000">
            <v>5</v>
          </cell>
          <cell r="E1000">
            <v>5304</v>
          </cell>
        </row>
        <row r="1001">
          <cell r="A1001" t="str">
            <v>8260-1</v>
          </cell>
          <cell r="B1001" t="str">
            <v>IODINE PREP SWABS{3} STER</v>
          </cell>
          <cell r="C1001" t="str">
            <v>EA</v>
          </cell>
          <cell r="D1001">
            <v>16</v>
          </cell>
          <cell r="E1001">
            <v>35313</v>
          </cell>
        </row>
        <row r="1002">
          <cell r="A1002" t="str">
            <v>8260P</v>
          </cell>
          <cell r="B1002" t="str">
            <v>IODINE PREP SWABS{3}</v>
          </cell>
          <cell r="C1002" t="str">
            <v>EA</v>
          </cell>
        </row>
        <row r="1003">
          <cell r="A1003" t="str">
            <v>8261-2</v>
          </cell>
          <cell r="B1003" t="str">
            <v>2"X2"8PLY/GAUZE/PROCESSED</v>
          </cell>
          <cell r="C1003" t="str">
            <v>EA</v>
          </cell>
          <cell r="D1003">
            <v>24</v>
          </cell>
          <cell r="E1003">
            <v>395597</v>
          </cell>
        </row>
        <row r="1004">
          <cell r="A1004" t="str">
            <v>8262-2</v>
          </cell>
          <cell r="B1004" t="str">
            <v>3"X3"8PLYGAUZE/PROCESSED</v>
          </cell>
          <cell r="C1004" t="str">
            <v>EA</v>
          </cell>
          <cell r="D1004">
            <v>18</v>
          </cell>
          <cell r="E1004">
            <v>34591</v>
          </cell>
        </row>
        <row r="1005">
          <cell r="A1005" t="str">
            <v>8262B</v>
          </cell>
          <cell r="B1005" t="str">
            <v>3X3 8PLY GAUZE FOLDED</v>
          </cell>
          <cell r="C1005" t="str">
            <v>EA</v>
          </cell>
          <cell r="D1005">
            <v>21</v>
          </cell>
          <cell r="E1005">
            <v>103473</v>
          </cell>
        </row>
        <row r="1006">
          <cell r="A1006" t="str">
            <v>8265</v>
          </cell>
          <cell r="B1006" t="str">
            <v>Dressing Chg Label 825/6</v>
          </cell>
          <cell r="C1006" t="str">
            <v>EA</v>
          </cell>
          <cell r="D1006">
            <v>25</v>
          </cell>
          <cell r="E1006">
            <v>15160</v>
          </cell>
        </row>
        <row r="1007">
          <cell r="A1007" t="str">
            <v>8267-1</v>
          </cell>
          <cell r="B1007" t="str">
            <v>10" x 15" TOWER TEAR BAG</v>
          </cell>
          <cell r="C1007" t="str">
            <v>EA</v>
          </cell>
          <cell r="D1007">
            <v>23</v>
          </cell>
          <cell r="E1007">
            <v>166</v>
          </cell>
        </row>
        <row r="1008">
          <cell r="A1008" t="str">
            <v>8271</v>
          </cell>
          <cell r="B1008" t="str">
            <v>N/Ster 4X5 Tegaderm Dres</v>
          </cell>
          <cell r="C1008" t="str">
            <v>EA</v>
          </cell>
          <cell r="D1008">
            <v>14</v>
          </cell>
          <cell r="E1008">
            <v>2193</v>
          </cell>
        </row>
        <row r="1009">
          <cell r="A1009" t="str">
            <v>8276</v>
          </cell>
          <cell r="B1009" t="str">
            <v>1"x18" Transpore Tape</v>
          </cell>
          <cell r="C1009" t="str">
            <v>EA</v>
          </cell>
          <cell r="D1009">
            <v>22</v>
          </cell>
          <cell r="E1009">
            <v>3207</v>
          </cell>
        </row>
        <row r="1010">
          <cell r="A1010" t="str">
            <v>8276C</v>
          </cell>
          <cell r="B1010" t="str">
            <v>1" x 18" SURGICAL TAPE</v>
          </cell>
          <cell r="C1010" t="str">
            <v>EA</v>
          </cell>
          <cell r="D1010">
            <v>27</v>
          </cell>
          <cell r="E1010">
            <v>250849</v>
          </cell>
        </row>
        <row r="1011">
          <cell r="A1011" t="str">
            <v>8288A</v>
          </cell>
          <cell r="B1011" t="str">
            <v>1.75X0.5 SPECIMEN LABEL</v>
          </cell>
          <cell r="C1011" t="str">
            <v>EA</v>
          </cell>
        </row>
        <row r="1012">
          <cell r="A1012" t="str">
            <v>8296-1</v>
          </cell>
          <cell r="B1012" t="str">
            <v>ALCOH'SWABS {3} STERILE</v>
          </cell>
          <cell r="C1012" t="str">
            <v>EA</v>
          </cell>
          <cell r="D1012">
            <v>15</v>
          </cell>
          <cell r="E1012">
            <v>4268</v>
          </cell>
        </row>
        <row r="1013">
          <cell r="A1013" t="str">
            <v>8296-2</v>
          </cell>
          <cell r="B1013" t="str">
            <v>ALCOH SWABS[1's] STERILE</v>
          </cell>
          <cell r="C1013" t="str">
            <v>EA</v>
          </cell>
          <cell r="D1013">
            <v>14</v>
          </cell>
          <cell r="E1013">
            <v>9620</v>
          </cell>
        </row>
        <row r="1014">
          <cell r="A1014" t="str">
            <v>8310A</v>
          </cell>
          <cell r="B1014" t="str">
            <v>3" x 5" ZIPLOC BAG</v>
          </cell>
          <cell r="C1014" t="str">
            <v>EA</v>
          </cell>
          <cell r="D1014">
            <v>20</v>
          </cell>
          <cell r="E1014">
            <v>18254</v>
          </cell>
        </row>
        <row r="1015">
          <cell r="A1015" t="str">
            <v>8311</v>
          </cell>
          <cell r="B1015" t="str">
            <v>Injection Cap</v>
          </cell>
          <cell r="C1015" t="str">
            <v>EA</v>
          </cell>
          <cell r="D1015">
            <v>22</v>
          </cell>
          <cell r="E1015">
            <v>1939</v>
          </cell>
        </row>
        <row r="1016">
          <cell r="A1016" t="str">
            <v>8317A-1</v>
          </cell>
          <cell r="B1016" t="str">
            <v>1.75" X 0.5" P/P LABELS</v>
          </cell>
          <cell r="C1016" t="str">
            <v>EA</v>
          </cell>
        </row>
        <row r="1017">
          <cell r="A1017" t="str">
            <v>8329A</v>
          </cell>
          <cell r="B1017" t="str">
            <v>10ML .9%SOD/CHLOR VIAL RX</v>
          </cell>
          <cell r="C1017" t="str">
            <v>EA</v>
          </cell>
          <cell r="D1017" t="str">
            <v>DRUGS</v>
          </cell>
          <cell r="E1017">
            <v>965</v>
          </cell>
        </row>
        <row r="1018">
          <cell r="A1018" t="str">
            <v>8329C</v>
          </cell>
          <cell r="B1018" t="str">
            <v>VIAL ACCESS CANNULA,STER</v>
          </cell>
          <cell r="C1018" t="str">
            <v>EA</v>
          </cell>
        </row>
        <row r="1019">
          <cell r="A1019" t="str">
            <v>8329I</v>
          </cell>
          <cell r="B1019" t="str">
            <v>EN-4029 SOD/CHL10ML INSRT</v>
          </cell>
          <cell r="C1019" t="str">
            <v>EA</v>
          </cell>
          <cell r="D1019">
            <v>6</v>
          </cell>
          <cell r="E1019">
            <v>5634</v>
          </cell>
        </row>
        <row r="1020">
          <cell r="A1020" t="str">
            <v>8331C</v>
          </cell>
          <cell r="B1020" t="str">
            <v>1/2"X4" STERI-STRIP 3PK</v>
          </cell>
          <cell r="C1020" t="str">
            <v>EA</v>
          </cell>
          <cell r="D1020">
            <v>14</v>
          </cell>
          <cell r="E1020">
            <v>2124</v>
          </cell>
        </row>
        <row r="1021">
          <cell r="A1021" t="str">
            <v>8350S</v>
          </cell>
          <cell r="B1021" t="str">
            <v>UNPRINTED CTN</v>
          </cell>
          <cell r="C1021" t="str">
            <v>EA</v>
          </cell>
          <cell r="D1021" t="str">
            <v>MZ6</v>
          </cell>
          <cell r="E1021">
            <v>593</v>
          </cell>
        </row>
        <row r="1022">
          <cell r="A1022" t="str">
            <v>8366A</v>
          </cell>
          <cell r="B1022" t="str">
            <v>19G/CESTYL/C/E/CATHETER/K</v>
          </cell>
          <cell r="C1022" t="str">
            <v>EA</v>
          </cell>
          <cell r="D1022">
            <v>34</v>
          </cell>
          <cell r="E1022">
            <v>120</v>
          </cell>
        </row>
        <row r="1023">
          <cell r="A1023" t="str">
            <v>8380A</v>
          </cell>
          <cell r="B1023" t="str">
            <v>Trilon Glove M PF Wallet</v>
          </cell>
          <cell r="C1023" t="str">
            <v>PR</v>
          </cell>
          <cell r="D1023">
            <v>25</v>
          </cell>
          <cell r="E1023">
            <v>890</v>
          </cell>
        </row>
        <row r="1024">
          <cell r="A1024" t="str">
            <v>8401</v>
          </cell>
          <cell r="B1024" t="str">
            <v>4X8 12Ply Gze Sponge</v>
          </cell>
          <cell r="C1024" t="str">
            <v>EA</v>
          </cell>
          <cell r="D1024">
            <v>27</v>
          </cell>
          <cell r="E1024">
            <v>10047</v>
          </cell>
        </row>
        <row r="1025">
          <cell r="A1025" t="str">
            <v>8408A</v>
          </cell>
          <cell r="B1025" t="str">
            <v>30ML MEDICINE CUP</v>
          </cell>
          <cell r="C1025" t="str">
            <v>EA</v>
          </cell>
          <cell r="D1025">
            <v>34</v>
          </cell>
          <cell r="E1025">
            <v>36087</v>
          </cell>
        </row>
        <row r="1026">
          <cell r="A1026" t="str">
            <v>8408B</v>
          </cell>
          <cell r="B1026" t="str">
            <v>4X3/4"TRANSPARENT DRESS</v>
          </cell>
          <cell r="C1026" t="str">
            <v>EA</v>
          </cell>
          <cell r="D1026">
            <v>31</v>
          </cell>
          <cell r="E1026">
            <v>5721</v>
          </cell>
        </row>
        <row r="1027">
          <cell r="A1027" t="str">
            <v>8410C</v>
          </cell>
          <cell r="B1027" t="str">
            <v>CHLORAPREP 10.5ML ORANGE</v>
          </cell>
          <cell r="C1027" t="str">
            <v>EA</v>
          </cell>
          <cell r="D1027">
            <v>14</v>
          </cell>
          <cell r="E1027">
            <v>141</v>
          </cell>
        </row>
        <row r="1028">
          <cell r="A1028" t="str">
            <v>8410D</v>
          </cell>
          <cell r="B1028" t="str">
            <v>INSERT CHLORAPREP 10.5ML</v>
          </cell>
          <cell r="C1028" t="str">
            <v>EA</v>
          </cell>
          <cell r="D1028">
            <v>6</v>
          </cell>
          <cell r="E1028">
            <v>94536</v>
          </cell>
        </row>
        <row r="1029">
          <cell r="A1029" t="str">
            <v>8410S</v>
          </cell>
          <cell r="B1029" t="str">
            <v>UNPRINTED CTN</v>
          </cell>
          <cell r="C1029" t="str">
            <v>EA</v>
          </cell>
          <cell r="D1029" t="str">
            <v>MZ7</v>
          </cell>
          <cell r="E1029">
            <v>153</v>
          </cell>
        </row>
        <row r="1030">
          <cell r="A1030" t="str">
            <v>8412A</v>
          </cell>
          <cell r="B1030" t="str">
            <v>GERZOG MALLET</v>
          </cell>
          <cell r="C1030" t="str">
            <v>EA</v>
          </cell>
          <cell r="D1030">
            <v>38</v>
          </cell>
          <cell r="E1030">
            <v>103</v>
          </cell>
        </row>
        <row r="1031">
          <cell r="A1031" t="str">
            <v>8412B</v>
          </cell>
          <cell r="B1031" t="str">
            <v>10" MAYO HEGAR NEEDLE/H</v>
          </cell>
          <cell r="C1031" t="str">
            <v>EA</v>
          </cell>
          <cell r="D1031">
            <v>27</v>
          </cell>
          <cell r="E1031">
            <v>12</v>
          </cell>
        </row>
        <row r="1032">
          <cell r="A1032" t="str">
            <v>8412C</v>
          </cell>
          <cell r="B1032" t="str">
            <v>68"X 108"FULL BODY D/W4"F</v>
          </cell>
          <cell r="C1032" t="str">
            <v>EA</v>
          </cell>
          <cell r="D1032">
            <v>18</v>
          </cell>
          <cell r="E1032">
            <v>18</v>
          </cell>
        </row>
        <row r="1033">
          <cell r="A1033" t="str">
            <v>8412D</v>
          </cell>
          <cell r="B1033" t="str">
            <v>12"X12" CSR WRAP</v>
          </cell>
          <cell r="C1033" t="str">
            <v>EA</v>
          </cell>
          <cell r="D1033">
            <v>144</v>
          </cell>
          <cell r="E1033">
            <v>19571</v>
          </cell>
        </row>
        <row r="1034">
          <cell r="A1034" t="str">
            <v>8415D</v>
          </cell>
          <cell r="B1034" t="str">
            <v>15"X 15" CSR WRAP 100/PK</v>
          </cell>
          <cell r="C1034" t="str">
            <v>EA</v>
          </cell>
          <cell r="D1034">
            <v>144</v>
          </cell>
          <cell r="E1034">
            <v>14060</v>
          </cell>
        </row>
        <row r="1035">
          <cell r="A1035" t="str">
            <v>8418D</v>
          </cell>
          <cell r="B1035" t="str">
            <v>18"X 18" CSR WRAP</v>
          </cell>
          <cell r="C1035" t="str">
            <v>EA</v>
          </cell>
          <cell r="D1035">
            <v>144</v>
          </cell>
          <cell r="E1035">
            <v>667</v>
          </cell>
        </row>
        <row r="1036">
          <cell r="A1036" t="str">
            <v>8420D</v>
          </cell>
          <cell r="B1036" t="str">
            <v>20" X 20" CSR WRAP</v>
          </cell>
          <cell r="C1036" t="str">
            <v>EA</v>
          </cell>
          <cell r="D1036">
            <v>144</v>
          </cell>
          <cell r="E1036">
            <v>57104</v>
          </cell>
        </row>
        <row r="1037">
          <cell r="A1037" t="str">
            <v>8424D</v>
          </cell>
          <cell r="B1037" t="str">
            <v>24" X 24" CSR WRAP</v>
          </cell>
          <cell r="C1037" t="str">
            <v>EA</v>
          </cell>
          <cell r="D1037">
            <v>144</v>
          </cell>
          <cell r="E1037">
            <v>27442</v>
          </cell>
        </row>
        <row r="1038">
          <cell r="A1038" t="str">
            <v>8427-1</v>
          </cell>
          <cell r="B1038" t="str">
            <v>10CC SYR L/LOCK L/F301029</v>
          </cell>
          <cell r="C1038" t="str">
            <v>EA</v>
          </cell>
          <cell r="D1038" t="str">
            <v>CSF17</v>
          </cell>
          <cell r="E1038">
            <v>302577</v>
          </cell>
        </row>
        <row r="1039">
          <cell r="A1039" t="str">
            <v>8427-1</v>
          </cell>
          <cell r="B1039" t="str">
            <v>10CC SYR L/LOCK L/F301029</v>
          </cell>
          <cell r="C1039" t="str">
            <v>EA</v>
          </cell>
          <cell r="D1039">
            <v>29</v>
          </cell>
          <cell r="E1039">
            <v>110148</v>
          </cell>
        </row>
        <row r="1040">
          <cell r="A1040" t="str">
            <v>8430D</v>
          </cell>
          <cell r="B1040" t="str">
            <v>30" X 30" CSR WRAP</v>
          </cell>
          <cell r="C1040" t="str">
            <v>EA</v>
          </cell>
          <cell r="D1040">
            <v>144</v>
          </cell>
          <cell r="E1040">
            <v>12822</v>
          </cell>
        </row>
        <row r="1041">
          <cell r="A1041" t="str">
            <v>8430S</v>
          </cell>
          <cell r="B1041" t="str">
            <v>OUTER CTN FOR 843</v>
          </cell>
          <cell r="C1041" t="str">
            <v>EA</v>
          </cell>
          <cell r="D1041" t="str">
            <v>MZ6</v>
          </cell>
          <cell r="E1041">
            <v>375</v>
          </cell>
        </row>
        <row r="1042">
          <cell r="A1042" t="str">
            <v>8436D</v>
          </cell>
          <cell r="B1042" t="str">
            <v>36"X 36" CSR WRAP</v>
          </cell>
          <cell r="C1042" t="str">
            <v>EA</v>
          </cell>
          <cell r="D1042">
            <v>144</v>
          </cell>
          <cell r="E1042">
            <v>709</v>
          </cell>
        </row>
        <row r="1043">
          <cell r="A1043" t="str">
            <v>8440C-1</v>
          </cell>
          <cell r="B1043" t="str">
            <v>FOAM INSTR/HLD W/10/SLIT</v>
          </cell>
          <cell r="C1043" t="str">
            <v>EA</v>
          </cell>
          <cell r="D1043">
            <v>34</v>
          </cell>
          <cell r="E1043">
            <v>6643</v>
          </cell>
        </row>
        <row r="1044">
          <cell r="A1044" t="str">
            <v>8440D</v>
          </cell>
          <cell r="B1044" t="str">
            <v>40"X40" CSR WRAP</v>
          </cell>
          <cell r="C1044" t="str">
            <v>EA</v>
          </cell>
          <cell r="D1044">
            <v>144</v>
          </cell>
          <cell r="E1044">
            <v>680</v>
          </cell>
        </row>
        <row r="1045">
          <cell r="A1045" t="str">
            <v>8441</v>
          </cell>
          <cell r="B1045" t="str">
            <v>Ster 30Gaugex.5" Needle</v>
          </cell>
          <cell r="C1045" t="str">
            <v>EA</v>
          </cell>
          <cell r="D1045" t="str">
            <v>N4</v>
          </cell>
          <cell r="E1045">
            <v>725</v>
          </cell>
        </row>
        <row r="1046">
          <cell r="A1046" t="str">
            <v>8445D</v>
          </cell>
          <cell r="B1046" t="str">
            <v>45X45 CSR WRAP</v>
          </cell>
          <cell r="C1046" t="str">
            <v>EA</v>
          </cell>
          <cell r="D1046">
            <v>144</v>
          </cell>
          <cell r="E1046">
            <v>583</v>
          </cell>
        </row>
        <row r="1047">
          <cell r="A1047" t="str">
            <v>8454D</v>
          </cell>
          <cell r="B1047" t="str">
            <v>54" X 54" CSR WRAP</v>
          </cell>
          <cell r="C1047" t="str">
            <v>EA</v>
          </cell>
          <cell r="D1047">
            <v>144</v>
          </cell>
          <cell r="E1047">
            <v>1192</v>
          </cell>
        </row>
        <row r="1048">
          <cell r="A1048" t="str">
            <v>8488A</v>
          </cell>
          <cell r="B1048" t="str">
            <v>18Gx1.5" Reli B/F/Needle</v>
          </cell>
          <cell r="C1048" t="str">
            <v>EA</v>
          </cell>
          <cell r="D1048" t="str">
            <v>N1</v>
          </cell>
          <cell r="E1048">
            <v>2135</v>
          </cell>
        </row>
        <row r="1049">
          <cell r="A1049" t="str">
            <v>8512-1</v>
          </cell>
          <cell r="B1049" t="str">
            <v>UNPRTD SHPR CTN FOR 851</v>
          </cell>
          <cell r="C1049" t="str">
            <v>EA</v>
          </cell>
          <cell r="D1049" t="str">
            <v>MZ5</v>
          </cell>
          <cell r="E1049">
            <v>336</v>
          </cell>
        </row>
        <row r="1050">
          <cell r="A1050" t="str">
            <v>8522-1</v>
          </cell>
          <cell r="B1050" t="str">
            <v>UNPRINTED CTN FOR 852</v>
          </cell>
          <cell r="C1050" t="str">
            <v>EA</v>
          </cell>
          <cell r="D1050" t="str">
            <v>MZ6</v>
          </cell>
          <cell r="E1050">
            <v>23</v>
          </cell>
        </row>
        <row r="1051">
          <cell r="A1051" t="str">
            <v>8532-1</v>
          </cell>
          <cell r="B1051" t="str">
            <v>SHIPPER CTN FOR 853</v>
          </cell>
          <cell r="C1051" t="str">
            <v>EA</v>
          </cell>
          <cell r="D1051" t="str">
            <v>MZ3</v>
          </cell>
          <cell r="E1051">
            <v>331</v>
          </cell>
        </row>
        <row r="1052">
          <cell r="A1052" t="str">
            <v>8542-1</v>
          </cell>
          <cell r="B1052" t="str">
            <v>UNPRINTED CTN</v>
          </cell>
          <cell r="C1052" t="str">
            <v>EA</v>
          </cell>
          <cell r="D1052" t="str">
            <v>MZ4</v>
          </cell>
          <cell r="E1052">
            <v>321</v>
          </cell>
        </row>
        <row r="1053">
          <cell r="A1053" t="str">
            <v>8554D</v>
          </cell>
          <cell r="B1053" t="str">
            <v>54" CSR Material</v>
          </cell>
          <cell r="C1053" t="str">
            <v>LY</v>
          </cell>
        </row>
        <row r="1054">
          <cell r="A1054" t="str">
            <v>8561A</v>
          </cell>
          <cell r="B1054" t="str">
            <v>18GX11/2'N/C/NEEDLE /STER</v>
          </cell>
          <cell r="C1054" t="str">
            <v>EA</v>
          </cell>
          <cell r="D1054" t="str">
            <v>N9</v>
          </cell>
          <cell r="E1054">
            <v>372</v>
          </cell>
        </row>
        <row r="1055">
          <cell r="A1055" t="str">
            <v>8561B</v>
          </cell>
          <cell r="B1055" t="str">
            <v>15"x15" Drape w/2 3/8"FEN</v>
          </cell>
          <cell r="C1055" t="str">
            <v>EA</v>
          </cell>
          <cell r="D1055">
            <v>22</v>
          </cell>
          <cell r="E1055">
            <v>572</v>
          </cell>
        </row>
        <row r="1056">
          <cell r="A1056" t="str">
            <v>8562-1</v>
          </cell>
          <cell r="B1056" t="str">
            <v>UNPRINTED CARTON 855/856</v>
          </cell>
          <cell r="C1056" t="str">
            <v>EA</v>
          </cell>
          <cell r="D1056" t="str">
            <v>MZ3</v>
          </cell>
          <cell r="E1056">
            <v>109</v>
          </cell>
        </row>
        <row r="1057">
          <cell r="A1057" t="str">
            <v>8600A</v>
          </cell>
          <cell r="B1057" t="str">
            <v>18GX3 1/2 HUSTEAD/N/W/F/W</v>
          </cell>
          <cell r="C1057" t="str">
            <v>EA</v>
          </cell>
          <cell r="D1057" t="str">
            <v>N10</v>
          </cell>
          <cell r="E1057">
            <v>95</v>
          </cell>
        </row>
        <row r="1058">
          <cell r="A1058" t="str">
            <v>8625A</v>
          </cell>
          <cell r="B1058" t="str">
            <v>36'X44"FLOUROS/COVER/W/T</v>
          </cell>
          <cell r="C1058" t="str">
            <v>EA</v>
          </cell>
          <cell r="D1058">
            <v>27</v>
          </cell>
          <cell r="E1058">
            <v>64</v>
          </cell>
        </row>
        <row r="1059">
          <cell r="A1059" t="str">
            <v>8650A</v>
          </cell>
          <cell r="B1059" t="str">
            <v>STER 4"X4" 12-PLY GAUZE</v>
          </cell>
          <cell r="C1059" t="str">
            <v>EA</v>
          </cell>
          <cell r="D1059">
            <v>14</v>
          </cell>
          <cell r="E1059">
            <v>83</v>
          </cell>
        </row>
        <row r="1060">
          <cell r="A1060" t="str">
            <v>8662C</v>
          </cell>
          <cell r="B1060" t="str">
            <v>HEPARIN SODIUM INJ/INSERT</v>
          </cell>
          <cell r="C1060" t="str">
            <v>EA</v>
          </cell>
        </row>
        <row r="1061">
          <cell r="A1061" t="str">
            <v>8668A</v>
          </cell>
          <cell r="B1061" t="str">
            <v>25G/1/4"NEEDLE ALUMIN/HUB</v>
          </cell>
          <cell r="C1061" t="str">
            <v>EA</v>
          </cell>
          <cell r="D1061" t="str">
            <v>N9</v>
          </cell>
          <cell r="E1061">
            <v>468</v>
          </cell>
        </row>
        <row r="1062">
          <cell r="A1062" t="str">
            <v>8756A-1</v>
          </cell>
          <cell r="B1062" t="str">
            <v>BACK TABLE COVER 44"X90"</v>
          </cell>
          <cell r="C1062" t="str">
            <v>EA</v>
          </cell>
          <cell r="D1062">
            <v>18</v>
          </cell>
          <cell r="E1062">
            <v>244</v>
          </cell>
        </row>
        <row r="1063">
          <cell r="A1063" t="str">
            <v>8762A</v>
          </cell>
          <cell r="B1063" t="str">
            <v>30ML1%LidocaineHOSPIRA RX</v>
          </cell>
          <cell r="C1063" t="str">
            <v>EA</v>
          </cell>
          <cell r="D1063" t="str">
            <v>DRUGS</v>
          </cell>
          <cell r="E1063">
            <v>54</v>
          </cell>
        </row>
        <row r="1064">
          <cell r="A1064" t="str">
            <v>8762I</v>
          </cell>
          <cell r="B1064" t="str">
            <v>InstSht Lidocaine HOSPIRA</v>
          </cell>
          <cell r="C1064" t="str">
            <v>EA</v>
          </cell>
          <cell r="D1064">
            <v>6</v>
          </cell>
          <cell r="E1064">
            <v>8931</v>
          </cell>
        </row>
        <row r="1065">
          <cell r="A1065" t="str">
            <v>8830A</v>
          </cell>
          <cell r="B1065" t="str">
            <v>20 GAUGE X 1 1/14 NEEDLE</v>
          </cell>
          <cell r="C1065" t="str">
            <v>EA</v>
          </cell>
          <cell r="D1065" t="str">
            <v>N9</v>
          </cell>
          <cell r="E1065">
            <v>69</v>
          </cell>
        </row>
        <row r="1066">
          <cell r="A1066" t="str">
            <v>8878A-1</v>
          </cell>
          <cell r="B1066" t="str">
            <v>10 ML L/F CONTROL SYRINGE</v>
          </cell>
          <cell r="C1066" t="str">
            <v>EA</v>
          </cell>
          <cell r="D1066">
            <v>23</v>
          </cell>
          <cell r="E1066">
            <v>63</v>
          </cell>
        </row>
        <row r="1067">
          <cell r="A1067" t="str">
            <v>8958B</v>
          </cell>
          <cell r="B1067" t="str">
            <v>2"X3 3/4" ADH BANDAGE</v>
          </cell>
          <cell r="C1067" t="str">
            <v>EA</v>
          </cell>
          <cell r="D1067">
            <v>15</v>
          </cell>
          <cell r="E1067">
            <v>1256</v>
          </cell>
        </row>
        <row r="1068">
          <cell r="A1068" t="str">
            <v>8963B</v>
          </cell>
          <cell r="B1068" t="str">
            <v>NO/STING ALCOHOL/F/P/STER</v>
          </cell>
          <cell r="C1068" t="str">
            <v>EA</v>
          </cell>
        </row>
        <row r="1069">
          <cell r="A1069" t="str">
            <v>8982A</v>
          </cell>
          <cell r="B1069" t="str">
            <v>1.6ML PREVANTIC SWABSTICK</v>
          </cell>
          <cell r="C1069" t="str">
            <v>EA</v>
          </cell>
        </row>
        <row r="1070">
          <cell r="A1070" t="str">
            <v>8982B</v>
          </cell>
          <cell r="B1070" t="str">
            <v>1.6ML SWABSTICK INSERT</v>
          </cell>
          <cell r="C1070" t="str">
            <v>EA</v>
          </cell>
          <cell r="D1070">
            <v>6</v>
          </cell>
          <cell r="E1070">
            <v>5082</v>
          </cell>
        </row>
        <row r="1071">
          <cell r="A1071" t="str">
            <v>9011S-1</v>
          </cell>
          <cell r="B1071" t="str">
            <v>UNPRINTED SHIPPER CARTON</v>
          </cell>
          <cell r="C1071" t="str">
            <v>EA</v>
          </cell>
          <cell r="D1071" t="str">
            <v>MZ4</v>
          </cell>
          <cell r="E1071">
            <v>1180</v>
          </cell>
        </row>
        <row r="1072">
          <cell r="A1072" t="str">
            <v>9011S-1</v>
          </cell>
          <cell r="B1072" t="str">
            <v>UNPRINTED SHIPPER CARTON</v>
          </cell>
          <cell r="C1072" t="str">
            <v>EA</v>
          </cell>
          <cell r="D1072" t="str">
            <v>MZ3</v>
          </cell>
          <cell r="E1072">
            <v>713</v>
          </cell>
        </row>
        <row r="1073">
          <cell r="A1073" t="str">
            <v>9013A-3</v>
          </cell>
          <cell r="B1073" t="str">
            <v>ID TAGS-STAND.PRECAUTION</v>
          </cell>
          <cell r="C1073" t="str">
            <v>SE</v>
          </cell>
          <cell r="D1073">
            <v>58</v>
          </cell>
          <cell r="E1073">
            <v>66699</v>
          </cell>
        </row>
        <row r="1074">
          <cell r="A1074" t="str">
            <v>901D</v>
          </cell>
          <cell r="B1074" t="str">
            <v>Post Mortem Bag / white</v>
          </cell>
          <cell r="C1074" t="str">
            <v>EA</v>
          </cell>
          <cell r="D1074">
            <v>144</v>
          </cell>
          <cell r="E1074">
            <v>24472</v>
          </cell>
        </row>
        <row r="1075">
          <cell r="A1075" t="str">
            <v>902D</v>
          </cell>
          <cell r="B1075" t="str">
            <v>Ylw Body Bag Repack P/Bag</v>
          </cell>
          <cell r="C1075" t="str">
            <v>EA</v>
          </cell>
          <cell r="D1075">
            <v>144</v>
          </cell>
          <cell r="E1075">
            <v>931</v>
          </cell>
        </row>
        <row r="1076">
          <cell r="A1076" t="str">
            <v>9053</v>
          </cell>
          <cell r="B1076" t="str">
            <v>5"Insert Forceps for 9055</v>
          </cell>
          <cell r="C1076" t="str">
            <v>EA</v>
          </cell>
          <cell r="D1076">
            <v>44</v>
          </cell>
          <cell r="E1076">
            <v>4258</v>
          </cell>
        </row>
        <row r="1077">
          <cell r="A1077" t="str">
            <v>905D-1</v>
          </cell>
          <cell r="B1077" t="str">
            <v>Infant Post Mortem Bag</v>
          </cell>
          <cell r="C1077" t="str">
            <v>EA</v>
          </cell>
          <cell r="D1077">
            <v>144</v>
          </cell>
          <cell r="E1077">
            <v>1746</v>
          </cell>
        </row>
        <row r="1078">
          <cell r="A1078" t="str">
            <v>906D-1</v>
          </cell>
          <cell r="B1078" t="str">
            <v>PEDIATRIC POST MORTEM BAG</v>
          </cell>
          <cell r="C1078" t="str">
            <v>EA</v>
          </cell>
          <cell r="D1078">
            <v>144</v>
          </cell>
          <cell r="E1078">
            <v>1982</v>
          </cell>
        </row>
        <row r="1079">
          <cell r="A1079" t="str">
            <v>9074S</v>
          </cell>
          <cell r="B1079" t="str">
            <v>Doublewalled Shipper Ctn</v>
          </cell>
          <cell r="C1079" t="str">
            <v>EA</v>
          </cell>
          <cell r="D1079" t="str">
            <v>MZ1</v>
          </cell>
          <cell r="E1079">
            <v>1308</v>
          </cell>
        </row>
        <row r="1080">
          <cell r="A1080" t="str">
            <v>907D</v>
          </cell>
          <cell r="B1080" t="str">
            <v>Wht Body Bag w/cvd zipper</v>
          </cell>
          <cell r="C1080" t="str">
            <v>EA</v>
          </cell>
          <cell r="D1080">
            <v>144</v>
          </cell>
          <cell r="E1080">
            <v>8702</v>
          </cell>
        </row>
        <row r="1081">
          <cell r="A1081" t="str">
            <v>909D</v>
          </cell>
          <cell r="B1081" t="str">
            <v>X-LG HEAVY D/POST/M/BAG</v>
          </cell>
          <cell r="C1081" t="str">
            <v>EA</v>
          </cell>
          <cell r="D1081">
            <v>144</v>
          </cell>
          <cell r="E1081">
            <v>1947</v>
          </cell>
        </row>
        <row r="1082">
          <cell r="A1082" t="str">
            <v>9103</v>
          </cell>
          <cell r="B1082" t="str">
            <v>SterEndoTestopk5000492/10</v>
          </cell>
          <cell r="C1082" t="str">
            <v>CS</v>
          </cell>
        </row>
        <row r="1083">
          <cell r="A1083" t="str">
            <v>9103B</v>
          </cell>
          <cell r="B1083" t="str">
            <v>4" X 4" 16-PLY G/DRESSING</v>
          </cell>
          <cell r="C1083" t="str">
            <v>EA</v>
          </cell>
          <cell r="D1083">
            <v>18</v>
          </cell>
          <cell r="E1083">
            <v>61282</v>
          </cell>
        </row>
        <row r="1084">
          <cell r="A1084" t="str">
            <v>9103C</v>
          </cell>
          <cell r="B1084" t="str">
            <v>Ster Lg Alcohol Prep Pad</v>
          </cell>
          <cell r="C1084" t="str">
            <v>EA</v>
          </cell>
          <cell r="D1084">
            <v>16</v>
          </cell>
          <cell r="E1084">
            <v>48718</v>
          </cell>
        </row>
        <row r="1085">
          <cell r="A1085" t="str">
            <v>9103D</v>
          </cell>
          <cell r="B1085" t="str">
            <v>Benz Tincture Swabs Ster</v>
          </cell>
          <cell r="C1085" t="str">
            <v>EA</v>
          </cell>
          <cell r="D1085">
            <v>15</v>
          </cell>
          <cell r="E1085">
            <v>12098</v>
          </cell>
        </row>
        <row r="1086">
          <cell r="A1086" t="str">
            <v>9103F</v>
          </cell>
          <cell r="B1086" t="str">
            <v>27 Gauge x 1 1/2" Needle</v>
          </cell>
          <cell r="C1086" t="str">
            <v>EA</v>
          </cell>
          <cell r="D1086" t="str">
            <v>N10</v>
          </cell>
          <cell r="E1086">
            <v>12725</v>
          </cell>
        </row>
        <row r="1087">
          <cell r="A1087" t="str">
            <v>9103G</v>
          </cell>
          <cell r="B1087" t="str">
            <v>Scalpel With #11 Blade</v>
          </cell>
          <cell r="C1087" t="str">
            <v>EA</v>
          </cell>
          <cell r="D1087">
            <v>21</v>
          </cell>
          <cell r="E1087">
            <v>1592</v>
          </cell>
        </row>
        <row r="1088">
          <cell r="A1088" t="str">
            <v>9103H</v>
          </cell>
          <cell r="B1088" t="str">
            <v>1/4" X 3" Steri-Strips 3</v>
          </cell>
          <cell r="C1088" t="str">
            <v>EA</v>
          </cell>
          <cell r="D1088">
            <v>14</v>
          </cell>
          <cell r="E1088">
            <v>13197</v>
          </cell>
        </row>
        <row r="1089">
          <cell r="A1089" t="str">
            <v>9103J</v>
          </cell>
          <cell r="B1089" t="str">
            <v>Skin Marker</v>
          </cell>
          <cell r="C1089" t="str">
            <v>EA</v>
          </cell>
          <cell r="D1089">
            <v>21</v>
          </cell>
          <cell r="E1089">
            <v>13386</v>
          </cell>
        </row>
        <row r="1090">
          <cell r="A1090" t="str">
            <v>9103K</v>
          </cell>
          <cell r="B1090" t="str">
            <v>4.74"x5.4"x1" Shallow Try</v>
          </cell>
          <cell r="C1090" t="str">
            <v>EA</v>
          </cell>
          <cell r="D1090">
            <v>27</v>
          </cell>
          <cell r="E1090">
            <v>12584</v>
          </cell>
        </row>
        <row r="1091">
          <cell r="A1091" t="str">
            <v>9103L</v>
          </cell>
          <cell r="B1091" t="str">
            <v>1oz Medicine Cup</v>
          </cell>
          <cell r="C1091" t="str">
            <v>EA</v>
          </cell>
          <cell r="D1091">
            <v>27</v>
          </cell>
          <cell r="E1091">
            <v>42550</v>
          </cell>
        </row>
        <row r="1092">
          <cell r="A1092" t="str">
            <v>9103S</v>
          </cell>
          <cell r="B1092" t="str">
            <v>SHIPPER CTN - DOUBLE WALL</v>
          </cell>
          <cell r="C1092" t="str">
            <v>EA</v>
          </cell>
          <cell r="D1092" t="str">
            <v>MZ1</v>
          </cell>
          <cell r="E1092">
            <v>1148</v>
          </cell>
        </row>
        <row r="1093">
          <cell r="A1093" t="str">
            <v>911BG</v>
          </cell>
          <cell r="B1093" t="str">
            <v>Subassembly for 911</v>
          </cell>
          <cell r="C1093" t="str">
            <v>EA</v>
          </cell>
          <cell r="D1093">
            <v>58</v>
          </cell>
          <cell r="E1093">
            <v>3300</v>
          </cell>
        </row>
        <row r="1094">
          <cell r="A1094" t="str">
            <v>911BG</v>
          </cell>
          <cell r="B1094" t="str">
            <v>Subassembly for 911</v>
          </cell>
          <cell r="C1094" t="str">
            <v>EA</v>
          </cell>
          <cell r="D1094">
            <v>57</v>
          </cell>
          <cell r="E1094">
            <v>2080</v>
          </cell>
        </row>
        <row r="1095">
          <cell r="A1095" t="str">
            <v>911D-1</v>
          </cell>
          <cell r="B1095" t="str">
            <v>HEAVY/D/P./MORTEM/W/HSEAL</v>
          </cell>
          <cell r="C1095" t="str">
            <v>EA</v>
          </cell>
          <cell r="D1095">
            <v>144</v>
          </cell>
          <cell r="E1095">
            <v>4378</v>
          </cell>
        </row>
        <row r="1096">
          <cell r="A1096" t="str">
            <v>911L</v>
          </cell>
          <cell r="B1096" t="str">
            <v>Precaution Label</v>
          </cell>
          <cell r="C1096" t="str">
            <v>EA</v>
          </cell>
          <cell r="D1096">
            <v>29</v>
          </cell>
          <cell r="E1096">
            <v>49985</v>
          </cell>
        </row>
        <row r="1097">
          <cell r="A1097" t="str">
            <v>911SC-1</v>
          </cell>
          <cell r="B1097" t="str">
            <v>SHIPPER CTN FOR 911 ETC</v>
          </cell>
          <cell r="C1097" t="str">
            <v>EA</v>
          </cell>
          <cell r="D1097" t="str">
            <v>MZ3</v>
          </cell>
          <cell r="E1097">
            <v>1829</v>
          </cell>
        </row>
        <row r="1098">
          <cell r="A1098" t="str">
            <v>913A</v>
          </cell>
          <cell r="B1098" t="str">
            <v>XL 72" x 108" Shroud Pack</v>
          </cell>
          <cell r="C1098" t="str">
            <v>EA</v>
          </cell>
        </row>
        <row r="1099">
          <cell r="A1099" t="str">
            <v>9142</v>
          </cell>
          <cell r="B1099" t="str">
            <v>Tongue Blade</v>
          </cell>
          <cell r="C1099" t="str">
            <v>EA</v>
          </cell>
          <cell r="D1099">
            <v>18</v>
          </cell>
          <cell r="E1099">
            <v>1289</v>
          </cell>
        </row>
        <row r="1100">
          <cell r="A1100" t="str">
            <v>914D</v>
          </cell>
          <cell r="B1100" t="str">
            <v>EVA BODY BAG W/STR ZIPPER</v>
          </cell>
          <cell r="C1100" t="str">
            <v>EA</v>
          </cell>
          <cell r="D1100">
            <v>144</v>
          </cell>
          <cell r="E1100">
            <v>392</v>
          </cell>
        </row>
        <row r="1101">
          <cell r="A1101" t="str">
            <v>9157A</v>
          </cell>
          <cell r="B1101" t="str">
            <v>5.5"Mayo Scissor Curved</v>
          </cell>
          <cell r="C1101" t="str">
            <v>EA</v>
          </cell>
          <cell r="D1101">
            <v>27</v>
          </cell>
          <cell r="E1101">
            <v>583</v>
          </cell>
        </row>
        <row r="1102">
          <cell r="A1102" t="str">
            <v>9157C</v>
          </cell>
          <cell r="B1102" t="str">
            <v>5"Thumb Forcep w/1x2Teeth</v>
          </cell>
          <cell r="C1102" t="str">
            <v>EA</v>
          </cell>
          <cell r="D1102">
            <v>38</v>
          </cell>
          <cell r="E1102">
            <v>183</v>
          </cell>
        </row>
        <row r="1103">
          <cell r="A1103" t="str">
            <v>9157D</v>
          </cell>
          <cell r="B1103" t="str">
            <v>5" THUMB DRESS FORCEP</v>
          </cell>
          <cell r="C1103" t="str">
            <v>EA</v>
          </cell>
          <cell r="D1103">
            <v>27</v>
          </cell>
          <cell r="E1103">
            <v>783</v>
          </cell>
        </row>
        <row r="1104">
          <cell r="A1104" t="str">
            <v>91710</v>
          </cell>
          <cell r="B1104" t="str">
            <v>TYPE:Ster S/C/Metzenb100c</v>
          </cell>
          <cell r="C1104" t="str">
            <v>CS</v>
          </cell>
        </row>
        <row r="1105">
          <cell r="A1105" t="str">
            <v>91710A</v>
          </cell>
          <cell r="B1105" t="str">
            <v>CURVED METZENBAUM</v>
          </cell>
          <cell r="C1105" t="str">
            <v>EA</v>
          </cell>
        </row>
        <row r="1106">
          <cell r="A1106" t="str">
            <v>91715A</v>
          </cell>
          <cell r="B1106" t="str">
            <v>WIDE CURVED METZENBAUM</v>
          </cell>
          <cell r="C1106" t="str">
            <v>EA</v>
          </cell>
        </row>
        <row r="1107">
          <cell r="A1107" t="str">
            <v>91730A</v>
          </cell>
          <cell r="B1107" t="str">
            <v>MINI CURVED METZENBAUM</v>
          </cell>
          <cell r="C1107" t="str">
            <v>EA</v>
          </cell>
        </row>
        <row r="1108">
          <cell r="A1108" t="str">
            <v>9175C</v>
          </cell>
          <cell r="B1108" t="str">
            <v>L/Walleted Vinyl N/G Glov</v>
          </cell>
          <cell r="C1108" t="str">
            <v>PR</v>
          </cell>
          <cell r="D1108">
            <v>27</v>
          </cell>
          <cell r="E1108">
            <v>759</v>
          </cell>
        </row>
        <row r="1109">
          <cell r="A1109" t="str">
            <v>918D</v>
          </cell>
          <cell r="B1109" t="str">
            <v>EVA HEAVY D/P/MORTEM B/WH</v>
          </cell>
          <cell r="C1109" t="str">
            <v>EA</v>
          </cell>
          <cell r="D1109">
            <v>144</v>
          </cell>
          <cell r="E1109">
            <v>770</v>
          </cell>
        </row>
        <row r="1110">
          <cell r="A1110" t="str">
            <v>9200A</v>
          </cell>
          <cell r="B1110" t="str">
            <v>BLACK DISASTER BAG 1EA</v>
          </cell>
          <cell r="C1110" t="str">
            <v>EA</v>
          </cell>
          <cell r="D1110">
            <v>144</v>
          </cell>
          <cell r="E1110">
            <v>504</v>
          </cell>
        </row>
        <row r="1111">
          <cell r="A1111" t="str">
            <v>9227</v>
          </cell>
          <cell r="B1111" t="str">
            <v>Ster Pellet Del System10c</v>
          </cell>
          <cell r="C1111" t="str">
            <v>CS</v>
          </cell>
          <cell r="D1111" t="str">
            <v>INSP</v>
          </cell>
          <cell r="E1111">
            <v>90</v>
          </cell>
        </row>
        <row r="1112">
          <cell r="A1112" t="str">
            <v>9227D</v>
          </cell>
          <cell r="B1112" t="str">
            <v>Dispenser Box</v>
          </cell>
          <cell r="C1112" t="str">
            <v>EA</v>
          </cell>
        </row>
        <row r="1113">
          <cell r="A1113" t="str">
            <v>9227D-2</v>
          </cell>
          <cell r="B1113" t="str">
            <v>Printed Disp Pellecome</v>
          </cell>
          <cell r="C1113" t="str">
            <v>EA</v>
          </cell>
          <cell r="D1113" t="str">
            <v>MZ7</v>
          </cell>
          <cell r="E1113">
            <v>1252</v>
          </cell>
        </row>
        <row r="1114">
          <cell r="A1114" t="str">
            <v>9227DW-1</v>
          </cell>
          <cell r="B1114" t="str">
            <v>Double Walled Carton</v>
          </cell>
          <cell r="C1114" t="str">
            <v>EA</v>
          </cell>
          <cell r="D1114" t="str">
            <v>MZ7</v>
          </cell>
          <cell r="E1114">
            <v>547</v>
          </cell>
        </row>
        <row r="1115">
          <cell r="A1115" t="str">
            <v>922D-1</v>
          </cell>
          <cell r="B1115" t="str">
            <v>XL POST MORT BAG/CVD ZIP</v>
          </cell>
          <cell r="C1115" t="str">
            <v>EA</v>
          </cell>
          <cell r="D1115">
            <v>144</v>
          </cell>
          <cell r="E1115">
            <v>1644</v>
          </cell>
        </row>
        <row r="1116">
          <cell r="A1116" t="str">
            <v>9238</v>
          </cell>
          <cell r="B1116" t="str">
            <v>REFILL KIT (6/CS)</v>
          </cell>
          <cell r="C1116" t="str">
            <v>CS</v>
          </cell>
        </row>
        <row r="1117">
          <cell r="A1117" t="str">
            <v>9238A</v>
          </cell>
          <cell r="B1117" t="str">
            <v>8" Small Bore Exten Set</v>
          </cell>
          <cell r="C1117" t="str">
            <v>EA</v>
          </cell>
        </row>
        <row r="1118">
          <cell r="A1118" t="str">
            <v>9238DD</v>
          </cell>
          <cell r="B1118" t="str">
            <v>DRILLED BARREL CAP W/VENT</v>
          </cell>
          <cell r="C1118" t="str">
            <v>EA</v>
          </cell>
        </row>
        <row r="1119">
          <cell r="A1119" t="str">
            <v>9238DW</v>
          </cell>
          <cell r="B1119" t="str">
            <v>Double Walled Shipper Ctn</v>
          </cell>
          <cell r="C1119" t="str">
            <v>EA</v>
          </cell>
          <cell r="D1119" t="str">
            <v>MZ7</v>
          </cell>
          <cell r="E1119">
            <v>451</v>
          </cell>
        </row>
        <row r="1120">
          <cell r="A1120" t="str">
            <v>923D</v>
          </cell>
          <cell r="B1120" t="str">
            <v>PM Bag black cvd zipper</v>
          </cell>
          <cell r="C1120" t="str">
            <v>EA</v>
          </cell>
          <cell r="D1120">
            <v>144</v>
          </cell>
          <cell r="E1120">
            <v>705</v>
          </cell>
        </row>
        <row r="1121">
          <cell r="A1121" t="str">
            <v>924PM</v>
          </cell>
          <cell r="B1121" t="str">
            <v>COMP FOR PM BAG &amp; KIT</v>
          </cell>
          <cell r="C1121" t="str">
            <v>EA</v>
          </cell>
        </row>
        <row r="1122">
          <cell r="A1122" t="str">
            <v>925D</v>
          </cell>
          <cell r="B1122" t="str">
            <v>HD PM bag black cv zipper</v>
          </cell>
          <cell r="C1122" t="str">
            <v>EA</v>
          </cell>
        </row>
        <row r="1123">
          <cell r="A1123" t="str">
            <v>9262</v>
          </cell>
          <cell r="B1123" t="str">
            <v>#6 003 Lg Cotton Ball</v>
          </cell>
          <cell r="C1123" t="str">
            <v>EA</v>
          </cell>
          <cell r="D1123">
            <v>23</v>
          </cell>
          <cell r="E1123">
            <v>3907</v>
          </cell>
        </row>
        <row r="1124">
          <cell r="A1124" t="str">
            <v>9264</v>
          </cell>
          <cell r="B1124" t="str">
            <v>UNPRINTED CARTON</v>
          </cell>
          <cell r="C1124" t="str">
            <v>EA</v>
          </cell>
          <cell r="D1124" t="str">
            <v>MZ1</v>
          </cell>
          <cell r="E1124">
            <v>3529</v>
          </cell>
        </row>
        <row r="1125">
          <cell r="A1125" t="str">
            <v>9280B</v>
          </cell>
          <cell r="B1125" t="str">
            <v>60" X 90" TABLE COVER F/F</v>
          </cell>
          <cell r="C1125" t="str">
            <v>EA</v>
          </cell>
          <cell r="D1125">
            <v>19</v>
          </cell>
          <cell r="E1125">
            <v>68</v>
          </cell>
        </row>
        <row r="1126">
          <cell r="A1126" t="str">
            <v>9292DW</v>
          </cell>
          <cell r="B1126" t="str">
            <v>Double-Walled Carton</v>
          </cell>
          <cell r="C1126" t="str">
            <v>EA</v>
          </cell>
        </row>
        <row r="1127">
          <cell r="A1127" t="str">
            <v>9297</v>
          </cell>
          <cell r="B1127" t="str">
            <v>1"x18"Micropore Tape</v>
          </cell>
          <cell r="C1127" t="str">
            <v>EA</v>
          </cell>
          <cell r="D1127">
            <v>21</v>
          </cell>
          <cell r="E1127">
            <v>650</v>
          </cell>
        </row>
        <row r="1128">
          <cell r="A1128" t="str">
            <v>9308A</v>
          </cell>
          <cell r="B1128" t="str">
            <v>Ster 20GX1.5" Safety Need</v>
          </cell>
          <cell r="C1128" t="str">
            <v>EA</v>
          </cell>
          <cell r="D1128" t="str">
            <v>N9</v>
          </cell>
          <cell r="E1128">
            <v>183</v>
          </cell>
        </row>
        <row r="1129">
          <cell r="A1129" t="str">
            <v>9318A</v>
          </cell>
          <cell r="B1129" t="str">
            <v>4.5" Splinter Forcep w/TP</v>
          </cell>
          <cell r="C1129" t="str">
            <v>EA</v>
          </cell>
          <cell r="D1129">
            <v>38</v>
          </cell>
          <cell r="E1129">
            <v>86</v>
          </cell>
        </row>
        <row r="1130">
          <cell r="A1130" t="str">
            <v>9324A</v>
          </cell>
          <cell r="B1130" t="str">
            <v>Assembly Diagram</v>
          </cell>
          <cell r="C1130" t="str">
            <v>EA</v>
          </cell>
          <cell r="D1130">
            <v>6</v>
          </cell>
          <cell r="E1130">
            <v>477</v>
          </cell>
        </row>
        <row r="1131">
          <cell r="A1131" t="str">
            <v>9324AF</v>
          </cell>
          <cell r="B1131" t="str">
            <v>ASSM BLDUSTCAP W/ SSTRAW</v>
          </cell>
          <cell r="C1131" t="str">
            <v>EA</v>
          </cell>
        </row>
        <row r="1132">
          <cell r="A1132" t="str">
            <v>9324AS</v>
          </cell>
          <cell r="B1132" t="str">
            <v>ASSEMBLED 80cc SPEC VIAL</v>
          </cell>
          <cell r="C1132" t="str">
            <v>EA</v>
          </cell>
          <cell r="D1132" t="str">
            <v>J</v>
          </cell>
          <cell r="E1132">
            <v>107</v>
          </cell>
        </row>
        <row r="1133">
          <cell r="A1133" t="str">
            <v>9324BF</v>
          </cell>
          <cell r="B1133" t="str">
            <v>ASSEM CEALOGIC CAP</v>
          </cell>
          <cell r="C1133" t="str">
            <v>EA</v>
          </cell>
        </row>
        <row r="1134">
          <cell r="A1134" t="str">
            <v>9324C</v>
          </cell>
          <cell r="B1134" t="str">
            <v>2"X1" Specimen Label 2/SH</v>
          </cell>
          <cell r="C1134" t="str">
            <v>SH</v>
          </cell>
        </row>
        <row r="1135">
          <cell r="A1135" t="str">
            <v>9324CF</v>
          </cell>
          <cell r="B1135" t="str">
            <v>ASSM CEALOGIC CAP &amp; TUBE</v>
          </cell>
          <cell r="C1135" t="str">
            <v>EA</v>
          </cell>
        </row>
        <row r="1136">
          <cell r="A1136" t="str">
            <v>9324D</v>
          </cell>
          <cell r="B1136" t="str">
            <v>1.75"X0.5 Product Sticker</v>
          </cell>
          <cell r="C1136" t="str">
            <v>EA</v>
          </cell>
        </row>
        <row r="1137">
          <cell r="A1137" t="str">
            <v>9324F</v>
          </cell>
          <cell r="B1137" t="str">
            <v>CEALOGIC 3 PORT CAP</v>
          </cell>
          <cell r="C1137" t="str">
            <v>EA</v>
          </cell>
          <cell r="D1137">
            <v>29</v>
          </cell>
          <cell r="E1137">
            <v>50</v>
          </cell>
        </row>
        <row r="1138">
          <cell r="A1138" t="str">
            <v>9324G</v>
          </cell>
          <cell r="B1138" t="str">
            <v>SUCTION STRAW (EXT SET)</v>
          </cell>
          <cell r="C1138" t="str">
            <v>EA</v>
          </cell>
          <cell r="D1138">
            <v>27</v>
          </cell>
          <cell r="E1138">
            <v>8858</v>
          </cell>
        </row>
        <row r="1139">
          <cell r="A1139" t="str">
            <v>9324H</v>
          </cell>
          <cell r="B1139" t="str">
            <v>BLUE DUST CAP FOR RECIBIO</v>
          </cell>
          <cell r="C1139" t="str">
            <v>EA</v>
          </cell>
          <cell r="D1139">
            <v>14</v>
          </cell>
          <cell r="E1139">
            <v>400</v>
          </cell>
        </row>
        <row r="1140">
          <cell r="A1140" t="str">
            <v>9324P</v>
          </cell>
          <cell r="B1140" t="str">
            <v>PRINTING 80cc VIAL</v>
          </cell>
          <cell r="C1140" t="str">
            <v>EA</v>
          </cell>
        </row>
        <row r="1141">
          <cell r="A1141" t="str">
            <v>9336C-1</v>
          </cell>
          <cell r="B1141" t="str">
            <v>STER 27 ga x 1.25 NEEDLE</v>
          </cell>
          <cell r="C1141" t="str">
            <v>EA</v>
          </cell>
          <cell r="D1141" t="str">
            <v>N3</v>
          </cell>
          <cell r="E1141">
            <v>15298</v>
          </cell>
        </row>
        <row r="1142">
          <cell r="A1142" t="str">
            <v>9336D-1</v>
          </cell>
          <cell r="B1142" t="str">
            <v>STER 25GA X 5/8" NDLE E/D</v>
          </cell>
          <cell r="C1142" t="str">
            <v>EA</v>
          </cell>
          <cell r="D1142" t="str">
            <v>N5</v>
          </cell>
          <cell r="E1142">
            <v>658</v>
          </cell>
        </row>
        <row r="1143">
          <cell r="A1143" t="str">
            <v>9355</v>
          </cell>
          <cell r="B1143" t="str">
            <v>Ster Cealogic R/A Kit 5cs</v>
          </cell>
          <cell r="C1143" t="str">
            <v>CS</v>
          </cell>
        </row>
        <row r="1144">
          <cell r="A1144" t="str">
            <v>9355A</v>
          </cell>
          <cell r="B1144" t="str">
            <v>1.75"X.5" Product Sticker</v>
          </cell>
          <cell r="C1144" t="str">
            <v>SH</v>
          </cell>
        </row>
        <row r="1145">
          <cell r="A1145" t="str">
            <v>9355B</v>
          </cell>
          <cell r="B1145" t="str">
            <v>Single Use Dispenser 11:1</v>
          </cell>
          <cell r="C1145" t="str">
            <v>EA</v>
          </cell>
          <cell r="D1145">
            <v>31</v>
          </cell>
          <cell r="E1145">
            <v>999</v>
          </cell>
        </row>
        <row r="1146">
          <cell r="A1146" t="str">
            <v>9355C</v>
          </cell>
          <cell r="B1146" t="str">
            <v>15mm Adpater Luer Lock</v>
          </cell>
          <cell r="C1146" t="str">
            <v>EA</v>
          </cell>
          <cell r="D1146">
            <v>34</v>
          </cell>
          <cell r="E1146">
            <v>990</v>
          </cell>
        </row>
        <row r="1147">
          <cell r="A1147" t="str">
            <v>9355D</v>
          </cell>
          <cell r="B1147" t="str">
            <v>Luer Spray</v>
          </cell>
          <cell r="C1147" t="str">
            <v>EA</v>
          </cell>
          <cell r="D1147">
            <v>30</v>
          </cell>
          <cell r="E1147">
            <v>1468</v>
          </cell>
        </row>
        <row r="1148">
          <cell r="A1148" t="str">
            <v>9355E</v>
          </cell>
          <cell r="B1148" t="str">
            <v>ASSEMBLY DIAGRAM</v>
          </cell>
          <cell r="C1148" t="str">
            <v>EA</v>
          </cell>
          <cell r="D1148">
            <v>26</v>
          </cell>
          <cell r="E1148">
            <v>466</v>
          </cell>
        </row>
        <row r="1149">
          <cell r="A1149" t="str">
            <v>9355P</v>
          </cell>
          <cell r="B1149" t="str">
            <v>40CC PRINTED VIAL RECIBIO</v>
          </cell>
          <cell r="C1149" t="str">
            <v>EA</v>
          </cell>
        </row>
        <row r="1150">
          <cell r="A1150" t="str">
            <v>9381-1</v>
          </cell>
          <cell r="B1150" t="str">
            <v>3ML LUER LOCK SYR.L/F</v>
          </cell>
          <cell r="C1150" t="str">
            <v>EA</v>
          </cell>
          <cell r="D1150">
            <v>30</v>
          </cell>
          <cell r="E1150">
            <v>28937</v>
          </cell>
        </row>
        <row r="1151">
          <cell r="A1151" t="str">
            <v>9381-2</v>
          </cell>
          <cell r="B1151" t="str">
            <v>BD 3CC L/L SYRINGE</v>
          </cell>
          <cell r="C1151" t="str">
            <v>EA</v>
          </cell>
          <cell r="D1151">
            <v>6</v>
          </cell>
          <cell r="E1151">
            <v>33336</v>
          </cell>
        </row>
        <row r="1152">
          <cell r="A1152" t="str">
            <v>9381A</v>
          </cell>
          <cell r="B1152" t="str">
            <v>3ML L/L SYRINGE</v>
          </cell>
          <cell r="C1152" t="str">
            <v>EA</v>
          </cell>
        </row>
        <row r="1153">
          <cell r="A1153" t="str">
            <v>9387A</v>
          </cell>
          <cell r="B1153" t="str">
            <v>16" Procto Swab</v>
          </cell>
          <cell r="C1153" t="str">
            <v>EA</v>
          </cell>
          <cell r="D1153">
            <v>21</v>
          </cell>
          <cell r="E1153">
            <v>49</v>
          </cell>
        </row>
        <row r="1154">
          <cell r="A1154" t="str">
            <v>9414-1</v>
          </cell>
          <cell r="B1154" t="str">
            <v>BZK FOR NONSTER PKG ONLY</v>
          </cell>
          <cell r="C1154" t="str">
            <v>EA</v>
          </cell>
          <cell r="D1154">
            <v>14</v>
          </cell>
          <cell r="E1154">
            <v>3689</v>
          </cell>
        </row>
        <row r="1155">
          <cell r="A1155" t="str">
            <v>9446</v>
          </cell>
          <cell r="B1155" t="str">
            <v>13x15"Tower Tear Bag</v>
          </cell>
          <cell r="C1155" t="str">
            <v>EA</v>
          </cell>
          <cell r="D1155">
            <v>26</v>
          </cell>
          <cell r="E1155">
            <v>1158</v>
          </cell>
        </row>
        <row r="1156">
          <cell r="A1156" t="str">
            <v>9449A</v>
          </cell>
          <cell r="B1156" t="str">
            <v>12X20 TOWER TEAR BAG Q/C</v>
          </cell>
          <cell r="C1156" t="str">
            <v>EA</v>
          </cell>
          <cell r="D1156">
            <v>26</v>
          </cell>
          <cell r="E1156">
            <v>1772</v>
          </cell>
        </row>
        <row r="1157">
          <cell r="A1157" t="str">
            <v>9449B-2</v>
          </cell>
          <cell r="B1157" t="str">
            <v>16IN X 22IN HEADER BAG</v>
          </cell>
          <cell r="C1157" t="str">
            <v>EA</v>
          </cell>
          <cell r="D1157">
            <v>31</v>
          </cell>
          <cell r="E1157">
            <v>6984</v>
          </cell>
        </row>
        <row r="1158">
          <cell r="A1158" t="str">
            <v>9450A</v>
          </cell>
          <cell r="B1158" t="str">
            <v>POINT-LOK SAFETY DEVICE</v>
          </cell>
          <cell r="C1158" t="str">
            <v>EA</v>
          </cell>
          <cell r="D1158">
            <v>21</v>
          </cell>
          <cell r="E1158">
            <v>598</v>
          </cell>
        </row>
        <row r="1159">
          <cell r="A1159" t="str">
            <v>9459B</v>
          </cell>
          <cell r="B1159" t="str">
            <v>25X25 CSR WRAP WHITE</v>
          </cell>
          <cell r="C1159" t="str">
            <v>EA</v>
          </cell>
          <cell r="D1159">
            <v>9</v>
          </cell>
          <cell r="E1159">
            <v>76620</v>
          </cell>
        </row>
        <row r="1160">
          <cell r="A1160" t="str">
            <v>9460A</v>
          </cell>
          <cell r="B1160" t="str">
            <v>25 G X 5/8" SAFETY NEEDLE</v>
          </cell>
          <cell r="C1160" t="str">
            <v>EA</v>
          </cell>
          <cell r="D1160" t="str">
            <v>N4</v>
          </cell>
          <cell r="E1160">
            <v>1643</v>
          </cell>
        </row>
        <row r="1161">
          <cell r="A1161" t="str">
            <v>9465</v>
          </cell>
          <cell r="B1161" t="str">
            <v>Ster Adv Pellet Del 20/CS</v>
          </cell>
          <cell r="C1161" t="str">
            <v>CS</v>
          </cell>
        </row>
        <row r="1162">
          <cell r="A1162" t="str">
            <v>9465D</v>
          </cell>
          <cell r="B1162" t="str">
            <v>Printed Disp Pellecome</v>
          </cell>
          <cell r="C1162" t="str">
            <v>EA</v>
          </cell>
        </row>
        <row r="1163">
          <cell r="A1163" t="str">
            <v>9465DW</v>
          </cell>
          <cell r="B1163" t="str">
            <v>Double-Wall Unprinted Ctn</v>
          </cell>
          <cell r="C1163" t="str">
            <v>EA</v>
          </cell>
          <cell r="D1163" t="str">
            <v>MZ7</v>
          </cell>
          <cell r="E1163">
            <v>189</v>
          </cell>
        </row>
        <row r="1164">
          <cell r="A1164" t="str">
            <v>9480A</v>
          </cell>
          <cell r="B1164" t="str">
            <v>18 G X 1.5" SAFETY NEEDLE</v>
          </cell>
          <cell r="C1164" t="str">
            <v>EA</v>
          </cell>
          <cell r="D1164" t="str">
            <v>N3</v>
          </cell>
          <cell r="E1164">
            <v>1484</v>
          </cell>
        </row>
        <row r="1165">
          <cell r="A1165" t="str">
            <v>9486A</v>
          </cell>
          <cell r="B1165" t="str">
            <v>P/F LATEX EXAM GLOVE LG</v>
          </cell>
          <cell r="C1165" t="str">
            <v>EA</v>
          </cell>
          <cell r="D1165">
            <v>28</v>
          </cell>
          <cell r="E1165">
            <v>1948</v>
          </cell>
        </row>
        <row r="1166">
          <cell r="A1166" t="str">
            <v>9504A-1</v>
          </cell>
          <cell r="B1166" t="str">
            <v>STER 25 ga x 1.5 NDLE E/D</v>
          </cell>
          <cell r="C1166" t="str">
            <v>EA</v>
          </cell>
          <cell r="D1166" t="str">
            <v>N3</v>
          </cell>
          <cell r="E1166">
            <v>565</v>
          </cell>
        </row>
        <row r="1167">
          <cell r="A1167" t="str">
            <v>9510A</v>
          </cell>
          <cell r="B1167" t="str">
            <v>22G X 1.5" SAFETY NEEDLE</v>
          </cell>
          <cell r="C1167" t="str">
            <v>EA</v>
          </cell>
          <cell r="D1167" t="str">
            <v>N4</v>
          </cell>
          <cell r="E1167">
            <v>214</v>
          </cell>
        </row>
        <row r="1168">
          <cell r="A1168" t="str">
            <v>9530A-1</v>
          </cell>
          <cell r="B1168" t="str">
            <v>FOAM NEEDLE STICK BLOCK</v>
          </cell>
          <cell r="C1168" t="str">
            <v>EA</v>
          </cell>
          <cell r="D1168">
            <v>25</v>
          </cell>
          <cell r="E1168">
            <v>8310</v>
          </cell>
        </row>
        <row r="1169">
          <cell r="A1169" t="str">
            <v>9534A</v>
          </cell>
          <cell r="B1169" t="str">
            <v>4x5.5Opsite 3000 Trnsp Ds</v>
          </cell>
          <cell r="C1169" t="str">
            <v>EA</v>
          </cell>
          <cell r="D1169">
            <v>30</v>
          </cell>
          <cell r="E1169">
            <v>617</v>
          </cell>
        </row>
        <row r="1170">
          <cell r="A1170" t="str">
            <v>9563A</v>
          </cell>
          <cell r="B1170" t="str">
            <v>3/4" Gasket, C/Plati/C/Si</v>
          </cell>
          <cell r="C1170" t="str">
            <v>EA</v>
          </cell>
          <cell r="D1170">
            <v>34</v>
          </cell>
          <cell r="E1170">
            <v>193</v>
          </cell>
        </row>
        <row r="1171">
          <cell r="A1171" t="str">
            <v>9575A</v>
          </cell>
          <cell r="B1171" t="str">
            <v>P/F Walleted Surgeo Glove</v>
          </cell>
          <cell r="C1171" t="str">
            <v>EA</v>
          </cell>
          <cell r="D1171">
            <v>15</v>
          </cell>
          <cell r="E1171">
            <v>378</v>
          </cell>
        </row>
        <row r="1172">
          <cell r="A1172" t="str">
            <v>9580A</v>
          </cell>
          <cell r="B1172" t="str">
            <v>#11 SAFETY SCALPEL</v>
          </cell>
          <cell r="C1172" t="str">
            <v>EA</v>
          </cell>
          <cell r="D1172">
            <v>29</v>
          </cell>
          <cell r="E1172">
            <v>9</v>
          </cell>
        </row>
        <row r="1173">
          <cell r="A1173" t="str">
            <v>9585A</v>
          </cell>
          <cell r="B1173" t="str">
            <v>25Gx31/2 P/P SpinalNeedle</v>
          </cell>
          <cell r="C1173" t="str">
            <v>EA</v>
          </cell>
          <cell r="D1173" t="str">
            <v>N3</v>
          </cell>
          <cell r="E1173">
            <v>206</v>
          </cell>
        </row>
        <row r="1174">
          <cell r="A1174" t="str">
            <v>9588C</v>
          </cell>
          <cell r="B1174" t="str">
            <v>N/Ster20 Gauge x1" Needle</v>
          </cell>
          <cell r="C1174" t="str">
            <v>EA</v>
          </cell>
          <cell r="D1174" t="str">
            <v>N5</v>
          </cell>
          <cell r="E1174">
            <v>749</v>
          </cell>
        </row>
        <row r="1175">
          <cell r="A1175" t="str">
            <v>9591AS</v>
          </cell>
          <cell r="B1175" t="str">
            <v>LM Sub Assem 40cc Mucus T</v>
          </cell>
          <cell r="C1175" t="str">
            <v>EA</v>
          </cell>
          <cell r="D1175" t="str">
            <v>J</v>
          </cell>
          <cell r="E1175">
            <v>106</v>
          </cell>
        </row>
        <row r="1176">
          <cell r="A1176" t="str">
            <v>9592A</v>
          </cell>
          <cell r="B1176" t="str">
            <v>SUB ASSEMBLY FOR K/9592</v>
          </cell>
          <cell r="C1176" t="str">
            <v>EA</v>
          </cell>
        </row>
        <row r="1177">
          <cell r="A1177" t="str">
            <v>9592B</v>
          </cell>
          <cell r="B1177" t="str">
            <v>SUB ASSEMBLY FOR K/9592</v>
          </cell>
          <cell r="C1177" t="str">
            <v>EA</v>
          </cell>
        </row>
        <row r="1178">
          <cell r="A1178" t="str">
            <v>9592D</v>
          </cell>
          <cell r="B1178" t="str">
            <v>1.75"X.5" P/P LABEL 15/SH</v>
          </cell>
          <cell r="C1178" t="str">
            <v>EA</v>
          </cell>
        </row>
        <row r="1179">
          <cell r="A1179" t="str">
            <v>9592DW</v>
          </cell>
          <cell r="B1179" t="str">
            <v>Double-Walled Carton</v>
          </cell>
          <cell r="C1179" t="str">
            <v>EA</v>
          </cell>
          <cell r="D1179" t="str">
            <v>MZ7</v>
          </cell>
          <cell r="E1179">
            <v>530</v>
          </cell>
        </row>
        <row r="1180">
          <cell r="A1180" t="str">
            <v>9592F</v>
          </cell>
          <cell r="B1180" t="str">
            <v>3/16"X10' Suction Tubing</v>
          </cell>
          <cell r="C1180" t="str">
            <v>EA</v>
          </cell>
          <cell r="D1180">
            <v>31</v>
          </cell>
          <cell r="E1180">
            <v>13</v>
          </cell>
        </row>
        <row r="1181">
          <cell r="A1181" t="str">
            <v>9592G</v>
          </cell>
          <cell r="B1181" t="str">
            <v>BD 21GX1" Safety/G Needle</v>
          </cell>
          <cell r="C1181" t="str">
            <v>EA</v>
          </cell>
        </row>
        <row r="1182">
          <cell r="A1182" t="str">
            <v>9592H</v>
          </cell>
          <cell r="B1182" t="str">
            <v>BD 18G x 1.16"IV Catherer</v>
          </cell>
          <cell r="C1182" t="str">
            <v>EA</v>
          </cell>
          <cell r="D1182" t="str">
            <v>N10</v>
          </cell>
          <cell r="E1182">
            <v>238</v>
          </cell>
        </row>
        <row r="1183">
          <cell r="A1183" t="str">
            <v>9592J</v>
          </cell>
          <cell r="B1183" t="str">
            <v>BD 60 CC L/L Syringe</v>
          </cell>
          <cell r="C1183" t="str">
            <v>EA</v>
          </cell>
          <cell r="D1183">
            <v>30</v>
          </cell>
          <cell r="E1183">
            <v>109</v>
          </cell>
        </row>
        <row r="1184">
          <cell r="A1184" t="str">
            <v>9626DW</v>
          </cell>
          <cell r="B1184" t="str">
            <v>Doubl-Walled Shipper Ctn</v>
          </cell>
          <cell r="C1184" t="str">
            <v>EA</v>
          </cell>
          <cell r="D1184" t="str">
            <v>MZ7</v>
          </cell>
          <cell r="E1184">
            <v>945</v>
          </cell>
        </row>
        <row r="1185">
          <cell r="A1185" t="str">
            <v>9627</v>
          </cell>
          <cell r="B1185" t="str">
            <v>Nu Gauze 4"x4" Sponge</v>
          </cell>
          <cell r="C1185" t="str">
            <v>EA</v>
          </cell>
          <cell r="D1185">
            <v>33</v>
          </cell>
          <cell r="E1185">
            <v>41668</v>
          </cell>
        </row>
        <row r="1186">
          <cell r="A1186" t="str">
            <v>9631A</v>
          </cell>
          <cell r="B1186" t="str">
            <v>10CC Syringe Kit</v>
          </cell>
          <cell r="C1186" t="str">
            <v>EA</v>
          </cell>
        </row>
        <row r="1187">
          <cell r="A1187" t="str">
            <v>9631DW</v>
          </cell>
          <cell r="B1187" t="str">
            <v>Double-Walled Shipper Ctn</v>
          </cell>
          <cell r="C1187" t="str">
            <v>EA</v>
          </cell>
          <cell r="D1187" t="str">
            <v>MZ1</v>
          </cell>
          <cell r="E1187">
            <v>878</v>
          </cell>
        </row>
        <row r="1188">
          <cell r="A1188" t="str">
            <v>9631T</v>
          </cell>
          <cell r="B1188" t="str">
            <v>Ster 10ml Syringe-Pak 10c</v>
          </cell>
          <cell r="C1188" t="str">
            <v>CS</v>
          </cell>
        </row>
        <row r="1189">
          <cell r="A1189" t="str">
            <v>9646</v>
          </cell>
          <cell r="B1189" t="str">
            <v>Bone Dust Collecting K20</v>
          </cell>
          <cell r="C1189" t="str">
            <v>CS</v>
          </cell>
        </row>
        <row r="1190">
          <cell r="A1190" t="str">
            <v>9646A</v>
          </cell>
          <cell r="B1190" t="str">
            <v>Packaged Filter</v>
          </cell>
          <cell r="C1190" t="str">
            <v>EA</v>
          </cell>
          <cell r="D1190">
            <v>63</v>
          </cell>
          <cell r="E1190">
            <v>1000</v>
          </cell>
        </row>
        <row r="1191">
          <cell r="A1191" t="str">
            <v>9646B</v>
          </cell>
          <cell r="B1191" t="str">
            <v>Assembled B/Dust Collecto</v>
          </cell>
          <cell r="C1191" t="str">
            <v>EA</v>
          </cell>
          <cell r="D1191">
            <v>64</v>
          </cell>
          <cell r="E1191">
            <v>5</v>
          </cell>
        </row>
        <row r="1192">
          <cell r="A1192" t="str">
            <v>9646C</v>
          </cell>
          <cell r="B1192" t="str">
            <v>263 Micron Filter, 62MM</v>
          </cell>
          <cell r="C1192" t="str">
            <v>EA</v>
          </cell>
          <cell r="D1192">
            <v>24</v>
          </cell>
          <cell r="E1192">
            <v>3934</v>
          </cell>
        </row>
        <row r="1193">
          <cell r="A1193" t="str">
            <v>9646C-1</v>
          </cell>
          <cell r="B1193" t="str">
            <v>263 Micron Filter, 62MM</v>
          </cell>
          <cell r="C1193" t="str">
            <v>EA</v>
          </cell>
        </row>
        <row r="1194">
          <cell r="A1194" t="str">
            <v>9646D</v>
          </cell>
          <cell r="B1194" t="str">
            <v>N/V Male L/Lock Cap, Blue</v>
          </cell>
          <cell r="C1194" t="str">
            <v>EA</v>
          </cell>
          <cell r="D1194">
            <v>30</v>
          </cell>
          <cell r="E1194">
            <v>1039</v>
          </cell>
        </row>
        <row r="1195">
          <cell r="A1195" t="str">
            <v>9646DW</v>
          </cell>
          <cell r="B1195" t="str">
            <v>Double-Walled Carton</v>
          </cell>
          <cell r="C1195" t="str">
            <v>EA</v>
          </cell>
          <cell r="D1195" t="str">
            <v>MZ7</v>
          </cell>
          <cell r="E1195">
            <v>498</v>
          </cell>
        </row>
        <row r="1196">
          <cell r="A1196" t="str">
            <v>9646F</v>
          </cell>
          <cell r="B1196" t="str">
            <v>Large Nozzle</v>
          </cell>
          <cell r="C1196" t="str">
            <v>EA</v>
          </cell>
          <cell r="D1196">
            <v>31</v>
          </cell>
          <cell r="E1196">
            <v>86</v>
          </cell>
        </row>
        <row r="1197">
          <cell r="A1197" t="str">
            <v>9646G</v>
          </cell>
          <cell r="B1197" t="str">
            <v>Basket Holder Body</v>
          </cell>
          <cell r="C1197" t="str">
            <v>EA</v>
          </cell>
          <cell r="D1197">
            <v>30</v>
          </cell>
          <cell r="E1197">
            <v>1215</v>
          </cell>
        </row>
        <row r="1198">
          <cell r="A1198" t="str">
            <v>9646S</v>
          </cell>
          <cell r="B1198" t="str">
            <v>Master Shipper Carton</v>
          </cell>
          <cell r="C1198" t="str">
            <v>EA</v>
          </cell>
          <cell r="D1198" t="str">
            <v>MZ1</v>
          </cell>
          <cell r="E1198">
            <v>150</v>
          </cell>
        </row>
        <row r="1199">
          <cell r="A1199" t="str">
            <v>9646Z</v>
          </cell>
          <cell r="B1199" t="str">
            <v>Ster B/D Collecting K20</v>
          </cell>
          <cell r="C1199" t="str">
            <v>CS</v>
          </cell>
        </row>
        <row r="1200">
          <cell r="A1200" t="str">
            <v>9665A</v>
          </cell>
          <cell r="B1200" t="str">
            <v>21 GAUGE X 2" NEEDLE</v>
          </cell>
          <cell r="C1200" t="str">
            <v>EA</v>
          </cell>
          <cell r="D1200" t="str">
            <v>N3</v>
          </cell>
          <cell r="E1200">
            <v>920</v>
          </cell>
        </row>
        <row r="1201">
          <cell r="A1201" t="str">
            <v>9665B</v>
          </cell>
          <cell r="B1201" t="str">
            <v>1/4"x1.5" Reinf/Wound/Cl6</v>
          </cell>
          <cell r="C1201" t="str">
            <v>EA</v>
          </cell>
          <cell r="D1201">
            <v>34</v>
          </cell>
          <cell r="E1201">
            <v>377</v>
          </cell>
        </row>
        <row r="1202">
          <cell r="A1202" t="str">
            <v>9665R1</v>
          </cell>
          <cell r="B1202" t="str">
            <v>PROCEDURAL KIT (20/CS)</v>
          </cell>
          <cell r="C1202" t="str">
            <v>CS</v>
          </cell>
        </row>
        <row r="1203">
          <cell r="A1203" t="str">
            <v>9669A</v>
          </cell>
          <cell r="B1203" t="str">
            <v>1.75"x.5" Labels 12/Sheet</v>
          </cell>
          <cell r="C1203" t="str">
            <v>EA</v>
          </cell>
        </row>
        <row r="1204">
          <cell r="A1204" t="str">
            <v>9677-1</v>
          </cell>
          <cell r="B1204" t="str">
            <v>3X4.1YD CONFORMING GAUZE</v>
          </cell>
          <cell r="C1204" t="str">
            <v>EA</v>
          </cell>
          <cell r="D1204">
            <v>21</v>
          </cell>
          <cell r="E1204">
            <v>1027</v>
          </cell>
        </row>
        <row r="1205">
          <cell r="A1205" t="str">
            <v>9679A</v>
          </cell>
          <cell r="B1205" t="str">
            <v>Lidocaine30ml,2% w/Epinep</v>
          </cell>
          <cell r="C1205" t="str">
            <v>EA</v>
          </cell>
        </row>
        <row r="1206">
          <cell r="A1206" t="str">
            <v>9679B</v>
          </cell>
          <cell r="B1206" t="str">
            <v>Lidocaine 30ml 2% insert</v>
          </cell>
          <cell r="C1206" t="str">
            <v>EA</v>
          </cell>
        </row>
        <row r="1207">
          <cell r="A1207" t="str">
            <v>9704A</v>
          </cell>
          <cell r="B1207" t="str">
            <v>5CC Syringe Kit</v>
          </cell>
          <cell r="C1207" t="str">
            <v>EA</v>
          </cell>
        </row>
        <row r="1208">
          <cell r="A1208" t="str">
            <v>9704T</v>
          </cell>
          <cell r="B1208" t="str">
            <v>Ster 5ml Syringe Pak 10CS</v>
          </cell>
          <cell r="C1208" t="str">
            <v>CS</v>
          </cell>
        </row>
        <row r="1209">
          <cell r="A1209" t="str">
            <v>9732-1</v>
          </cell>
          <cell r="B1209" t="str">
            <v>20CC L/LOCK SYRINGE L/F</v>
          </cell>
          <cell r="C1209" t="str">
            <v>EA</v>
          </cell>
          <cell r="D1209">
            <v>24</v>
          </cell>
          <cell r="E1209">
            <v>1692</v>
          </cell>
        </row>
        <row r="1210">
          <cell r="A1210" t="str">
            <v>9737A</v>
          </cell>
          <cell r="B1210" t="str">
            <v>12"SM BORE W/F/M/F/EXTSET</v>
          </cell>
          <cell r="C1210" t="str">
            <v>EA</v>
          </cell>
        </row>
        <row r="1211">
          <cell r="A1211" t="str">
            <v>9740A-1</v>
          </cell>
          <cell r="B1211" t="str">
            <v>4.5X 3 X 1/8" FOAM HOLDER</v>
          </cell>
          <cell r="C1211" t="str">
            <v>EA</v>
          </cell>
          <cell r="D1211">
            <v>30</v>
          </cell>
          <cell r="E1211">
            <v>18377</v>
          </cell>
        </row>
        <row r="1212">
          <cell r="A1212" t="str">
            <v>9764</v>
          </cell>
          <cell r="B1212" t="str">
            <v>Ster ACCESSORY NEEDLE 100</v>
          </cell>
          <cell r="C1212" t="str">
            <v>CS</v>
          </cell>
        </row>
        <row r="1213">
          <cell r="A1213" t="str">
            <v>9770A</v>
          </cell>
          <cell r="B1213" t="str">
            <v>SINGLE PORT NEEDLEVISE</v>
          </cell>
          <cell r="C1213" t="str">
            <v>EA</v>
          </cell>
          <cell r="D1213">
            <v>19</v>
          </cell>
          <cell r="E1213">
            <v>3</v>
          </cell>
        </row>
        <row r="1214">
          <cell r="A1214" t="str">
            <v>9770B</v>
          </cell>
          <cell r="B1214" t="str">
            <v>IFU FOR 7660A DO NOT ORDE</v>
          </cell>
          <cell r="C1214" t="str">
            <v>EA</v>
          </cell>
        </row>
        <row r="1215">
          <cell r="A1215" t="str">
            <v>9772A</v>
          </cell>
          <cell r="B1215" t="str">
            <v>27GX 1 1/2" Safety Needle</v>
          </cell>
          <cell r="C1215" t="str">
            <v>EA</v>
          </cell>
          <cell r="D1215" t="str">
            <v>N9</v>
          </cell>
          <cell r="E1215">
            <v>339</v>
          </cell>
        </row>
        <row r="1216">
          <cell r="A1216" t="str">
            <v>9790A</v>
          </cell>
          <cell r="B1216" t="str">
            <v>Surg Gown Blue XLG Level4</v>
          </cell>
          <cell r="C1216" t="str">
            <v>EA</v>
          </cell>
          <cell r="D1216">
            <v>25</v>
          </cell>
          <cell r="E1216">
            <v>97</v>
          </cell>
        </row>
        <row r="1217">
          <cell r="A1217" t="str">
            <v>9800B</v>
          </cell>
          <cell r="B1217" t="str">
            <v>BLANK MED LABELS 10/SHEET</v>
          </cell>
          <cell r="C1217" t="str">
            <v>EA</v>
          </cell>
        </row>
        <row r="1218">
          <cell r="A1218" t="str">
            <v>9809A</v>
          </cell>
          <cell r="B1218" t="str">
            <v>Ster 23G x 3/4" B/Needle</v>
          </cell>
          <cell r="C1218" t="str">
            <v>EA</v>
          </cell>
          <cell r="D1218" t="str">
            <v>N10</v>
          </cell>
          <cell r="E1218">
            <v>399</v>
          </cell>
        </row>
        <row r="1219">
          <cell r="A1219" t="str">
            <v>9810B</v>
          </cell>
          <cell r="B1219" t="str">
            <v>5"X2.5" UNIVERSAL LABELS</v>
          </cell>
          <cell r="C1219" t="str">
            <v>EA</v>
          </cell>
          <cell r="D1219">
            <v>23</v>
          </cell>
          <cell r="E1219">
            <v>63192</v>
          </cell>
        </row>
        <row r="1220">
          <cell r="A1220" t="str">
            <v>9820A</v>
          </cell>
          <cell r="B1220" t="str">
            <v>PERMANENT MARKER</v>
          </cell>
          <cell r="C1220" t="str">
            <v>EA</v>
          </cell>
          <cell r="D1220">
            <v>34</v>
          </cell>
          <cell r="E1220">
            <v>195</v>
          </cell>
        </row>
        <row r="1221">
          <cell r="A1221" t="str">
            <v>9843</v>
          </cell>
          <cell r="B1221" t="str">
            <v>5.5"Sharp/Blunt Scissors</v>
          </cell>
          <cell r="C1221" t="str">
            <v>EA</v>
          </cell>
          <cell r="D1221">
            <v>44</v>
          </cell>
          <cell r="E1221">
            <v>12591</v>
          </cell>
        </row>
        <row r="1222">
          <cell r="A1222" t="str">
            <v>9851</v>
          </cell>
          <cell r="B1222" t="str">
            <v>Blue Cotton O.R Towel</v>
          </cell>
          <cell r="C1222" t="str">
            <v>EA</v>
          </cell>
          <cell r="D1222">
            <v>34</v>
          </cell>
          <cell r="E1222">
            <v>6926</v>
          </cell>
        </row>
        <row r="1223">
          <cell r="A1223" t="str">
            <v>9861</v>
          </cell>
          <cell r="B1223" t="str">
            <v>Blue Cotton O.R Fen Drape</v>
          </cell>
          <cell r="C1223" t="str">
            <v>EA</v>
          </cell>
          <cell r="D1223">
            <v>3</v>
          </cell>
          <cell r="E1223">
            <v>3903</v>
          </cell>
        </row>
        <row r="1224">
          <cell r="A1224" t="str">
            <v>9863-1</v>
          </cell>
          <cell r="B1224" t="str">
            <v>STER 27 ga x .5" NDLE E/D</v>
          </cell>
          <cell r="C1224" t="str">
            <v>EA</v>
          </cell>
          <cell r="D1224" t="str">
            <v>N1</v>
          </cell>
          <cell r="E1224">
            <v>40</v>
          </cell>
        </row>
        <row r="1225">
          <cell r="A1225" t="str">
            <v>9880B</v>
          </cell>
          <cell r="B1225" t="str">
            <v>24MIL THERMOF-SNARE-IT/Ty</v>
          </cell>
          <cell r="C1225" t="str">
            <v>EA</v>
          </cell>
          <cell r="D1225">
            <v>74</v>
          </cell>
          <cell r="E1225">
            <v>667</v>
          </cell>
        </row>
        <row r="1226">
          <cell r="A1226" t="str">
            <v>9882A</v>
          </cell>
          <cell r="B1226" t="str">
            <v>30ml .25%Bupivacaine Vial</v>
          </cell>
          <cell r="C1226" t="str">
            <v>EA</v>
          </cell>
          <cell r="D1226" t="str">
            <v>DRUGS</v>
          </cell>
          <cell r="E1226">
            <v>7</v>
          </cell>
        </row>
        <row r="1227">
          <cell r="A1227" t="str">
            <v>9882B</v>
          </cell>
          <cell r="B1227" t="str">
            <v>Insert Bupivacaine Vial</v>
          </cell>
          <cell r="C1227" t="str">
            <v>EA</v>
          </cell>
          <cell r="D1227">
            <v>6</v>
          </cell>
          <cell r="E1227">
            <v>2095</v>
          </cell>
        </row>
        <row r="1228">
          <cell r="A1228" t="str">
            <v>9986</v>
          </cell>
          <cell r="B1228" t="str">
            <v>#07054431B Adult Veni-Grd</v>
          </cell>
          <cell r="C1228" t="str">
            <v>EA</v>
          </cell>
          <cell r="D1228">
            <v>14</v>
          </cell>
          <cell r="E1228">
            <v>1579</v>
          </cell>
        </row>
        <row r="1229">
          <cell r="A1229" t="str">
            <v>ARTWORK</v>
          </cell>
          <cell r="B1229" t="str">
            <v>ARTWORK</v>
          </cell>
          <cell r="C1229" t="str">
            <v>EA</v>
          </cell>
        </row>
        <row r="1230">
          <cell r="A1230" t="str">
            <v>AS23</v>
          </cell>
          <cell r="B1230" t="str">
            <v>AGAR STRIPS</v>
          </cell>
          <cell r="C1230" t="str">
            <v>EA</v>
          </cell>
        </row>
        <row r="1231">
          <cell r="A1231" t="str">
            <v>AST25</v>
          </cell>
          <cell r="B1231" t="str">
            <v>AGAR STRIPS TEST CHARGE</v>
          </cell>
          <cell r="C1231" t="str">
            <v>EA</v>
          </cell>
        </row>
        <row r="1232">
          <cell r="A1232" t="str">
            <v>BBCC20</v>
          </cell>
          <cell r="B1232" t="str">
            <v>BIOBURDEN CONSULTING</v>
          </cell>
          <cell r="C1232" t="str">
            <v>EA</v>
          </cell>
        </row>
        <row r="1233">
          <cell r="A1233" t="str">
            <v>BBPCDR19</v>
          </cell>
          <cell r="B1233" t="str">
            <v>BIOBURDEN PCD/CATALOG</v>
          </cell>
          <cell r="C1233" t="str">
            <v>EA</v>
          </cell>
        </row>
        <row r="1234">
          <cell r="A1234" t="str">
            <v>BBPSC18</v>
          </cell>
          <cell r="B1234" t="str">
            <v>BIOBURDEN PROGRAM SETUP</v>
          </cell>
          <cell r="C1234" t="str">
            <v>EA</v>
          </cell>
        </row>
        <row r="1235">
          <cell r="A1235" t="str">
            <v>BIOBURDEN</v>
          </cell>
          <cell r="B1235" t="str">
            <v>BIOBURDEN TESTING</v>
          </cell>
          <cell r="C1235" t="str">
            <v>EA</v>
          </cell>
        </row>
        <row r="1236">
          <cell r="A1236" t="str">
            <v>BS1954C-1</v>
          </cell>
          <cell r="B1236" t="str">
            <v>CS1954C-1 3.2MM SHARP OBT</v>
          </cell>
          <cell r="C1236" t="str">
            <v>EA</v>
          </cell>
        </row>
        <row r="1237">
          <cell r="A1237" t="str">
            <v>BS1954D-1</v>
          </cell>
          <cell r="B1237" t="str">
            <v>CS1954D-1 3.2MM BLUNT OBT</v>
          </cell>
          <cell r="C1237" t="str">
            <v>EA</v>
          </cell>
        </row>
        <row r="1238">
          <cell r="A1238" t="str">
            <v>BS1954E-1</v>
          </cell>
          <cell r="B1238" t="str">
            <v>CS1954E-1 3.2MM CANNULA</v>
          </cell>
          <cell r="C1238" t="str">
            <v>EA</v>
          </cell>
        </row>
        <row r="1239">
          <cell r="A1239" t="str">
            <v>C-AA101</v>
          </cell>
          <cell r="B1239" t="str">
            <v>ACCELERATED AGING 1 YEAR</v>
          </cell>
          <cell r="C1239" t="str">
            <v>EA</v>
          </cell>
        </row>
        <row r="1240">
          <cell r="A1240" t="str">
            <v>C-AA202</v>
          </cell>
          <cell r="B1240" t="str">
            <v>ACCELERATED AGING 2 YEARS</v>
          </cell>
          <cell r="C1240" t="str">
            <v>EA</v>
          </cell>
        </row>
        <row r="1241">
          <cell r="A1241" t="str">
            <v>C-AA303</v>
          </cell>
          <cell r="B1241" t="str">
            <v>ACCELERATED AGING 3 YEARS</v>
          </cell>
          <cell r="C1241" t="str">
            <v>EA</v>
          </cell>
        </row>
        <row r="1242">
          <cell r="A1242" t="str">
            <v>C-AA303XL</v>
          </cell>
          <cell r="B1242" t="str">
            <v>ACC.AGING STUDY 3 YRS XL</v>
          </cell>
          <cell r="C1242" t="str">
            <v>EA</v>
          </cell>
        </row>
        <row r="1243">
          <cell r="A1243" t="str">
            <v>C-AA404</v>
          </cell>
          <cell r="B1243" t="str">
            <v>ACCELERATED AGING 4 YEARS</v>
          </cell>
          <cell r="C1243" t="str">
            <v>EA</v>
          </cell>
        </row>
        <row r="1244">
          <cell r="A1244" t="str">
            <v>C-AA505</v>
          </cell>
          <cell r="B1244" t="str">
            <v>ACCELERATED AGING 5 YEARS</v>
          </cell>
          <cell r="C1244" t="str">
            <v>EA</v>
          </cell>
        </row>
        <row r="1245">
          <cell r="A1245" t="str">
            <v>C-BB01</v>
          </cell>
          <cell r="B1245" t="str">
            <v>BIOBURDEN - PCD TESTING</v>
          </cell>
          <cell r="C1245" t="str">
            <v>EA</v>
          </cell>
        </row>
        <row r="1246">
          <cell r="A1246" t="str">
            <v>C-BB01XL</v>
          </cell>
          <cell r="B1246" t="str">
            <v>BIOBURDEN TESTING XL</v>
          </cell>
          <cell r="C1246" t="str">
            <v>EA</v>
          </cell>
        </row>
        <row r="1247">
          <cell r="A1247" t="str">
            <v>C-BBP20</v>
          </cell>
          <cell r="B1247" t="str">
            <v>Bioburden Production</v>
          </cell>
          <cell r="C1247" t="str">
            <v>EA</v>
          </cell>
        </row>
        <row r="1248">
          <cell r="A1248" t="str">
            <v>C-BCH16</v>
          </cell>
          <cell r="B1248" t="str">
            <v>BIOCOMPATIBILTY HANDLING</v>
          </cell>
          <cell r="C1248" t="str">
            <v>EA</v>
          </cell>
        </row>
        <row r="1249">
          <cell r="A1249" t="str">
            <v>C-BCTC02</v>
          </cell>
          <cell r="B1249" t="str">
            <v>BIOCOMPATIBILITY TESTING</v>
          </cell>
          <cell r="C1249" t="str">
            <v>EA</v>
          </cell>
        </row>
        <row r="1250">
          <cell r="A1250" t="str">
            <v>C-BHC21</v>
          </cell>
          <cell r="B1250" t="str">
            <v>HANDLING CHARGE</v>
          </cell>
          <cell r="C1250" t="str">
            <v>EA</v>
          </cell>
        </row>
        <row r="1251">
          <cell r="A1251" t="str">
            <v>C-EORT01</v>
          </cell>
          <cell r="B1251" t="str">
            <v>ETO TEST - BLANK</v>
          </cell>
          <cell r="C1251" t="str">
            <v>EA</v>
          </cell>
        </row>
        <row r="1252">
          <cell r="A1252" t="str">
            <v>C-EORT02</v>
          </cell>
          <cell r="B1252" t="str">
            <v>ETO TEST 0 HR TEST 1XSTER</v>
          </cell>
          <cell r="C1252" t="str">
            <v>EA</v>
          </cell>
        </row>
        <row r="1253">
          <cell r="A1253" t="str">
            <v>C-EORT03</v>
          </cell>
          <cell r="B1253" t="str">
            <v>ETO TEST 24HRS 1X STER</v>
          </cell>
          <cell r="C1253" t="str">
            <v>EA</v>
          </cell>
        </row>
        <row r="1254">
          <cell r="A1254" t="str">
            <v>C-EORT04</v>
          </cell>
          <cell r="B1254" t="str">
            <v>ETO TEST 48HRS 1X STER</v>
          </cell>
          <cell r="C1254" t="str">
            <v>EA</v>
          </cell>
        </row>
        <row r="1255">
          <cell r="A1255" t="str">
            <v>C-EORT05</v>
          </cell>
          <cell r="B1255" t="str">
            <v>EO 24HR TEST-2X STERILE</v>
          </cell>
          <cell r="C1255" t="str">
            <v>EA</v>
          </cell>
        </row>
        <row r="1256">
          <cell r="A1256" t="str">
            <v>C-EORT06</v>
          </cell>
          <cell r="B1256" t="str">
            <v>EO 48HR TEST-2X STERILE</v>
          </cell>
          <cell r="C1256" t="str">
            <v>EA</v>
          </cell>
        </row>
        <row r="1257">
          <cell r="A1257" t="str">
            <v>C-EORT12</v>
          </cell>
          <cell r="B1257" t="str">
            <v>ETO 96HRS TEST/2X STER</v>
          </cell>
          <cell r="C1257" t="str">
            <v>EA</v>
          </cell>
        </row>
        <row r="1258">
          <cell r="A1258" t="str">
            <v>C-FC04</v>
          </cell>
          <cell r="B1258" t="str">
            <v>3 FULL CYCLES</v>
          </cell>
          <cell r="C1258" t="str">
            <v>EA</v>
          </cell>
        </row>
        <row r="1259">
          <cell r="A1259" t="str">
            <v>C-FC11</v>
          </cell>
          <cell r="B1259" t="str">
            <v>1 FULL CYCLE</v>
          </cell>
          <cell r="C1259" t="str">
            <v>EA</v>
          </cell>
        </row>
        <row r="1260">
          <cell r="A1260" t="str">
            <v>C-FC11XL</v>
          </cell>
          <cell r="B1260" t="str">
            <v>FULL CYCLE XL</v>
          </cell>
          <cell r="C1260" t="str">
            <v>EA</v>
          </cell>
        </row>
        <row r="1261">
          <cell r="A1261" t="str">
            <v>C-HC03</v>
          </cell>
          <cell r="B1261" t="str">
            <v>3 HALF CYCLES</v>
          </cell>
          <cell r="C1261" t="str">
            <v>EA</v>
          </cell>
        </row>
        <row r="1262">
          <cell r="A1262" t="str">
            <v>C-HC10</v>
          </cell>
          <cell r="B1262" t="str">
            <v>1 HALF CYCLE</v>
          </cell>
          <cell r="C1262" t="str">
            <v>EA</v>
          </cell>
        </row>
        <row r="1263">
          <cell r="A1263" t="str">
            <v>C-HC10XL</v>
          </cell>
          <cell r="B1263" t="str">
            <v>HALF CYCLE XL</v>
          </cell>
          <cell r="C1263" t="str">
            <v>EA</v>
          </cell>
        </row>
        <row r="1264">
          <cell r="A1264" t="str">
            <v>C-MCL01</v>
          </cell>
          <cell r="B1264" t="str">
            <v>MISC CHARGE SHIP TO LAB</v>
          </cell>
          <cell r="C1264" t="str">
            <v>EA</v>
          </cell>
        </row>
        <row r="1265">
          <cell r="A1265" t="str">
            <v>C-MCL06</v>
          </cell>
          <cell r="B1265" t="str">
            <v>MISC CHARGE SHIP TO LAB</v>
          </cell>
          <cell r="C1265" t="str">
            <v>EA</v>
          </cell>
        </row>
        <row r="1266">
          <cell r="A1266" t="str">
            <v>CP24</v>
          </cell>
          <cell r="B1266" t="str">
            <v>CONTACT PLATES</v>
          </cell>
          <cell r="C1266" t="str">
            <v>EA</v>
          </cell>
        </row>
        <row r="1267">
          <cell r="A1267" t="str">
            <v>C-PHD09</v>
          </cell>
          <cell r="B1267" t="str">
            <v>PREP,HANDLING,DUNNAGE</v>
          </cell>
          <cell r="C1267" t="str">
            <v>EA</v>
          </cell>
        </row>
        <row r="1268">
          <cell r="A1268" t="str">
            <v>C-PHD09XL</v>
          </cell>
          <cell r="B1268" t="str">
            <v>PREP,HANDLING,DUNNAGE XL</v>
          </cell>
          <cell r="C1268" t="str">
            <v>EA</v>
          </cell>
        </row>
        <row r="1269">
          <cell r="A1269" t="str">
            <v>C-PHD12</v>
          </cell>
          <cell r="B1269" t="str">
            <v>PREP,HANDLING,DUNNAGE</v>
          </cell>
          <cell r="C1269" t="str">
            <v>EA</v>
          </cell>
        </row>
        <row r="1270">
          <cell r="A1270" t="str">
            <v>C-PSTT17</v>
          </cell>
          <cell r="B1270" t="str">
            <v>POST SHIP-TEST TESTING</v>
          </cell>
          <cell r="C1270" t="str">
            <v>EA</v>
          </cell>
        </row>
        <row r="1271">
          <cell r="A1271" t="str">
            <v>C-PT07</v>
          </cell>
          <cell r="B1271" t="str">
            <v>PACKAGING TESTING AND RPT</v>
          </cell>
          <cell r="C1271" t="str">
            <v>EA</v>
          </cell>
        </row>
        <row r="1272">
          <cell r="A1272" t="str">
            <v>C-PT07XL</v>
          </cell>
          <cell r="B1272" t="str">
            <v>PKG TESTING, FINAL RPT XL</v>
          </cell>
          <cell r="C1272" t="str">
            <v>EA</v>
          </cell>
        </row>
        <row r="1273">
          <cell r="A1273" t="str">
            <v>CPT26</v>
          </cell>
          <cell r="B1273" t="str">
            <v>CONTACT PLATE TEST CHARGE</v>
          </cell>
          <cell r="C1273" t="str">
            <v>EA</v>
          </cell>
        </row>
        <row r="1274">
          <cell r="A1274" t="str">
            <v>C-PYT05</v>
          </cell>
          <cell r="B1274" t="str">
            <v>PYROGEN TESTING</v>
          </cell>
          <cell r="C1274" t="str">
            <v>EA</v>
          </cell>
        </row>
        <row r="1275">
          <cell r="A1275" t="str">
            <v>C-PYT05XL</v>
          </cell>
          <cell r="B1275" t="str">
            <v>PYROGEN TESTING XL</v>
          </cell>
          <cell r="C1275" t="str">
            <v>EA</v>
          </cell>
        </row>
        <row r="1276">
          <cell r="A1276" t="str">
            <v>C-RD18</v>
          </cell>
          <cell r="B1276" t="str">
            <v>RESEARCH &amp; DEVELOPMENT</v>
          </cell>
          <cell r="C1276" t="str">
            <v>EA</v>
          </cell>
        </row>
        <row r="1277">
          <cell r="A1277" t="str">
            <v>C-RTA101</v>
          </cell>
          <cell r="B1277" t="str">
            <v>REALTIME AGING 1 YEAR</v>
          </cell>
          <cell r="C1277" t="str">
            <v>EA</v>
          </cell>
        </row>
        <row r="1278">
          <cell r="A1278" t="str">
            <v>C-RTA202</v>
          </cell>
          <cell r="B1278" t="str">
            <v>REALTIME AGING 2 YEARS</v>
          </cell>
          <cell r="C1278" t="str">
            <v>EA</v>
          </cell>
        </row>
        <row r="1279">
          <cell r="A1279" t="str">
            <v>C-RTA303</v>
          </cell>
          <cell r="B1279" t="str">
            <v>REAL TIME AGING FOR 3 YRS</v>
          </cell>
          <cell r="C1279" t="str">
            <v>EA</v>
          </cell>
        </row>
        <row r="1280">
          <cell r="A1280" t="str">
            <v>C-RTA303XL</v>
          </cell>
          <cell r="B1280" t="str">
            <v>REAL TIME AGING 3YRS XL</v>
          </cell>
          <cell r="C1280" t="str">
            <v>EA</v>
          </cell>
        </row>
        <row r="1281">
          <cell r="A1281" t="str">
            <v>C-RTA404</v>
          </cell>
          <cell r="B1281" t="str">
            <v>REALTIME AGING 4 YEARS</v>
          </cell>
          <cell r="C1281" t="str">
            <v>EA</v>
          </cell>
        </row>
        <row r="1282">
          <cell r="A1282" t="str">
            <v>C-RTA505</v>
          </cell>
          <cell r="B1282" t="str">
            <v>REALTIME AGING 5 YEARS</v>
          </cell>
          <cell r="C1282" t="str">
            <v>EA</v>
          </cell>
        </row>
        <row r="1283">
          <cell r="A1283" t="str">
            <v>CS1954C-1</v>
          </cell>
          <cell r="B1283" t="str">
            <v>TROCAR#2 3.2mm OBTURATOR</v>
          </cell>
          <cell r="C1283" t="str">
            <v>EA</v>
          </cell>
          <cell r="D1283" t="str">
            <v>CS38T</v>
          </cell>
          <cell r="E1283">
            <v>13604</v>
          </cell>
        </row>
        <row r="1284">
          <cell r="A1284" t="str">
            <v>CS1954D-1</v>
          </cell>
          <cell r="B1284" t="str">
            <v>TROCAR#3 3.2mm BOBTURATOR</v>
          </cell>
          <cell r="C1284" t="str">
            <v>EA</v>
          </cell>
          <cell r="D1284" t="str">
            <v>CS38T</v>
          </cell>
          <cell r="E1284">
            <v>18156</v>
          </cell>
        </row>
        <row r="1285">
          <cell r="A1285" t="str">
            <v>CS1954E-1</v>
          </cell>
          <cell r="B1285" t="str">
            <v>TROCAR#1 3.2mm CANNULA</v>
          </cell>
          <cell r="C1285" t="str">
            <v>EA</v>
          </cell>
          <cell r="D1285" t="str">
            <v>CS38T</v>
          </cell>
          <cell r="E1285">
            <v>18427</v>
          </cell>
        </row>
        <row r="1286">
          <cell r="A1286" t="str">
            <v>CS2X3A</v>
          </cell>
          <cell r="B1286" t="str">
            <v>SILICONE BLADE CUSHION</v>
          </cell>
          <cell r="C1286" t="str">
            <v>EA</v>
          </cell>
        </row>
        <row r="1287">
          <cell r="A1287" t="str">
            <v>CS2X3B</v>
          </cell>
          <cell r="B1287" t="str">
            <v>3M ADH STRIP 1.5" X3.5"</v>
          </cell>
          <cell r="C1287" t="str">
            <v>EA</v>
          </cell>
        </row>
        <row r="1288">
          <cell r="A1288" t="str">
            <v>CS2X3C</v>
          </cell>
          <cell r="B1288" t="str">
            <v>ASSEMBLED FLEXGUARD</v>
          </cell>
          <cell r="C1288" t="str">
            <v>EA</v>
          </cell>
        </row>
        <row r="1289">
          <cell r="A1289" t="str">
            <v>CS2X3F</v>
          </cell>
          <cell r="B1289" t="str">
            <v>INSTRUCT/F/USE C/SUPPLIED</v>
          </cell>
          <cell r="C1289" t="str">
            <v>EA</v>
          </cell>
        </row>
        <row r="1290">
          <cell r="A1290" t="str">
            <v>CS8108A</v>
          </cell>
          <cell r="B1290" t="str">
            <v>TROCAR #2 3.2MM/S/S/S/OBT</v>
          </cell>
          <cell r="C1290" t="str">
            <v>EA</v>
          </cell>
          <cell r="D1290" t="str">
            <v>CS38T</v>
          </cell>
          <cell r="E1290">
            <v>89</v>
          </cell>
        </row>
        <row r="1291">
          <cell r="A1291" t="str">
            <v>CS8119A-1</v>
          </cell>
          <cell r="B1291" t="str">
            <v>4.5mmTROCAR#2 S OBTURATOR</v>
          </cell>
          <cell r="C1291" t="str">
            <v>EA</v>
          </cell>
          <cell r="D1291" t="str">
            <v>CS38T</v>
          </cell>
          <cell r="E1291">
            <v>7455</v>
          </cell>
        </row>
        <row r="1292">
          <cell r="A1292" t="str">
            <v>CS8119B-1</v>
          </cell>
          <cell r="B1292" t="str">
            <v>4.5mmTROCAR#3 B OBTURATOR</v>
          </cell>
          <cell r="C1292" t="str">
            <v>EA</v>
          </cell>
          <cell r="D1292" t="str">
            <v>CS38T</v>
          </cell>
          <cell r="E1292">
            <v>8839</v>
          </cell>
        </row>
        <row r="1293">
          <cell r="A1293" t="str">
            <v>CS8119C-1</v>
          </cell>
          <cell r="B1293" t="str">
            <v>4.5mm TROCAR#1 CANNULA</v>
          </cell>
          <cell r="C1293" t="str">
            <v>EA</v>
          </cell>
          <cell r="D1293" t="str">
            <v>CS38T</v>
          </cell>
          <cell r="E1293">
            <v>9093</v>
          </cell>
        </row>
        <row r="1294">
          <cell r="A1294" t="str">
            <v>CS8123A</v>
          </cell>
          <cell r="B1294" t="str">
            <v>TROCAR #2 4.5MM S/S/S/OBT</v>
          </cell>
          <cell r="C1294" t="str">
            <v>EA</v>
          </cell>
          <cell r="D1294" t="str">
            <v>CS38T</v>
          </cell>
          <cell r="E1294">
            <v>113</v>
          </cell>
        </row>
        <row r="1295">
          <cell r="A1295" t="str">
            <v>CS91710A</v>
          </cell>
          <cell r="B1295" t="str">
            <v>CURVED METZENBAUM TIP</v>
          </cell>
          <cell r="C1295" t="str">
            <v>EA</v>
          </cell>
        </row>
        <row r="1296">
          <cell r="A1296" t="str">
            <v>CS91710D</v>
          </cell>
          <cell r="B1296" t="str">
            <v>MEDIFLEX DISP BOX</v>
          </cell>
          <cell r="C1296" t="str">
            <v>EA</v>
          </cell>
        </row>
        <row r="1297">
          <cell r="A1297" t="str">
            <v>CS91715A</v>
          </cell>
          <cell r="B1297" t="str">
            <v>WIDE CURVED METZENBAUM</v>
          </cell>
          <cell r="C1297" t="str">
            <v>EA</v>
          </cell>
        </row>
        <row r="1298">
          <cell r="A1298" t="str">
            <v>CS91720A</v>
          </cell>
          <cell r="B1298" t="str">
            <v>STRAIGHT METZENBAUM TIP</v>
          </cell>
          <cell r="C1298" t="str">
            <v>EA</v>
          </cell>
        </row>
        <row r="1299">
          <cell r="A1299" t="str">
            <v>CS91730A</v>
          </cell>
          <cell r="B1299" t="str">
            <v>MINI CURVED METZENBAUM</v>
          </cell>
          <cell r="C1299" t="str">
            <v>EA</v>
          </cell>
        </row>
        <row r="1300">
          <cell r="A1300" t="str">
            <v>CS91740A</v>
          </cell>
          <cell r="B1300" t="str">
            <v>HOOK SCISSOR</v>
          </cell>
          <cell r="C1300" t="str">
            <v>EA</v>
          </cell>
        </row>
        <row r="1301">
          <cell r="A1301" t="str">
            <v>CS91750A</v>
          </cell>
          <cell r="B1301" t="str">
            <v>Maryland Dissector Tip</v>
          </cell>
          <cell r="C1301" t="str">
            <v>EA</v>
          </cell>
        </row>
        <row r="1302">
          <cell r="A1302" t="str">
            <v>CS9175A</v>
          </cell>
          <cell r="B1302" t="str">
            <v>SS 3.5mm Trocar #2</v>
          </cell>
          <cell r="C1302" t="str">
            <v>EA</v>
          </cell>
          <cell r="D1302" t="str">
            <v>CS38T</v>
          </cell>
          <cell r="E1302">
            <v>39</v>
          </cell>
        </row>
        <row r="1303">
          <cell r="A1303" t="str">
            <v>CS9175B</v>
          </cell>
          <cell r="B1303" t="str">
            <v>SS 3.5mm Trocar #3</v>
          </cell>
          <cell r="C1303" t="str">
            <v>EA</v>
          </cell>
          <cell r="D1303" t="str">
            <v>CS38T</v>
          </cell>
          <cell r="E1303">
            <v>81</v>
          </cell>
        </row>
        <row r="1304">
          <cell r="A1304" t="str">
            <v>CS9176B</v>
          </cell>
          <cell r="B1304" t="str">
            <v>SS 4.5mm Trocar # 3</v>
          </cell>
          <cell r="C1304" t="str">
            <v>EA</v>
          </cell>
          <cell r="D1304" t="str">
            <v>CS38T</v>
          </cell>
          <cell r="E1304">
            <v>1153</v>
          </cell>
        </row>
        <row r="1305">
          <cell r="A1305" t="str">
            <v>CS91770A</v>
          </cell>
          <cell r="B1305" t="str">
            <v>Medi-Clinch Grasper</v>
          </cell>
          <cell r="C1305" t="str">
            <v>EA</v>
          </cell>
        </row>
        <row r="1306">
          <cell r="A1306" t="str">
            <v>CS91999A</v>
          </cell>
          <cell r="B1306" t="str">
            <v>DERMATOME BLADE</v>
          </cell>
          <cell r="C1306" t="str">
            <v>EA</v>
          </cell>
        </row>
        <row r="1307">
          <cell r="A1307" t="str">
            <v>CS9238A</v>
          </cell>
          <cell r="B1307" t="str">
            <v>8" Small B/E/Set w/M&amp;F LL</v>
          </cell>
          <cell r="C1307" t="str">
            <v>EA</v>
          </cell>
          <cell r="D1307" t="str">
            <v>CS38T</v>
          </cell>
          <cell r="E1307">
            <v>34825</v>
          </cell>
        </row>
        <row r="1308">
          <cell r="A1308" t="str">
            <v>CS9238B</v>
          </cell>
          <cell r="B1308" t="str">
            <v>Refill Template</v>
          </cell>
          <cell r="C1308" t="str">
            <v>EA</v>
          </cell>
          <cell r="D1308" t="str">
            <v>CS38T</v>
          </cell>
          <cell r="E1308">
            <v>10</v>
          </cell>
        </row>
        <row r="1309">
          <cell r="A1309" t="str">
            <v>CS9238C</v>
          </cell>
          <cell r="B1309" t="str">
            <v>Intructions for Use</v>
          </cell>
          <cell r="C1309" t="str">
            <v>EA</v>
          </cell>
        </row>
        <row r="1310">
          <cell r="A1310" t="str">
            <v>CS9465A</v>
          </cell>
          <cell r="B1310" t="str">
            <v>Male Gun</v>
          </cell>
          <cell r="C1310" t="str">
            <v>EA</v>
          </cell>
        </row>
        <row r="1311">
          <cell r="A1311" t="str">
            <v>CS9465B</v>
          </cell>
          <cell r="B1311" t="str">
            <v>Male Funnerl W/Needle</v>
          </cell>
          <cell r="C1311" t="str">
            <v>EA</v>
          </cell>
        </row>
        <row r="1312">
          <cell r="A1312" t="str">
            <v>CS9465C</v>
          </cell>
          <cell r="B1312" t="str">
            <v>Scalpel</v>
          </cell>
          <cell r="C1312" t="str">
            <v>EA</v>
          </cell>
        </row>
        <row r="1313">
          <cell r="A1313" t="str">
            <v>CS9465I</v>
          </cell>
          <cell r="B1313" t="str">
            <v>Instructions For Use</v>
          </cell>
          <cell r="C1313" t="str">
            <v>EA</v>
          </cell>
          <cell r="D1313" t="str">
            <v>CS38T</v>
          </cell>
          <cell r="E1313">
            <v>6563</v>
          </cell>
        </row>
        <row r="1314">
          <cell r="A1314" t="str">
            <v>CS9626A</v>
          </cell>
          <cell r="B1314" t="str">
            <v>10CC L/L SYRINGE BD</v>
          </cell>
          <cell r="C1314" t="str">
            <v>EA</v>
          </cell>
        </row>
        <row r="1315">
          <cell r="A1315" t="str">
            <v>CS9631A</v>
          </cell>
          <cell r="B1315" t="str">
            <v>10CC LUER LOCK SYRINGE</v>
          </cell>
          <cell r="C1315" t="str">
            <v>EA</v>
          </cell>
          <cell r="D1315" t="str">
            <v>F13</v>
          </cell>
          <cell r="E1315">
            <v>74007</v>
          </cell>
        </row>
        <row r="1316">
          <cell r="A1316" t="str">
            <v>CS9704A</v>
          </cell>
          <cell r="B1316" t="str">
            <v>5CC Luer Lock Syringe</v>
          </cell>
          <cell r="C1316" t="str">
            <v>EA</v>
          </cell>
          <cell r="D1316" t="str">
            <v>CSF18</v>
          </cell>
          <cell r="E1316">
            <v>22874</v>
          </cell>
        </row>
        <row r="1317">
          <cell r="A1317" t="str">
            <v>CS9737</v>
          </cell>
          <cell r="B1317" t="str">
            <v>MED/THERAP/P/REFILL/TEMPL</v>
          </cell>
          <cell r="C1317" t="str">
            <v>EA</v>
          </cell>
        </row>
        <row r="1318">
          <cell r="A1318" t="str">
            <v>CS9764A</v>
          </cell>
          <cell r="B1318" t="str">
            <v>4.5mmID/5mmOD Male Needle</v>
          </cell>
          <cell r="C1318" t="str">
            <v>EA</v>
          </cell>
        </row>
        <row r="1319">
          <cell r="A1319" t="str">
            <v>C-SLC02</v>
          </cell>
          <cell r="B1319" t="str">
            <v>SUB-LETHAL CYCLE</v>
          </cell>
          <cell r="C1319" t="str">
            <v>EA</v>
          </cell>
        </row>
        <row r="1320">
          <cell r="A1320" t="str">
            <v>C-SLC02XL</v>
          </cell>
          <cell r="B1320" t="str">
            <v>SUB-LETHAL CYCLE XL</v>
          </cell>
          <cell r="C1320" t="str">
            <v>EA</v>
          </cell>
        </row>
        <row r="1321">
          <cell r="A1321" t="str">
            <v>C-TST06</v>
          </cell>
          <cell r="B1321" t="str">
            <v>TRANSPORTATION SIMULATION</v>
          </cell>
          <cell r="C1321" t="str">
            <v>EA</v>
          </cell>
        </row>
        <row r="1322">
          <cell r="A1322" t="str">
            <v>C-TST06XL</v>
          </cell>
          <cell r="B1322" t="str">
            <v>TRANSP.SIMULATION TST XL</v>
          </cell>
          <cell r="C1322" t="str">
            <v>EA</v>
          </cell>
        </row>
        <row r="1323">
          <cell r="A1323" t="str">
            <v>C-TST07</v>
          </cell>
          <cell r="B1323" t="str">
            <v>COMBINED TRANSPORT TEST</v>
          </cell>
          <cell r="C1323" t="str">
            <v>EA</v>
          </cell>
        </row>
        <row r="1324">
          <cell r="A1324" t="str">
            <v>C-TST19XL</v>
          </cell>
          <cell r="B1324" t="str">
            <v>CODE TRANSP SIM TESTING</v>
          </cell>
          <cell r="C1324" t="str">
            <v>EA</v>
          </cell>
        </row>
        <row r="1325">
          <cell r="A1325" t="str">
            <v>C-VP00</v>
          </cell>
          <cell r="B1325" t="str">
            <v>STER VALID AND FINAL RPT</v>
          </cell>
          <cell r="C1325" t="str">
            <v>EA</v>
          </cell>
        </row>
        <row r="1326">
          <cell r="A1326" t="str">
            <v>EMP21</v>
          </cell>
          <cell r="B1326" t="str">
            <v>ENVIRONMENTAL MONITORING</v>
          </cell>
          <cell r="C1326" t="str">
            <v>EA</v>
          </cell>
        </row>
        <row r="1327">
          <cell r="A1327" t="str">
            <v>EMPEX22</v>
          </cell>
          <cell r="B1327" t="str">
            <v>ENVIRONMENTAL MONITORING</v>
          </cell>
          <cell r="C1327" t="str">
            <v>EA</v>
          </cell>
        </row>
        <row r="1328">
          <cell r="A1328" t="str">
            <v>End of Report</v>
          </cell>
        </row>
        <row r="1329">
          <cell r="A1329" t="str">
            <v>Grand Total</v>
          </cell>
          <cell r="B1329" t="str">
            <v>s</v>
          </cell>
          <cell r="E1329">
            <v>25761244</v>
          </cell>
        </row>
        <row r="1330">
          <cell r="A1330" t="str">
            <v>L-CAN001</v>
          </cell>
          <cell r="B1330" t="str">
            <v>CANADIAN LICENSE FEE</v>
          </cell>
          <cell r="C1330" t="str">
            <v>EA</v>
          </cell>
        </row>
        <row r="1331">
          <cell r="A1331" t="str">
            <v>LF6154I</v>
          </cell>
          <cell r="B1331" t="str">
            <v>SET OF INSTRUCTION /FOLD</v>
          </cell>
          <cell r="C1331" t="str">
            <v>EA</v>
          </cell>
        </row>
        <row r="1332">
          <cell r="A1332" t="str">
            <v>LF9600IFU</v>
          </cell>
          <cell r="B1332" t="str">
            <v>INSTR STOPCOCK NOT ORDER</v>
          </cell>
          <cell r="C1332" t="str">
            <v>EA</v>
          </cell>
        </row>
        <row r="1333">
          <cell r="A1333" t="str">
            <v>LU100</v>
          </cell>
          <cell r="B1333" t="str">
            <v>CORNER SHIPPER LABEL</v>
          </cell>
          <cell r="C1333" t="str">
            <v>EA</v>
          </cell>
          <cell r="D1333" t="str">
            <v>CIR</v>
          </cell>
          <cell r="E1333">
            <v>-1246</v>
          </cell>
        </row>
        <row r="1334">
          <cell r="A1334" t="str">
            <v>MAT-100</v>
          </cell>
          <cell r="B1334" t="str">
            <v>DESIGN &amp; ENGINEER TRAY</v>
          </cell>
          <cell r="C1334" t="str">
            <v>EA</v>
          </cell>
        </row>
        <row r="1335">
          <cell r="A1335" t="str">
            <v>MAT-200</v>
          </cell>
          <cell r="B1335" t="str">
            <v>3D PRINT SAMPLE</v>
          </cell>
          <cell r="C1335" t="str">
            <v>EA</v>
          </cell>
        </row>
        <row r="1336">
          <cell r="A1336" t="str">
            <v>MAT-302</v>
          </cell>
          <cell r="B1336" t="str">
            <v>ALUM MOLD&amp;PLUG ASSIST 2UP</v>
          </cell>
          <cell r="C1336" t="str">
            <v>EA</v>
          </cell>
        </row>
        <row r="1337">
          <cell r="A1337" t="str">
            <v>MAT-402</v>
          </cell>
          <cell r="B1337" t="str">
            <v>SEAL HEAD&amp;HEAT ELEMENT2UP</v>
          </cell>
          <cell r="C1337" t="str">
            <v>EA</v>
          </cell>
        </row>
        <row r="1338">
          <cell r="A1338" t="str">
            <v>MAT-500</v>
          </cell>
          <cell r="B1338" t="str">
            <v>SEAL GASKET MOLD</v>
          </cell>
          <cell r="C1338" t="str">
            <v>EA</v>
          </cell>
        </row>
        <row r="1339">
          <cell r="A1339" t="str">
            <v>MAT-600</v>
          </cell>
          <cell r="B1339" t="str">
            <v>GASKET</v>
          </cell>
          <cell r="C1339" t="str">
            <v>EA</v>
          </cell>
        </row>
        <row r="1340">
          <cell r="A1340" t="str">
            <v>MAT-700</v>
          </cell>
          <cell r="B1340" t="str">
            <v>TOOL SETUP&amp;VALIDATION RUN</v>
          </cell>
          <cell r="C1340" t="str">
            <v>EA</v>
          </cell>
        </row>
        <row r="1341">
          <cell r="A1341" t="str">
            <v>MAT-8A00</v>
          </cell>
          <cell r="B1341" t="str">
            <v>THERMOFORM VALIDATION LOW</v>
          </cell>
          <cell r="C1341" t="str">
            <v>EA</v>
          </cell>
        </row>
        <row r="1342">
          <cell r="A1342" t="str">
            <v>MAT-8B00</v>
          </cell>
          <cell r="B1342" t="str">
            <v>THERMOFORM VALIDATION MED</v>
          </cell>
          <cell r="C1342" t="str">
            <v>EA</v>
          </cell>
        </row>
        <row r="1343">
          <cell r="A1343" t="str">
            <v>MAT-8C00</v>
          </cell>
          <cell r="B1343" t="str">
            <v>THERMOFORM VALID HIGH</v>
          </cell>
          <cell r="C1343" t="str">
            <v>EA</v>
          </cell>
        </row>
        <row r="1344">
          <cell r="A1344" t="str">
            <v>MAT-8D00</v>
          </cell>
          <cell r="B1344" t="str">
            <v>MACHINE HOURS VALID 8 HRS</v>
          </cell>
          <cell r="C1344" t="str">
            <v>EA</v>
          </cell>
        </row>
        <row r="1345">
          <cell r="A1345" t="str">
            <v>MAT-8E00</v>
          </cell>
          <cell r="B1345" t="str">
            <v>LABOR 20 HOURS @ $50/HR</v>
          </cell>
          <cell r="C1345" t="str">
            <v>EA</v>
          </cell>
        </row>
        <row r="1346">
          <cell r="A1346" t="str">
            <v>PYROGEN</v>
          </cell>
          <cell r="B1346" t="str">
            <v>PYROGEN TEST</v>
          </cell>
          <cell r="C1346" t="str">
            <v>EA</v>
          </cell>
        </row>
        <row r="1347">
          <cell r="A1347" t="str">
            <v>RECIBIO TOO</v>
          </cell>
          <cell r="B1347" t="str">
            <v>LING      RECIBIO PROTOTYPE TOOLING</v>
          </cell>
          <cell r="C1347" t="str">
            <v>EA</v>
          </cell>
        </row>
        <row r="1348">
          <cell r="A1348" t="str">
            <v>W1119</v>
          </cell>
          <cell r="B1348" t="str">
            <v>SUB ASSEM /RX</v>
          </cell>
          <cell r="C1348" t="str">
            <v>EA</v>
          </cell>
        </row>
        <row r="1349">
          <cell r="A1349" t="str">
            <v>W1130</v>
          </cell>
          <cell r="B1349" t="str">
            <v>SUB ASSEM</v>
          </cell>
          <cell r="C1349" t="str">
            <v>EA</v>
          </cell>
        </row>
        <row r="1350">
          <cell r="A1350" t="str">
            <v>W1131</v>
          </cell>
          <cell r="B1350" t="str">
            <v>SUB ASSEM</v>
          </cell>
          <cell r="C1350" t="str">
            <v>EA</v>
          </cell>
        </row>
        <row r="1351">
          <cell r="A1351" t="str">
            <v>W1136</v>
          </cell>
          <cell r="B1351" t="str">
            <v>SUB ASSEM</v>
          </cell>
          <cell r="C1351" t="str">
            <v>EA</v>
          </cell>
        </row>
        <row r="1352">
          <cell r="A1352" t="str">
            <v>W1140</v>
          </cell>
          <cell r="B1352" t="str">
            <v>SUB ASSEM</v>
          </cell>
          <cell r="C1352" t="str">
            <v>EA</v>
          </cell>
        </row>
        <row r="1353">
          <cell r="A1353" t="str">
            <v>W1178</v>
          </cell>
          <cell r="B1353" t="str">
            <v>SUB ASSEM</v>
          </cell>
          <cell r="C1353" t="str">
            <v>EA</v>
          </cell>
        </row>
        <row r="1354">
          <cell r="A1354" t="str">
            <v>W1206</v>
          </cell>
          <cell r="B1354" t="str">
            <v>SUB ASSEM</v>
          </cell>
          <cell r="C1354" t="str">
            <v>EA</v>
          </cell>
        </row>
        <row r="1355">
          <cell r="A1355" t="str">
            <v>W1218</v>
          </cell>
          <cell r="B1355" t="str">
            <v>SUB ASSEM</v>
          </cell>
          <cell r="C1355" t="str">
            <v>EA</v>
          </cell>
        </row>
        <row r="1356">
          <cell r="A1356" t="str">
            <v>W1233</v>
          </cell>
          <cell r="B1356" t="str">
            <v>SUB ASSEM</v>
          </cell>
          <cell r="C1356" t="str">
            <v>EA</v>
          </cell>
        </row>
        <row r="1357">
          <cell r="A1357" t="str">
            <v>W1271</v>
          </cell>
          <cell r="B1357" t="str">
            <v>SUB ASSEM</v>
          </cell>
          <cell r="C1357" t="str">
            <v>EA</v>
          </cell>
        </row>
        <row r="1358">
          <cell r="A1358" t="str">
            <v>W1287</v>
          </cell>
          <cell r="B1358" t="str">
            <v>SUB ASSEM</v>
          </cell>
          <cell r="C1358" t="str">
            <v>EA</v>
          </cell>
        </row>
        <row r="1359">
          <cell r="A1359" t="str">
            <v>W1291</v>
          </cell>
          <cell r="B1359" t="str">
            <v>SUB ASSEM</v>
          </cell>
          <cell r="C1359" t="str">
            <v>EA</v>
          </cell>
        </row>
        <row r="1360">
          <cell r="A1360" t="str">
            <v>W1300</v>
          </cell>
          <cell r="B1360" t="str">
            <v>SUB ASSEM</v>
          </cell>
          <cell r="C1360" t="str">
            <v>EA</v>
          </cell>
        </row>
        <row r="1361">
          <cell r="A1361" t="str">
            <v>W1321</v>
          </cell>
          <cell r="B1361" t="str">
            <v>SUB ASSEM</v>
          </cell>
          <cell r="C1361" t="str">
            <v>EA</v>
          </cell>
        </row>
        <row r="1362">
          <cell r="A1362" t="str">
            <v>W1323</v>
          </cell>
          <cell r="B1362" t="str">
            <v>SUB ASSEM</v>
          </cell>
          <cell r="C1362" t="str">
            <v>EA</v>
          </cell>
        </row>
        <row r="1363">
          <cell r="A1363" t="str">
            <v>W1353</v>
          </cell>
          <cell r="B1363" t="str">
            <v>SUB ASSEM</v>
          </cell>
          <cell r="C1363" t="str">
            <v>EA</v>
          </cell>
        </row>
        <row r="1364">
          <cell r="A1364" t="str">
            <v>W1397</v>
          </cell>
          <cell r="B1364" t="str">
            <v>SUB ASSEM</v>
          </cell>
          <cell r="C1364" t="str">
            <v>EA</v>
          </cell>
        </row>
        <row r="1365">
          <cell r="A1365" t="str">
            <v>W1408</v>
          </cell>
          <cell r="B1365" t="str">
            <v>SUB ASSEM</v>
          </cell>
          <cell r="C1365" t="str">
            <v>EA</v>
          </cell>
        </row>
        <row r="1366">
          <cell r="A1366" t="str">
            <v>W1423</v>
          </cell>
          <cell r="B1366" t="str">
            <v>SUB ASSEM</v>
          </cell>
          <cell r="C1366" t="str">
            <v>EA</v>
          </cell>
        </row>
        <row r="1367">
          <cell r="A1367" t="str">
            <v>W1440</v>
          </cell>
          <cell r="B1367" t="str">
            <v>SUB ASSEM</v>
          </cell>
          <cell r="C1367" t="str">
            <v>EA</v>
          </cell>
        </row>
        <row r="1368">
          <cell r="A1368" t="str">
            <v>W1479</v>
          </cell>
          <cell r="B1368" t="str">
            <v>SUB ASSEM</v>
          </cell>
          <cell r="C1368" t="str">
            <v>EA</v>
          </cell>
        </row>
        <row r="1369">
          <cell r="A1369" t="str">
            <v>W150</v>
          </cell>
          <cell r="B1369" t="str">
            <v>SUB ASSEM Ster 1/2"Tubing</v>
          </cell>
          <cell r="C1369" t="str">
            <v>EA</v>
          </cell>
        </row>
        <row r="1370">
          <cell r="A1370" t="str">
            <v>W1505</v>
          </cell>
          <cell r="B1370" t="str">
            <v>SUD ASSEM</v>
          </cell>
          <cell r="C1370" t="str">
            <v>EA</v>
          </cell>
        </row>
        <row r="1371">
          <cell r="A1371" t="str">
            <v>W151</v>
          </cell>
          <cell r="B1371" t="str">
            <v>SUB ASSEM Ster 1/2"Tubing</v>
          </cell>
          <cell r="C1371" t="str">
            <v>EA</v>
          </cell>
        </row>
        <row r="1372">
          <cell r="A1372" t="str">
            <v>W1510</v>
          </cell>
          <cell r="B1372" t="str">
            <v>SUB ASSEM</v>
          </cell>
          <cell r="C1372" t="str">
            <v>EA</v>
          </cell>
        </row>
        <row r="1373">
          <cell r="A1373" t="str">
            <v>W1518</v>
          </cell>
          <cell r="B1373" t="str">
            <v>SUB ASSEM</v>
          </cell>
          <cell r="C1373" t="str">
            <v>EA</v>
          </cell>
        </row>
        <row r="1374">
          <cell r="A1374" t="str">
            <v>W153</v>
          </cell>
          <cell r="B1374" t="str">
            <v>SUB ASSEM Ster 3/8"Tubing</v>
          </cell>
          <cell r="C1374" t="str">
            <v>EA</v>
          </cell>
        </row>
        <row r="1375">
          <cell r="A1375" t="str">
            <v>W1539</v>
          </cell>
          <cell r="B1375" t="str">
            <v>SUBASSEM Ster 8'X3/8" Tub</v>
          </cell>
          <cell r="C1375" t="str">
            <v>EA</v>
          </cell>
        </row>
        <row r="1376">
          <cell r="A1376" t="str">
            <v>W1540</v>
          </cell>
          <cell r="B1376" t="str">
            <v>SUB ASSEM Ster 10'X3/8"Tb</v>
          </cell>
          <cell r="C1376" t="str">
            <v>EA</v>
          </cell>
        </row>
        <row r="1377">
          <cell r="A1377" t="str">
            <v>W1549</v>
          </cell>
          <cell r="B1377" t="str">
            <v>SUB ASSEM Ster 10' Tubing</v>
          </cell>
          <cell r="C1377" t="str">
            <v>EA</v>
          </cell>
        </row>
        <row r="1378">
          <cell r="A1378" t="str">
            <v>W157</v>
          </cell>
          <cell r="B1378" t="str">
            <v>SUBASSMEB 3/16"X6' TUBING</v>
          </cell>
          <cell r="C1378" t="str">
            <v>EA</v>
          </cell>
        </row>
        <row r="1379">
          <cell r="A1379" t="str">
            <v>W1593</v>
          </cell>
          <cell r="B1379" t="str">
            <v>SUB ASSEM</v>
          </cell>
          <cell r="C1379" t="str">
            <v>EA</v>
          </cell>
        </row>
        <row r="1380">
          <cell r="A1380" t="str">
            <v>W1593R1</v>
          </cell>
          <cell r="B1380" t="str">
            <v>SUB ASSEMBLY</v>
          </cell>
          <cell r="C1380" t="str">
            <v>EA</v>
          </cell>
        </row>
        <row r="1381">
          <cell r="A1381" t="str">
            <v>W1594</v>
          </cell>
          <cell r="B1381" t="str">
            <v>SUB ASSEM 10X3/8" TUB</v>
          </cell>
          <cell r="C1381" t="str">
            <v>EA</v>
          </cell>
        </row>
        <row r="1382">
          <cell r="A1382" t="str">
            <v>W1595</v>
          </cell>
          <cell r="B1382" t="str">
            <v>SUB ASSEM</v>
          </cell>
          <cell r="C1382" t="str">
            <v>EA</v>
          </cell>
        </row>
        <row r="1383">
          <cell r="A1383" t="str">
            <v>W1597</v>
          </cell>
          <cell r="B1383" t="str">
            <v>SUB ASSEM</v>
          </cell>
          <cell r="C1383" t="str">
            <v>EA</v>
          </cell>
        </row>
        <row r="1384">
          <cell r="A1384" t="str">
            <v>W1604</v>
          </cell>
          <cell r="B1384" t="str">
            <v>SUB ASSEM</v>
          </cell>
          <cell r="C1384" t="str">
            <v>EA</v>
          </cell>
        </row>
        <row r="1385">
          <cell r="A1385" t="str">
            <v>W1628</v>
          </cell>
          <cell r="B1385" t="str">
            <v>SUB ASSEM</v>
          </cell>
          <cell r="C1385" t="str">
            <v>EA</v>
          </cell>
        </row>
        <row r="1386">
          <cell r="A1386" t="str">
            <v>W1639</v>
          </cell>
          <cell r="B1386" t="str">
            <v>SUB ASSEM</v>
          </cell>
          <cell r="C1386" t="str">
            <v>EA</v>
          </cell>
        </row>
        <row r="1387">
          <cell r="A1387" t="str">
            <v>W1657</v>
          </cell>
          <cell r="B1387" t="str">
            <v>SUB ASSEM</v>
          </cell>
          <cell r="C1387" t="str">
            <v>EA</v>
          </cell>
        </row>
        <row r="1388">
          <cell r="A1388" t="str">
            <v>W1665</v>
          </cell>
          <cell r="B1388" t="str">
            <v>SUB ASSEM</v>
          </cell>
          <cell r="C1388" t="str">
            <v>EA</v>
          </cell>
        </row>
        <row r="1389">
          <cell r="A1389" t="str">
            <v>W1679</v>
          </cell>
          <cell r="B1389" t="str">
            <v>SUB ASSEM</v>
          </cell>
          <cell r="C1389" t="str">
            <v>EA</v>
          </cell>
        </row>
        <row r="1390">
          <cell r="A1390" t="str">
            <v>W1695</v>
          </cell>
          <cell r="B1390" t="str">
            <v>SUB ASSEM</v>
          </cell>
          <cell r="C1390" t="str">
            <v>EA</v>
          </cell>
        </row>
        <row r="1391">
          <cell r="A1391" t="str">
            <v>W1707</v>
          </cell>
          <cell r="B1391" t="str">
            <v>SUB ASSEM</v>
          </cell>
          <cell r="C1391" t="str">
            <v>EA</v>
          </cell>
        </row>
        <row r="1392">
          <cell r="A1392" t="str">
            <v>W1720</v>
          </cell>
          <cell r="B1392" t="str">
            <v>SUB ASSEM</v>
          </cell>
          <cell r="C1392" t="str">
            <v>EA</v>
          </cell>
        </row>
        <row r="1393">
          <cell r="A1393" t="str">
            <v>W1721</v>
          </cell>
          <cell r="B1393" t="str">
            <v>SUB ASSEM</v>
          </cell>
          <cell r="C1393" t="str">
            <v>EA</v>
          </cell>
        </row>
        <row r="1394">
          <cell r="A1394" t="str">
            <v>W1733</v>
          </cell>
          <cell r="B1394" t="str">
            <v>SUB ASSEM</v>
          </cell>
          <cell r="C1394" t="str">
            <v>EA</v>
          </cell>
        </row>
        <row r="1395">
          <cell r="A1395" t="str">
            <v>W1734</v>
          </cell>
          <cell r="B1395" t="str">
            <v>SUB ASSEM</v>
          </cell>
          <cell r="C1395" t="str">
            <v>EA</v>
          </cell>
        </row>
        <row r="1396">
          <cell r="A1396" t="str">
            <v>W1752</v>
          </cell>
          <cell r="B1396" t="str">
            <v>SUB ASSEM</v>
          </cell>
          <cell r="C1396" t="str">
            <v>EA</v>
          </cell>
        </row>
        <row r="1397">
          <cell r="A1397" t="str">
            <v>W1753</v>
          </cell>
          <cell r="B1397" t="str">
            <v>SUB ASSEM</v>
          </cell>
          <cell r="C1397" t="str">
            <v>EA</v>
          </cell>
        </row>
        <row r="1398">
          <cell r="A1398" t="str">
            <v>W1755</v>
          </cell>
          <cell r="B1398" t="str">
            <v>SUB ASSEM</v>
          </cell>
          <cell r="C1398" t="str">
            <v>EA</v>
          </cell>
        </row>
        <row r="1399">
          <cell r="A1399" t="str">
            <v>W1767</v>
          </cell>
          <cell r="B1399" t="str">
            <v>SUB ASSEM</v>
          </cell>
          <cell r="C1399" t="str">
            <v>EA</v>
          </cell>
        </row>
        <row r="1400">
          <cell r="A1400" t="str">
            <v>W1768</v>
          </cell>
          <cell r="B1400" t="str">
            <v>SUBASSEM</v>
          </cell>
          <cell r="C1400" t="str">
            <v>EA</v>
          </cell>
        </row>
        <row r="1401">
          <cell r="A1401" t="str">
            <v>W1782</v>
          </cell>
          <cell r="B1401" t="str">
            <v>SUB ASSEM</v>
          </cell>
          <cell r="C1401" t="str">
            <v>EA</v>
          </cell>
        </row>
        <row r="1402">
          <cell r="A1402" t="str">
            <v>W1785</v>
          </cell>
          <cell r="B1402" t="str">
            <v>SUB ASSEM</v>
          </cell>
          <cell r="C1402" t="str">
            <v>EA</v>
          </cell>
        </row>
        <row r="1403">
          <cell r="A1403" t="str">
            <v>W1786</v>
          </cell>
          <cell r="B1403" t="str">
            <v>SUB ASSEM</v>
          </cell>
          <cell r="C1403" t="str">
            <v>EA</v>
          </cell>
        </row>
        <row r="1404">
          <cell r="A1404" t="str">
            <v>W1789</v>
          </cell>
          <cell r="B1404" t="str">
            <v>SUB ASSEM</v>
          </cell>
          <cell r="C1404" t="str">
            <v>EA</v>
          </cell>
        </row>
        <row r="1405">
          <cell r="A1405" t="str">
            <v>W1812</v>
          </cell>
          <cell r="B1405" t="str">
            <v>SUB ASSEM</v>
          </cell>
          <cell r="C1405" t="str">
            <v>EA</v>
          </cell>
        </row>
        <row r="1406">
          <cell r="A1406" t="str">
            <v>W1814</v>
          </cell>
          <cell r="B1406" t="str">
            <v>SUB ASSEM</v>
          </cell>
          <cell r="C1406" t="str">
            <v>EA</v>
          </cell>
        </row>
        <row r="1407">
          <cell r="A1407" t="str">
            <v>W1817</v>
          </cell>
          <cell r="B1407" t="str">
            <v>SUB ASSEM</v>
          </cell>
          <cell r="C1407" t="str">
            <v>EA</v>
          </cell>
        </row>
        <row r="1408">
          <cell r="A1408" t="str">
            <v>W1820</v>
          </cell>
          <cell r="B1408" t="str">
            <v>SUB ASSEM</v>
          </cell>
          <cell r="C1408" t="str">
            <v>EA</v>
          </cell>
        </row>
        <row r="1409">
          <cell r="A1409" t="str">
            <v>W1821</v>
          </cell>
          <cell r="B1409" t="str">
            <v>SUB ASSEM</v>
          </cell>
          <cell r="C1409" t="str">
            <v>EA</v>
          </cell>
        </row>
        <row r="1410">
          <cell r="A1410" t="str">
            <v>W1840</v>
          </cell>
          <cell r="B1410" t="str">
            <v>SUB ASSEM</v>
          </cell>
          <cell r="C1410" t="str">
            <v>EA</v>
          </cell>
        </row>
        <row r="1411">
          <cell r="A1411" t="str">
            <v>W1841</v>
          </cell>
          <cell r="B1411" t="str">
            <v>SUB ASSEM</v>
          </cell>
          <cell r="C1411" t="str">
            <v>EA</v>
          </cell>
        </row>
        <row r="1412">
          <cell r="A1412" t="str">
            <v>W1843</v>
          </cell>
          <cell r="B1412" t="str">
            <v>SUB ASSEM</v>
          </cell>
          <cell r="C1412" t="str">
            <v>EA</v>
          </cell>
        </row>
        <row r="1413">
          <cell r="A1413" t="str">
            <v>W1850</v>
          </cell>
          <cell r="B1413" t="str">
            <v>SUB ASSEM</v>
          </cell>
          <cell r="C1413" t="str">
            <v>EA</v>
          </cell>
        </row>
        <row r="1414">
          <cell r="A1414" t="str">
            <v>W1855</v>
          </cell>
          <cell r="B1414" t="str">
            <v>SUB ASSEM</v>
          </cell>
          <cell r="C1414" t="str">
            <v>EA</v>
          </cell>
        </row>
        <row r="1415">
          <cell r="A1415" t="str">
            <v>W1859</v>
          </cell>
          <cell r="B1415" t="str">
            <v>SUB ASSEM</v>
          </cell>
          <cell r="C1415" t="str">
            <v>EA</v>
          </cell>
        </row>
        <row r="1416">
          <cell r="A1416" t="str">
            <v>W1862</v>
          </cell>
          <cell r="B1416" t="str">
            <v>SUB ASSEM</v>
          </cell>
          <cell r="C1416" t="str">
            <v>EA</v>
          </cell>
        </row>
        <row r="1417">
          <cell r="A1417" t="str">
            <v>W1867</v>
          </cell>
          <cell r="B1417" t="str">
            <v>SUB ASSEM</v>
          </cell>
          <cell r="C1417" t="str">
            <v>EA</v>
          </cell>
        </row>
        <row r="1418">
          <cell r="A1418" t="str">
            <v>W1871</v>
          </cell>
          <cell r="B1418" t="str">
            <v>SUB ASSEM</v>
          </cell>
          <cell r="C1418" t="str">
            <v>EA</v>
          </cell>
        </row>
        <row r="1419">
          <cell r="A1419" t="str">
            <v>W1871R1</v>
          </cell>
          <cell r="B1419" t="str">
            <v>SUB ASSEM</v>
          </cell>
          <cell r="C1419" t="str">
            <v>EA</v>
          </cell>
        </row>
        <row r="1420">
          <cell r="A1420" t="str">
            <v>W1873</v>
          </cell>
          <cell r="B1420" t="str">
            <v>SUB ASSEM</v>
          </cell>
          <cell r="C1420" t="str">
            <v>EA</v>
          </cell>
        </row>
        <row r="1421">
          <cell r="A1421" t="str">
            <v>W1873R3</v>
          </cell>
          <cell r="B1421" t="str">
            <v>SUB ASSEM</v>
          </cell>
          <cell r="C1421" t="str">
            <v>EA</v>
          </cell>
        </row>
        <row r="1422">
          <cell r="A1422" t="str">
            <v>W1884</v>
          </cell>
          <cell r="B1422" t="str">
            <v>SUB ASSEM</v>
          </cell>
          <cell r="C1422" t="str">
            <v>CS</v>
          </cell>
        </row>
        <row r="1423">
          <cell r="A1423" t="str">
            <v>W1886</v>
          </cell>
          <cell r="B1423" t="str">
            <v>SUB ASSEM</v>
          </cell>
          <cell r="C1423" t="str">
            <v>EA</v>
          </cell>
        </row>
        <row r="1424">
          <cell r="A1424" t="str">
            <v>W1887</v>
          </cell>
          <cell r="B1424" t="str">
            <v>SUB ASSEM</v>
          </cell>
          <cell r="C1424" t="str">
            <v>EA</v>
          </cell>
        </row>
        <row r="1425">
          <cell r="A1425" t="str">
            <v>W1888</v>
          </cell>
          <cell r="B1425" t="str">
            <v>SUB ASSEM</v>
          </cell>
          <cell r="C1425" t="str">
            <v>EA</v>
          </cell>
        </row>
        <row r="1426">
          <cell r="A1426" t="str">
            <v>W1914</v>
          </cell>
          <cell r="B1426" t="str">
            <v>SUB ASSEM</v>
          </cell>
          <cell r="C1426" t="str">
            <v>EA</v>
          </cell>
        </row>
        <row r="1427">
          <cell r="A1427" t="str">
            <v>W1925</v>
          </cell>
          <cell r="B1427" t="str">
            <v>SUB ASSEM</v>
          </cell>
          <cell r="C1427" t="str">
            <v>EA</v>
          </cell>
        </row>
        <row r="1428">
          <cell r="A1428" t="str">
            <v>W1932</v>
          </cell>
          <cell r="B1428" t="str">
            <v>SUB ASSEM</v>
          </cell>
          <cell r="C1428" t="str">
            <v>EA</v>
          </cell>
        </row>
        <row r="1429">
          <cell r="A1429" t="str">
            <v>W1933</v>
          </cell>
          <cell r="B1429" t="str">
            <v>SUB ASSEM</v>
          </cell>
          <cell r="C1429" t="str">
            <v>EA</v>
          </cell>
        </row>
        <row r="1430">
          <cell r="A1430" t="str">
            <v>W1956</v>
          </cell>
          <cell r="B1430" t="str">
            <v>SUB ASSEM</v>
          </cell>
          <cell r="C1430" t="str">
            <v>EA</v>
          </cell>
        </row>
        <row r="1431">
          <cell r="A1431" t="str">
            <v>W1960</v>
          </cell>
          <cell r="B1431" t="str">
            <v>SUB ASSEM</v>
          </cell>
          <cell r="C1431" t="str">
            <v>EA</v>
          </cell>
        </row>
        <row r="1432">
          <cell r="A1432" t="str">
            <v>W1968</v>
          </cell>
          <cell r="B1432" t="str">
            <v>SUB ASSEM</v>
          </cell>
          <cell r="C1432" t="str">
            <v>EA</v>
          </cell>
        </row>
        <row r="1433">
          <cell r="A1433" t="str">
            <v>W1976R1</v>
          </cell>
          <cell r="B1433" t="str">
            <v>SUB ASSEM</v>
          </cell>
          <cell r="C1433" t="str">
            <v>EA</v>
          </cell>
        </row>
        <row r="1434">
          <cell r="A1434" t="str">
            <v>W1977</v>
          </cell>
          <cell r="B1434" t="str">
            <v>SUB ASSEM</v>
          </cell>
          <cell r="C1434" t="str">
            <v>EA</v>
          </cell>
        </row>
        <row r="1435">
          <cell r="A1435" t="str">
            <v>W19901</v>
          </cell>
          <cell r="B1435" t="str">
            <v>SUB ASSEM</v>
          </cell>
          <cell r="C1435" t="str">
            <v>EA</v>
          </cell>
        </row>
        <row r="1436">
          <cell r="A1436" t="str">
            <v>W1992</v>
          </cell>
          <cell r="B1436" t="str">
            <v>SUB ASSEM</v>
          </cell>
          <cell r="C1436" t="str">
            <v>EA</v>
          </cell>
        </row>
        <row r="1437">
          <cell r="A1437" t="str">
            <v>W1993R2</v>
          </cell>
          <cell r="B1437" t="str">
            <v>SUB ASSEM</v>
          </cell>
          <cell r="C1437" t="str">
            <v>EA</v>
          </cell>
        </row>
        <row r="1438">
          <cell r="A1438" t="str">
            <v>W1994</v>
          </cell>
          <cell r="B1438" t="str">
            <v>SUB ASSEM</v>
          </cell>
          <cell r="C1438" t="str">
            <v>EA</v>
          </cell>
        </row>
        <row r="1439">
          <cell r="A1439" t="str">
            <v>W2000</v>
          </cell>
          <cell r="B1439" t="str">
            <v>SUB ASSEM</v>
          </cell>
          <cell r="C1439" t="str">
            <v>EA</v>
          </cell>
        </row>
        <row r="1440">
          <cell r="A1440" t="str">
            <v>W2005</v>
          </cell>
          <cell r="B1440" t="str">
            <v>SUB ASSEM</v>
          </cell>
          <cell r="C1440" t="str">
            <v>EA</v>
          </cell>
        </row>
        <row r="1441">
          <cell r="A1441" t="str">
            <v>W2007</v>
          </cell>
          <cell r="B1441" t="str">
            <v>SUB ASSEM</v>
          </cell>
          <cell r="C1441" t="str">
            <v>EA</v>
          </cell>
        </row>
        <row r="1442">
          <cell r="A1442" t="str">
            <v>W2009</v>
          </cell>
          <cell r="B1442" t="str">
            <v>SUB ASSEM</v>
          </cell>
          <cell r="C1442" t="str">
            <v>EA</v>
          </cell>
        </row>
        <row r="1443">
          <cell r="A1443" t="str">
            <v>W2029</v>
          </cell>
          <cell r="B1443" t="str">
            <v>SUB ASSEM</v>
          </cell>
          <cell r="C1443" t="str">
            <v>EA</v>
          </cell>
        </row>
        <row r="1444">
          <cell r="A1444" t="str">
            <v>W2091</v>
          </cell>
          <cell r="B1444" t="str">
            <v>SUB ASSEM</v>
          </cell>
          <cell r="C1444" t="str">
            <v>EA</v>
          </cell>
        </row>
        <row r="1445">
          <cell r="A1445" t="str">
            <v>W2094</v>
          </cell>
          <cell r="B1445" t="str">
            <v>SUB ASSEM</v>
          </cell>
          <cell r="C1445" t="str">
            <v>EA</v>
          </cell>
        </row>
        <row r="1446">
          <cell r="A1446" t="str">
            <v>W2114</v>
          </cell>
          <cell r="B1446" t="str">
            <v>SUB ASSEM</v>
          </cell>
          <cell r="C1446" t="str">
            <v>EA</v>
          </cell>
        </row>
        <row r="1447">
          <cell r="A1447" t="str">
            <v>W2118</v>
          </cell>
          <cell r="B1447" t="str">
            <v>SUB ASSEM</v>
          </cell>
          <cell r="C1447" t="str">
            <v>EA</v>
          </cell>
        </row>
        <row r="1448">
          <cell r="A1448" t="str">
            <v>W2121</v>
          </cell>
          <cell r="B1448" t="str">
            <v>SUB ASSEM</v>
          </cell>
          <cell r="C1448" t="str">
            <v>EA</v>
          </cell>
        </row>
        <row r="1449">
          <cell r="A1449" t="str">
            <v>W2131R3</v>
          </cell>
          <cell r="B1449" t="str">
            <v>SUB ASSEMBLY</v>
          </cell>
          <cell r="C1449" t="str">
            <v>EA</v>
          </cell>
        </row>
        <row r="1450">
          <cell r="A1450" t="str">
            <v>W2135</v>
          </cell>
          <cell r="B1450" t="str">
            <v>SUB ASSEM</v>
          </cell>
          <cell r="C1450" t="str">
            <v>EA</v>
          </cell>
        </row>
        <row r="1451">
          <cell r="A1451" t="str">
            <v>W2135R1</v>
          </cell>
          <cell r="B1451" t="str">
            <v>SUB ASSEM</v>
          </cell>
          <cell r="C1451" t="str">
            <v>EA</v>
          </cell>
        </row>
        <row r="1452">
          <cell r="A1452" t="str">
            <v>W2138</v>
          </cell>
          <cell r="B1452" t="str">
            <v>SUB ASSEM</v>
          </cell>
          <cell r="C1452" t="str">
            <v>EA</v>
          </cell>
        </row>
        <row r="1453">
          <cell r="A1453" t="str">
            <v>W2144</v>
          </cell>
          <cell r="B1453" t="str">
            <v>SUB ASSEM</v>
          </cell>
          <cell r="C1453" t="str">
            <v>EA</v>
          </cell>
        </row>
        <row r="1454">
          <cell r="A1454" t="str">
            <v>W2145</v>
          </cell>
          <cell r="B1454" t="str">
            <v>SUB ASSEM</v>
          </cell>
          <cell r="C1454" t="str">
            <v>EA</v>
          </cell>
        </row>
        <row r="1455">
          <cell r="A1455" t="str">
            <v>W2155</v>
          </cell>
          <cell r="B1455" t="str">
            <v>SUB ASSEM</v>
          </cell>
          <cell r="C1455" t="str">
            <v>EA</v>
          </cell>
        </row>
        <row r="1456">
          <cell r="A1456" t="str">
            <v>W2157</v>
          </cell>
          <cell r="B1456" t="str">
            <v>SUB ASSEM</v>
          </cell>
          <cell r="C1456" t="str">
            <v>EA</v>
          </cell>
        </row>
        <row r="1457">
          <cell r="A1457" t="str">
            <v>W2161</v>
          </cell>
          <cell r="B1457" t="str">
            <v>SUB ASSEM</v>
          </cell>
          <cell r="C1457" t="str">
            <v>EA</v>
          </cell>
        </row>
        <row r="1458">
          <cell r="A1458" t="str">
            <v>W2164</v>
          </cell>
          <cell r="B1458" t="str">
            <v>SUB ASSEM</v>
          </cell>
          <cell r="C1458" t="str">
            <v>EA</v>
          </cell>
        </row>
        <row r="1459">
          <cell r="A1459" t="str">
            <v>W2170</v>
          </cell>
          <cell r="B1459" t="str">
            <v>SUB ASSEM</v>
          </cell>
          <cell r="C1459" t="str">
            <v>EA</v>
          </cell>
        </row>
        <row r="1460">
          <cell r="A1460" t="str">
            <v>W2181</v>
          </cell>
          <cell r="B1460" t="str">
            <v>SUB ASSEM</v>
          </cell>
          <cell r="C1460" t="str">
            <v>EA</v>
          </cell>
        </row>
        <row r="1461">
          <cell r="A1461" t="str">
            <v>W2205</v>
          </cell>
          <cell r="B1461" t="str">
            <v>SUB ASSEM</v>
          </cell>
          <cell r="C1461" t="str">
            <v>EA</v>
          </cell>
        </row>
        <row r="1462">
          <cell r="A1462" t="str">
            <v>W2205R1</v>
          </cell>
          <cell r="B1462" t="str">
            <v>SUB ASSEM</v>
          </cell>
          <cell r="C1462" t="str">
            <v>EA</v>
          </cell>
        </row>
        <row r="1463">
          <cell r="A1463" t="str">
            <v>W2210</v>
          </cell>
          <cell r="B1463" t="str">
            <v>SUB ASSEM</v>
          </cell>
          <cell r="C1463" t="str">
            <v>EA</v>
          </cell>
        </row>
        <row r="1464">
          <cell r="A1464" t="str">
            <v>W2235</v>
          </cell>
          <cell r="B1464" t="str">
            <v>SUB ASSEM</v>
          </cell>
          <cell r="C1464" t="str">
            <v>EA</v>
          </cell>
        </row>
        <row r="1465">
          <cell r="A1465" t="str">
            <v>W2236</v>
          </cell>
          <cell r="B1465" t="str">
            <v>SUB ASSEM</v>
          </cell>
          <cell r="C1465" t="str">
            <v>EA</v>
          </cell>
        </row>
        <row r="1466">
          <cell r="A1466" t="str">
            <v>W2249</v>
          </cell>
          <cell r="B1466" t="str">
            <v>SUB ASSEM</v>
          </cell>
          <cell r="C1466" t="str">
            <v>EA</v>
          </cell>
        </row>
        <row r="1467">
          <cell r="A1467" t="str">
            <v>W2282</v>
          </cell>
          <cell r="B1467" t="str">
            <v>SUB ASSEM</v>
          </cell>
          <cell r="C1467" t="str">
            <v>EA</v>
          </cell>
        </row>
        <row r="1468">
          <cell r="A1468" t="str">
            <v>W2284</v>
          </cell>
          <cell r="B1468" t="str">
            <v>SUB ASSEM</v>
          </cell>
          <cell r="C1468" t="str">
            <v>EA</v>
          </cell>
        </row>
        <row r="1469">
          <cell r="A1469" t="str">
            <v>W2303</v>
          </cell>
          <cell r="B1469" t="str">
            <v>SUB ASSEM</v>
          </cell>
          <cell r="C1469" t="str">
            <v>EA</v>
          </cell>
        </row>
        <row r="1470">
          <cell r="A1470" t="str">
            <v>W2307</v>
          </cell>
          <cell r="B1470" t="str">
            <v>SUB ASSEM</v>
          </cell>
          <cell r="C1470" t="str">
            <v>EA</v>
          </cell>
        </row>
        <row r="1471">
          <cell r="A1471" t="str">
            <v>W2307R1</v>
          </cell>
          <cell r="B1471" t="str">
            <v>SUB ASSEM</v>
          </cell>
          <cell r="C1471" t="str">
            <v>EA</v>
          </cell>
        </row>
        <row r="1472">
          <cell r="A1472" t="str">
            <v>W2307R2</v>
          </cell>
          <cell r="B1472" t="str">
            <v>SUB ASSEM</v>
          </cell>
          <cell r="C1472" t="str">
            <v>EA</v>
          </cell>
        </row>
        <row r="1473">
          <cell r="A1473" t="str">
            <v>W2314</v>
          </cell>
          <cell r="B1473" t="str">
            <v>SUB ASSEM</v>
          </cell>
          <cell r="C1473" t="str">
            <v>EA</v>
          </cell>
        </row>
        <row r="1474">
          <cell r="A1474" t="str">
            <v>W2315</v>
          </cell>
          <cell r="B1474" t="str">
            <v>SUB ASSEM</v>
          </cell>
          <cell r="C1474" t="str">
            <v>EA</v>
          </cell>
        </row>
        <row r="1475">
          <cell r="A1475" t="str">
            <v>W2319</v>
          </cell>
          <cell r="B1475" t="str">
            <v>SUB ASSEM</v>
          </cell>
          <cell r="C1475" t="str">
            <v>EA</v>
          </cell>
        </row>
        <row r="1476">
          <cell r="A1476" t="str">
            <v>W2352</v>
          </cell>
          <cell r="B1476" t="str">
            <v>SUB ASSEM</v>
          </cell>
          <cell r="C1476" t="str">
            <v>EA</v>
          </cell>
        </row>
        <row r="1477">
          <cell r="A1477" t="str">
            <v>W2354</v>
          </cell>
          <cell r="B1477" t="str">
            <v>SUB ASSEM</v>
          </cell>
          <cell r="C1477" t="str">
            <v>EA</v>
          </cell>
        </row>
        <row r="1478">
          <cell r="A1478" t="str">
            <v>W2370</v>
          </cell>
          <cell r="B1478" t="str">
            <v>SUB ASSEM</v>
          </cell>
          <cell r="C1478" t="str">
            <v>EA</v>
          </cell>
        </row>
        <row r="1479">
          <cell r="A1479" t="str">
            <v>W2372</v>
          </cell>
          <cell r="B1479" t="str">
            <v>SUB ASSEM</v>
          </cell>
          <cell r="C1479" t="str">
            <v>EA</v>
          </cell>
        </row>
        <row r="1480">
          <cell r="A1480" t="str">
            <v>W2373</v>
          </cell>
          <cell r="B1480" t="str">
            <v>SUB ASSEM</v>
          </cell>
          <cell r="C1480" t="str">
            <v>EA</v>
          </cell>
        </row>
        <row r="1481">
          <cell r="A1481" t="str">
            <v>W2403</v>
          </cell>
          <cell r="B1481" t="str">
            <v>SUB ASSEM</v>
          </cell>
          <cell r="C1481" t="str">
            <v>EA</v>
          </cell>
        </row>
        <row r="1482">
          <cell r="A1482" t="str">
            <v>W2417</v>
          </cell>
          <cell r="B1482" t="str">
            <v>SUB ASSEM</v>
          </cell>
          <cell r="C1482" t="str">
            <v>EA</v>
          </cell>
        </row>
        <row r="1483">
          <cell r="A1483" t="str">
            <v>W2487</v>
          </cell>
          <cell r="B1483" t="str">
            <v>SUB ASSEM</v>
          </cell>
          <cell r="C1483" t="str">
            <v>EA</v>
          </cell>
        </row>
        <row r="1484">
          <cell r="A1484" t="str">
            <v>W2504</v>
          </cell>
          <cell r="B1484" t="str">
            <v>SUB ASSEM</v>
          </cell>
          <cell r="C1484" t="str">
            <v>EA</v>
          </cell>
        </row>
        <row r="1485">
          <cell r="A1485" t="str">
            <v>W2504R1</v>
          </cell>
          <cell r="B1485" t="str">
            <v>SUB ASSEM</v>
          </cell>
          <cell r="C1485" t="str">
            <v>EA</v>
          </cell>
        </row>
        <row r="1486">
          <cell r="A1486" t="str">
            <v>W2518</v>
          </cell>
          <cell r="B1486" t="str">
            <v>SUB ASSEM</v>
          </cell>
          <cell r="C1486" t="str">
            <v>EA</v>
          </cell>
        </row>
        <row r="1487">
          <cell r="A1487" t="str">
            <v>W2519</v>
          </cell>
          <cell r="B1487" t="str">
            <v>SUB ASSEM</v>
          </cell>
          <cell r="C1487" t="str">
            <v>EA</v>
          </cell>
        </row>
        <row r="1488">
          <cell r="A1488" t="str">
            <v>W2520</v>
          </cell>
          <cell r="B1488" t="str">
            <v>SUB ASSEM</v>
          </cell>
          <cell r="C1488" t="str">
            <v>EA</v>
          </cell>
        </row>
        <row r="1489">
          <cell r="A1489" t="str">
            <v>W2521</v>
          </cell>
          <cell r="B1489" t="str">
            <v>SUB ASSEM</v>
          </cell>
          <cell r="C1489" t="str">
            <v>EA</v>
          </cell>
        </row>
        <row r="1490">
          <cell r="A1490" t="str">
            <v>W2524</v>
          </cell>
          <cell r="B1490" t="str">
            <v>SUB ASSEM</v>
          </cell>
          <cell r="C1490" t="str">
            <v>EA</v>
          </cell>
        </row>
        <row r="1491">
          <cell r="A1491" t="str">
            <v>W2524R1</v>
          </cell>
          <cell r="B1491" t="str">
            <v>SUB ASSEM</v>
          </cell>
          <cell r="C1491" t="str">
            <v>EA</v>
          </cell>
        </row>
        <row r="1492">
          <cell r="A1492" t="str">
            <v>W2579</v>
          </cell>
          <cell r="B1492" t="str">
            <v>SUB ASSEM</v>
          </cell>
          <cell r="C1492" t="str">
            <v>EA</v>
          </cell>
        </row>
        <row r="1493">
          <cell r="A1493" t="str">
            <v>W2609</v>
          </cell>
          <cell r="B1493" t="str">
            <v>SUB ASSEM</v>
          </cell>
          <cell r="C1493" t="str">
            <v>EA</v>
          </cell>
        </row>
        <row r="1494">
          <cell r="A1494" t="str">
            <v>W2632</v>
          </cell>
          <cell r="B1494" t="str">
            <v>SUB ASSEM</v>
          </cell>
          <cell r="C1494" t="str">
            <v>EA</v>
          </cell>
        </row>
        <row r="1495">
          <cell r="A1495" t="str">
            <v>W2658</v>
          </cell>
          <cell r="B1495" t="str">
            <v>SUB ASSEM</v>
          </cell>
          <cell r="C1495" t="str">
            <v>EA</v>
          </cell>
        </row>
        <row r="1496">
          <cell r="A1496" t="str">
            <v>W2660</v>
          </cell>
          <cell r="B1496" t="str">
            <v>SUB ASSEM</v>
          </cell>
          <cell r="C1496" t="str">
            <v>EA</v>
          </cell>
        </row>
        <row r="1497">
          <cell r="A1497" t="str">
            <v>W2675</v>
          </cell>
          <cell r="B1497" t="str">
            <v>SUB ASSEM</v>
          </cell>
          <cell r="C1497" t="str">
            <v>EA</v>
          </cell>
        </row>
        <row r="1498">
          <cell r="A1498" t="str">
            <v>W2677</v>
          </cell>
          <cell r="B1498" t="str">
            <v>SUB ASSEM</v>
          </cell>
          <cell r="C1498" t="str">
            <v>EA</v>
          </cell>
        </row>
        <row r="1499">
          <cell r="A1499" t="str">
            <v>W2695R1</v>
          </cell>
          <cell r="B1499" t="str">
            <v>SUB ASSEM</v>
          </cell>
          <cell r="C1499" t="str">
            <v>EA</v>
          </cell>
        </row>
        <row r="1500">
          <cell r="A1500" t="str">
            <v>W2705</v>
          </cell>
          <cell r="B1500" t="str">
            <v>SUB ASSEM</v>
          </cell>
          <cell r="C1500" t="str">
            <v>EA</v>
          </cell>
        </row>
        <row r="1501">
          <cell r="A1501" t="str">
            <v>W2720</v>
          </cell>
          <cell r="B1501" t="str">
            <v>SUB ASSEM</v>
          </cell>
          <cell r="C1501" t="str">
            <v>EA</v>
          </cell>
        </row>
        <row r="1502">
          <cell r="A1502" t="str">
            <v>W2720R1</v>
          </cell>
          <cell r="B1502" t="str">
            <v>SUB ASSEM</v>
          </cell>
          <cell r="C1502" t="str">
            <v>EA</v>
          </cell>
        </row>
        <row r="1503">
          <cell r="A1503" t="str">
            <v>W2720R2</v>
          </cell>
          <cell r="B1503" t="str">
            <v>SUB ASSEM</v>
          </cell>
          <cell r="C1503" t="str">
            <v>EA</v>
          </cell>
        </row>
        <row r="1504">
          <cell r="A1504" t="str">
            <v>W2730</v>
          </cell>
          <cell r="B1504" t="str">
            <v>SUB ASSEM</v>
          </cell>
          <cell r="C1504" t="str">
            <v>EA</v>
          </cell>
        </row>
        <row r="1505">
          <cell r="A1505" t="str">
            <v>W2731</v>
          </cell>
          <cell r="B1505" t="str">
            <v>SUB ASSEM</v>
          </cell>
          <cell r="C1505" t="str">
            <v>EA</v>
          </cell>
        </row>
        <row r="1506">
          <cell r="A1506" t="str">
            <v>W2739</v>
          </cell>
          <cell r="B1506" t="str">
            <v>SUB ASSEM</v>
          </cell>
          <cell r="C1506" t="str">
            <v>EA</v>
          </cell>
        </row>
        <row r="1507">
          <cell r="A1507" t="str">
            <v>W2814</v>
          </cell>
          <cell r="B1507" t="str">
            <v>SUB ASSEM</v>
          </cell>
          <cell r="C1507" t="str">
            <v>EA</v>
          </cell>
        </row>
        <row r="1508">
          <cell r="A1508" t="str">
            <v>W2830</v>
          </cell>
          <cell r="B1508" t="str">
            <v>SUB ASSEM</v>
          </cell>
          <cell r="C1508" t="str">
            <v>EA</v>
          </cell>
        </row>
        <row r="1509">
          <cell r="A1509" t="str">
            <v>W2862</v>
          </cell>
          <cell r="B1509" t="str">
            <v>SUB ASSEM</v>
          </cell>
          <cell r="C1509" t="str">
            <v>EA</v>
          </cell>
        </row>
        <row r="1510">
          <cell r="A1510" t="str">
            <v>W2868</v>
          </cell>
          <cell r="B1510" t="str">
            <v>SUB ASSEM</v>
          </cell>
          <cell r="C1510" t="str">
            <v>EA</v>
          </cell>
        </row>
        <row r="1511">
          <cell r="A1511" t="str">
            <v>W2869</v>
          </cell>
          <cell r="B1511" t="str">
            <v>SUB ASSEM</v>
          </cell>
          <cell r="C1511" t="str">
            <v>EA</v>
          </cell>
        </row>
        <row r="1512">
          <cell r="A1512" t="str">
            <v>W2887</v>
          </cell>
          <cell r="B1512" t="str">
            <v>SUB ASSEM</v>
          </cell>
          <cell r="C1512" t="str">
            <v>EA</v>
          </cell>
        </row>
        <row r="1513">
          <cell r="A1513" t="str">
            <v>W2887R1</v>
          </cell>
          <cell r="B1513" t="str">
            <v>SUB ASSEM</v>
          </cell>
          <cell r="C1513" t="str">
            <v>EA</v>
          </cell>
        </row>
        <row r="1514">
          <cell r="A1514" t="str">
            <v>W291</v>
          </cell>
          <cell r="B1514" t="str">
            <v>SUBASSEMSterPooleW/TBG</v>
          </cell>
          <cell r="C1514" t="str">
            <v>EA</v>
          </cell>
        </row>
        <row r="1515">
          <cell r="A1515" t="str">
            <v>W2914</v>
          </cell>
          <cell r="B1515" t="str">
            <v>SUBASSEM SterP/W/T/ALLEG</v>
          </cell>
          <cell r="C1515" t="str">
            <v>EA</v>
          </cell>
        </row>
        <row r="1516">
          <cell r="A1516" t="str">
            <v>W2972</v>
          </cell>
          <cell r="B1516" t="str">
            <v>SUB ASSEM</v>
          </cell>
          <cell r="C1516" t="str">
            <v>EA</v>
          </cell>
        </row>
        <row r="1517">
          <cell r="A1517" t="str">
            <v>W2994</v>
          </cell>
          <cell r="B1517" t="str">
            <v>SUB ASSEM</v>
          </cell>
          <cell r="C1517" t="str">
            <v>EA</v>
          </cell>
        </row>
        <row r="1518">
          <cell r="A1518" t="str">
            <v>W3002</v>
          </cell>
          <cell r="B1518" t="str">
            <v>SUB ASSEM</v>
          </cell>
          <cell r="C1518" t="str">
            <v>EA</v>
          </cell>
        </row>
        <row r="1519">
          <cell r="A1519" t="str">
            <v>W302</v>
          </cell>
          <cell r="B1519" t="str">
            <v>SUB ASSEM SterYank/w/ov</v>
          </cell>
          <cell r="C1519" t="str">
            <v>EA</v>
          </cell>
        </row>
        <row r="1520">
          <cell r="A1520" t="str">
            <v>W303</v>
          </cell>
          <cell r="B1520" t="str">
            <v>SUB ASSEM SterYank/w/nt</v>
          </cell>
          <cell r="C1520" t="str">
            <v>EA</v>
          </cell>
        </row>
        <row r="1521">
          <cell r="A1521" t="str">
            <v>W3037</v>
          </cell>
          <cell r="B1521" t="str">
            <v>SUB ASSEM</v>
          </cell>
          <cell r="C1521" t="str">
            <v>EA</v>
          </cell>
        </row>
        <row r="1522">
          <cell r="A1522" t="str">
            <v>W305</v>
          </cell>
          <cell r="B1522" t="str">
            <v>SUB ASSEM SterYank w/o v</v>
          </cell>
          <cell r="C1522" t="str">
            <v>EA</v>
          </cell>
        </row>
        <row r="1523">
          <cell r="A1523" t="str">
            <v>W3057</v>
          </cell>
          <cell r="B1523" t="str">
            <v>SUB ASSEM</v>
          </cell>
          <cell r="C1523" t="str">
            <v>EA</v>
          </cell>
        </row>
        <row r="1524">
          <cell r="A1524" t="str">
            <v>W3057R1</v>
          </cell>
          <cell r="B1524" t="str">
            <v>SUB ASSEM</v>
          </cell>
          <cell r="C1524" t="str">
            <v>EA</v>
          </cell>
        </row>
        <row r="1525">
          <cell r="A1525" t="str">
            <v>W3068</v>
          </cell>
          <cell r="B1525" t="str">
            <v>SUB ASSEM</v>
          </cell>
          <cell r="C1525" t="str">
            <v>EA</v>
          </cell>
        </row>
        <row r="1526">
          <cell r="A1526" t="str">
            <v>W3145</v>
          </cell>
          <cell r="B1526" t="str">
            <v>SUB ASSEM</v>
          </cell>
          <cell r="C1526" t="str">
            <v>EA</v>
          </cell>
        </row>
        <row r="1527">
          <cell r="A1527" t="str">
            <v>W3145R1</v>
          </cell>
          <cell r="B1527" t="str">
            <v>SUB ASSEM</v>
          </cell>
          <cell r="C1527" t="str">
            <v>EA</v>
          </cell>
        </row>
        <row r="1528">
          <cell r="A1528" t="str">
            <v>W3146</v>
          </cell>
          <cell r="B1528" t="str">
            <v>SUB ASSEM</v>
          </cell>
          <cell r="C1528" t="str">
            <v>EA</v>
          </cell>
        </row>
        <row r="1529">
          <cell r="A1529" t="str">
            <v>W3146R1</v>
          </cell>
          <cell r="B1529" t="str">
            <v>SUB ASSEM</v>
          </cell>
          <cell r="C1529" t="str">
            <v>EA</v>
          </cell>
        </row>
        <row r="1530">
          <cell r="A1530" t="str">
            <v>W3220</v>
          </cell>
          <cell r="B1530" t="str">
            <v>SUB ASSEM Ster Minor Pak</v>
          </cell>
          <cell r="C1530" t="str">
            <v>EA</v>
          </cell>
        </row>
        <row r="1531">
          <cell r="A1531" t="str">
            <v>W3312</v>
          </cell>
          <cell r="B1531" t="str">
            <v>SUB ASSEM</v>
          </cell>
          <cell r="C1531" t="str">
            <v>EA</v>
          </cell>
        </row>
        <row r="1532">
          <cell r="A1532" t="str">
            <v>W3431</v>
          </cell>
          <cell r="B1532" t="str">
            <v>SUB ASSEM</v>
          </cell>
          <cell r="C1532" t="str">
            <v>EA</v>
          </cell>
        </row>
        <row r="1533">
          <cell r="A1533" t="str">
            <v>W3511</v>
          </cell>
          <cell r="B1533" t="str">
            <v>SUB ASSEM</v>
          </cell>
          <cell r="C1533" t="str">
            <v>EA</v>
          </cell>
        </row>
        <row r="1534">
          <cell r="A1534" t="str">
            <v>W3527</v>
          </cell>
          <cell r="B1534" t="str">
            <v>SUB ASSEM</v>
          </cell>
          <cell r="C1534" t="str">
            <v>EA</v>
          </cell>
        </row>
        <row r="1535">
          <cell r="A1535" t="str">
            <v>W3569</v>
          </cell>
          <cell r="B1535" t="str">
            <v>SUB ASSEM</v>
          </cell>
          <cell r="C1535" t="str">
            <v>EA</v>
          </cell>
        </row>
        <row r="1536">
          <cell r="A1536" t="str">
            <v>W3609</v>
          </cell>
          <cell r="B1536" t="str">
            <v>SUB ASSEM</v>
          </cell>
          <cell r="C1536" t="str">
            <v>EA</v>
          </cell>
        </row>
        <row r="1537">
          <cell r="A1537" t="str">
            <v>W3629</v>
          </cell>
          <cell r="B1537" t="str">
            <v>SUB ASSEM</v>
          </cell>
          <cell r="C1537" t="str">
            <v>EA</v>
          </cell>
        </row>
        <row r="1538">
          <cell r="A1538" t="str">
            <v>W3638</v>
          </cell>
          <cell r="B1538" t="str">
            <v>SUB ASSEM</v>
          </cell>
          <cell r="C1538" t="str">
            <v>EA</v>
          </cell>
        </row>
        <row r="1539">
          <cell r="A1539" t="str">
            <v>W3646</v>
          </cell>
          <cell r="B1539" t="str">
            <v>SUB ASSEM</v>
          </cell>
          <cell r="C1539" t="str">
            <v>EA</v>
          </cell>
        </row>
        <row r="1540">
          <cell r="A1540" t="str">
            <v>W3654</v>
          </cell>
          <cell r="B1540" t="str">
            <v>SUB ASSEM</v>
          </cell>
          <cell r="C1540" t="str">
            <v>EA</v>
          </cell>
        </row>
        <row r="1541">
          <cell r="A1541" t="str">
            <v>W3655</v>
          </cell>
          <cell r="B1541" t="str">
            <v>SUB ASSEM</v>
          </cell>
          <cell r="C1541" t="str">
            <v>EA</v>
          </cell>
        </row>
        <row r="1542">
          <cell r="A1542" t="str">
            <v>W3656</v>
          </cell>
          <cell r="B1542" t="str">
            <v>SUB ASSEM</v>
          </cell>
          <cell r="C1542" t="str">
            <v>EA</v>
          </cell>
        </row>
        <row r="1543">
          <cell r="A1543" t="str">
            <v>W3658</v>
          </cell>
          <cell r="B1543" t="str">
            <v>SUB ASSEM</v>
          </cell>
          <cell r="C1543" t="str">
            <v>EA</v>
          </cell>
        </row>
        <row r="1544">
          <cell r="A1544" t="str">
            <v>W3738</v>
          </cell>
          <cell r="B1544" t="str">
            <v>SUB ASSEM</v>
          </cell>
          <cell r="C1544" t="str">
            <v>EA</v>
          </cell>
        </row>
        <row r="1545">
          <cell r="A1545" t="str">
            <v>W3906</v>
          </cell>
          <cell r="B1545" t="str">
            <v>SUB ASSEM</v>
          </cell>
          <cell r="C1545" t="str">
            <v>EA</v>
          </cell>
        </row>
        <row r="1546">
          <cell r="A1546" t="str">
            <v>W3906R1</v>
          </cell>
          <cell r="B1546" t="str">
            <v>SUB ASSEM</v>
          </cell>
          <cell r="C1546" t="str">
            <v>EA</v>
          </cell>
        </row>
        <row r="1547">
          <cell r="A1547" t="str">
            <v>W3910</v>
          </cell>
          <cell r="B1547" t="str">
            <v>SUB ASSEM</v>
          </cell>
          <cell r="C1547" t="str">
            <v>EA</v>
          </cell>
        </row>
        <row r="1548">
          <cell r="A1548" t="str">
            <v>W3952</v>
          </cell>
          <cell r="B1548" t="str">
            <v>SUBASS SterTNP/CVP</v>
          </cell>
          <cell r="C1548" t="str">
            <v>EA</v>
          </cell>
        </row>
        <row r="1549">
          <cell r="A1549" t="str">
            <v>W396R1</v>
          </cell>
          <cell r="B1549" t="str">
            <v>SUB ASSEM</v>
          </cell>
          <cell r="C1549" t="str">
            <v>EA</v>
          </cell>
        </row>
        <row r="1550">
          <cell r="A1550" t="str">
            <v>W410</v>
          </cell>
          <cell r="B1550" t="str">
            <v>SUB ASSEMBLY FOR 410</v>
          </cell>
          <cell r="C1550" t="str">
            <v>EA</v>
          </cell>
        </row>
        <row r="1551">
          <cell r="A1551" t="str">
            <v>W411</v>
          </cell>
          <cell r="B1551" t="str">
            <v>SUBASSEMBLY FOR 411</v>
          </cell>
          <cell r="C1551" t="str">
            <v>EA</v>
          </cell>
        </row>
        <row r="1552">
          <cell r="A1552" t="str">
            <v>W412</v>
          </cell>
          <cell r="B1552" t="str">
            <v>SUBASSEMBLY FOR 412</v>
          </cell>
          <cell r="C1552" t="str">
            <v>EA</v>
          </cell>
        </row>
        <row r="1553">
          <cell r="A1553" t="str">
            <v>W413</v>
          </cell>
          <cell r="B1553" t="str">
            <v>SUBASSEMBLY FOR 413</v>
          </cell>
          <cell r="C1553" t="str">
            <v>EA</v>
          </cell>
        </row>
        <row r="1554">
          <cell r="A1554" t="str">
            <v>W4370</v>
          </cell>
          <cell r="B1554" t="str">
            <v>SUB ASSEM</v>
          </cell>
          <cell r="C1554" t="str">
            <v>EA</v>
          </cell>
        </row>
        <row r="1555">
          <cell r="A1555" t="str">
            <v>W4471</v>
          </cell>
          <cell r="B1555" t="str">
            <v>ASS C/LN DRS CHG.TY</v>
          </cell>
          <cell r="C1555" t="str">
            <v>EA</v>
          </cell>
        </row>
        <row r="1556">
          <cell r="A1556" t="str">
            <v>W4478</v>
          </cell>
          <cell r="B1556" t="str">
            <v>SUBASS INV DRS/CHG K</v>
          </cell>
          <cell r="C1556" t="str">
            <v>EA</v>
          </cell>
        </row>
        <row r="1557">
          <cell r="A1557" t="str">
            <v>W4515</v>
          </cell>
          <cell r="B1557" t="str">
            <v>SUB ASSM C/LINE DR.CHG</v>
          </cell>
          <cell r="C1557" t="str">
            <v>EA</v>
          </cell>
        </row>
        <row r="1558">
          <cell r="A1558" t="str">
            <v>W4515R1</v>
          </cell>
          <cell r="B1558" t="str">
            <v>SUB ASSEM</v>
          </cell>
          <cell r="C1558" t="str">
            <v>EA</v>
          </cell>
        </row>
        <row r="1559">
          <cell r="A1559" t="str">
            <v>W4515R2</v>
          </cell>
          <cell r="B1559" t="str">
            <v>SUB ASSEM</v>
          </cell>
          <cell r="C1559" t="str">
            <v>EA</v>
          </cell>
        </row>
        <row r="1560">
          <cell r="A1560" t="str">
            <v>W4626</v>
          </cell>
          <cell r="B1560" t="str">
            <v>SUB ASSM C/LINE DRE.CHG</v>
          </cell>
          <cell r="C1560" t="str">
            <v>EA</v>
          </cell>
        </row>
        <row r="1561">
          <cell r="A1561" t="str">
            <v>W5039</v>
          </cell>
          <cell r="B1561" t="str">
            <v>SUB ASSEM</v>
          </cell>
          <cell r="C1561" t="str">
            <v>EA</v>
          </cell>
        </row>
        <row r="1562">
          <cell r="A1562" t="str">
            <v>W5042</v>
          </cell>
          <cell r="B1562" t="str">
            <v>SUB ASSEMBLY</v>
          </cell>
          <cell r="C1562" t="str">
            <v>EA</v>
          </cell>
        </row>
        <row r="1563">
          <cell r="A1563" t="str">
            <v>W5043</v>
          </cell>
          <cell r="B1563" t="str">
            <v>SUB ASSEM</v>
          </cell>
          <cell r="C1563" t="str">
            <v>EA</v>
          </cell>
        </row>
        <row r="1564">
          <cell r="A1564" t="str">
            <v>W5044</v>
          </cell>
          <cell r="B1564" t="str">
            <v>SUB ASSEM</v>
          </cell>
          <cell r="C1564" t="str">
            <v>EA</v>
          </cell>
        </row>
        <row r="1565">
          <cell r="A1565" t="str">
            <v>W5045</v>
          </cell>
          <cell r="B1565" t="str">
            <v>SUB ASSEM</v>
          </cell>
          <cell r="C1565" t="str">
            <v>EA</v>
          </cell>
        </row>
        <row r="1566">
          <cell r="A1566" t="str">
            <v>W5136</v>
          </cell>
          <cell r="B1566" t="str">
            <v>SUB ASSEM</v>
          </cell>
          <cell r="C1566" t="str">
            <v>EA</v>
          </cell>
        </row>
        <row r="1567">
          <cell r="A1567" t="str">
            <v>W5158</v>
          </cell>
          <cell r="B1567" t="str">
            <v>SUB ASSEM</v>
          </cell>
          <cell r="C1567" t="str">
            <v>EA</v>
          </cell>
        </row>
        <row r="1568">
          <cell r="A1568" t="str">
            <v>W5234</v>
          </cell>
          <cell r="B1568" t="str">
            <v>SUB ASSEM</v>
          </cell>
          <cell r="C1568" t="str">
            <v>EA</v>
          </cell>
        </row>
        <row r="1569">
          <cell r="A1569" t="str">
            <v>W5234R1</v>
          </cell>
          <cell r="B1569" t="str">
            <v>SUB ASSEM</v>
          </cell>
          <cell r="C1569" t="str">
            <v>EA</v>
          </cell>
        </row>
        <row r="1570">
          <cell r="A1570" t="str">
            <v>W5235</v>
          </cell>
          <cell r="B1570" t="str">
            <v>SUB ASSEM</v>
          </cell>
          <cell r="C1570" t="str">
            <v>EA</v>
          </cell>
        </row>
        <row r="1571">
          <cell r="A1571" t="str">
            <v>W5236</v>
          </cell>
          <cell r="B1571" t="str">
            <v>SUB ASSEM</v>
          </cell>
          <cell r="C1571" t="str">
            <v>EA</v>
          </cell>
        </row>
        <row r="1572">
          <cell r="A1572" t="str">
            <v>W5237</v>
          </cell>
          <cell r="B1572" t="str">
            <v>SUB ASSEM</v>
          </cell>
          <cell r="C1572" t="str">
            <v>EA</v>
          </cell>
        </row>
        <row r="1573">
          <cell r="A1573" t="str">
            <v>W5238</v>
          </cell>
          <cell r="B1573" t="str">
            <v>SUB ASSEM</v>
          </cell>
          <cell r="C1573" t="str">
            <v>EA</v>
          </cell>
        </row>
        <row r="1574">
          <cell r="A1574" t="str">
            <v>W5268</v>
          </cell>
          <cell r="B1574" t="str">
            <v>SUB ASSEM</v>
          </cell>
          <cell r="C1574" t="str">
            <v>EA</v>
          </cell>
        </row>
        <row r="1575">
          <cell r="A1575" t="str">
            <v>W5284</v>
          </cell>
          <cell r="B1575" t="str">
            <v>SUB ASSEM</v>
          </cell>
          <cell r="C1575" t="str">
            <v>EA</v>
          </cell>
        </row>
        <row r="1576">
          <cell r="A1576" t="str">
            <v>W5301</v>
          </cell>
          <cell r="B1576" t="str">
            <v>STER BONE MARROW TRY10/RX</v>
          </cell>
          <cell r="C1576" t="str">
            <v>CS</v>
          </cell>
        </row>
        <row r="1577">
          <cell r="A1577" t="str">
            <v>W5365</v>
          </cell>
          <cell r="B1577" t="str">
            <v>SUB ASSEM</v>
          </cell>
          <cell r="C1577" t="str">
            <v>EA</v>
          </cell>
        </row>
        <row r="1578">
          <cell r="A1578" t="str">
            <v>W5410</v>
          </cell>
          <cell r="B1578" t="str">
            <v>SUB ASSEM</v>
          </cell>
          <cell r="C1578" t="str">
            <v>EA</v>
          </cell>
        </row>
        <row r="1579">
          <cell r="A1579" t="str">
            <v>W5410R1</v>
          </cell>
          <cell r="B1579" t="str">
            <v>SUB ASSEM</v>
          </cell>
          <cell r="C1579" t="str">
            <v>EA</v>
          </cell>
        </row>
        <row r="1580">
          <cell r="A1580" t="str">
            <v>W5558</v>
          </cell>
          <cell r="B1580" t="str">
            <v>SUB ASSEM</v>
          </cell>
          <cell r="C1580" t="str">
            <v>EA</v>
          </cell>
        </row>
        <row r="1581">
          <cell r="A1581" t="str">
            <v>W5626</v>
          </cell>
          <cell r="B1581" t="str">
            <v>SUB ASSEM</v>
          </cell>
          <cell r="C1581" t="str">
            <v>EA</v>
          </cell>
        </row>
        <row r="1582">
          <cell r="A1582" t="str">
            <v>W5633</v>
          </cell>
          <cell r="B1582" t="str">
            <v>SUB ASSEM</v>
          </cell>
          <cell r="C1582" t="str">
            <v>EA</v>
          </cell>
        </row>
        <row r="1583">
          <cell r="A1583" t="str">
            <v>W5978</v>
          </cell>
          <cell r="B1583" t="str">
            <v>SUB ASSEM</v>
          </cell>
          <cell r="C1583" t="str">
            <v>EA</v>
          </cell>
        </row>
        <row r="1584">
          <cell r="A1584" t="str">
            <v>W6020R1</v>
          </cell>
          <cell r="B1584" t="str">
            <v>SUB ASSEM</v>
          </cell>
          <cell r="C1584" t="str">
            <v>EA</v>
          </cell>
        </row>
        <row r="1585">
          <cell r="A1585" t="str">
            <v>W6020R2</v>
          </cell>
          <cell r="B1585" t="str">
            <v>SUB ASSEM</v>
          </cell>
          <cell r="C1585" t="str">
            <v>EA</v>
          </cell>
        </row>
        <row r="1586">
          <cell r="A1586" t="str">
            <v>W6020R3</v>
          </cell>
          <cell r="B1586" t="str">
            <v>SUB ASSEMBLY</v>
          </cell>
          <cell r="C1586" t="str">
            <v>EA</v>
          </cell>
        </row>
        <row r="1587">
          <cell r="A1587" t="str">
            <v>W6020R4</v>
          </cell>
          <cell r="B1587" t="str">
            <v>SUB ASSEM</v>
          </cell>
          <cell r="C1587" t="str">
            <v>EA</v>
          </cell>
        </row>
        <row r="1588">
          <cell r="A1588" t="str">
            <v>W6021R1</v>
          </cell>
          <cell r="B1588" t="str">
            <v>SUB ASSEM</v>
          </cell>
          <cell r="C1588" t="str">
            <v>EA</v>
          </cell>
        </row>
        <row r="1589">
          <cell r="A1589" t="str">
            <v>W6021R2</v>
          </cell>
          <cell r="B1589" t="str">
            <v>SUB ASSEM</v>
          </cell>
          <cell r="C1589" t="str">
            <v>EA</v>
          </cell>
        </row>
        <row r="1590">
          <cell r="A1590" t="str">
            <v>W6026R3</v>
          </cell>
          <cell r="B1590" t="str">
            <v>SUB ASSEMBLY</v>
          </cell>
          <cell r="C1590" t="str">
            <v>EA</v>
          </cell>
        </row>
        <row r="1591">
          <cell r="A1591" t="str">
            <v>W6049</v>
          </cell>
          <cell r="B1591" t="str">
            <v>SUB ASSEM</v>
          </cell>
          <cell r="C1591" t="str">
            <v>EA</v>
          </cell>
        </row>
        <row r="1592">
          <cell r="A1592" t="str">
            <v>W6078</v>
          </cell>
          <cell r="B1592" t="str">
            <v>SUB ASSEM</v>
          </cell>
          <cell r="C1592" t="str">
            <v>EA</v>
          </cell>
        </row>
        <row r="1593">
          <cell r="A1593" t="str">
            <v>W6096</v>
          </cell>
          <cell r="B1593" t="str">
            <v>SUB ASSEM</v>
          </cell>
          <cell r="C1593" t="str">
            <v>EA</v>
          </cell>
        </row>
        <row r="1594">
          <cell r="A1594" t="str">
            <v>W6103</v>
          </cell>
          <cell r="B1594" t="str">
            <v>SUB ASSEM</v>
          </cell>
          <cell r="C1594" t="str">
            <v>EA</v>
          </cell>
        </row>
        <row r="1595">
          <cell r="A1595" t="str">
            <v>W6195</v>
          </cell>
          <cell r="B1595" t="str">
            <v>SUB ASSEM</v>
          </cell>
          <cell r="C1595" t="str">
            <v>EA</v>
          </cell>
        </row>
        <row r="1596">
          <cell r="A1596" t="str">
            <v>W6209</v>
          </cell>
          <cell r="B1596" t="str">
            <v>SUB ASSEM</v>
          </cell>
          <cell r="C1596" t="str">
            <v>EA</v>
          </cell>
        </row>
        <row r="1597">
          <cell r="A1597" t="str">
            <v>W6224</v>
          </cell>
          <cell r="B1597" t="str">
            <v>SUB ASSEM</v>
          </cell>
          <cell r="C1597" t="str">
            <v>EA</v>
          </cell>
        </row>
        <row r="1598">
          <cell r="A1598" t="str">
            <v>W6331</v>
          </cell>
          <cell r="B1598" t="str">
            <v>SUB ASSEM</v>
          </cell>
          <cell r="C1598" t="str">
            <v>EA</v>
          </cell>
        </row>
        <row r="1599">
          <cell r="A1599" t="str">
            <v>W6417</v>
          </cell>
          <cell r="B1599" t="str">
            <v>SUB ASSEM</v>
          </cell>
          <cell r="C1599" t="str">
            <v>EA</v>
          </cell>
        </row>
        <row r="1600">
          <cell r="A1600" t="str">
            <v>W6417R1</v>
          </cell>
          <cell r="B1600" t="str">
            <v>SUB ASSEM</v>
          </cell>
          <cell r="C1600" t="str">
            <v>EA</v>
          </cell>
        </row>
        <row r="1601">
          <cell r="A1601" t="str">
            <v>W6447</v>
          </cell>
          <cell r="B1601" t="str">
            <v>SUB ASSEM</v>
          </cell>
          <cell r="C1601" t="str">
            <v>EA</v>
          </cell>
        </row>
        <row r="1602">
          <cell r="A1602" t="str">
            <v>W645</v>
          </cell>
          <cell r="B1602" t="str">
            <v>SUB ASSEM LUMBAR/PED</v>
          </cell>
          <cell r="C1602" t="str">
            <v>EA</v>
          </cell>
        </row>
        <row r="1603">
          <cell r="A1603" t="str">
            <v>W6456</v>
          </cell>
          <cell r="B1603" t="str">
            <v>SUB ASSEM GM 25-645 (PED)</v>
          </cell>
          <cell r="C1603" t="str">
            <v>EA</v>
          </cell>
        </row>
        <row r="1604">
          <cell r="A1604" t="str">
            <v>W645B</v>
          </cell>
          <cell r="B1604" t="str">
            <v>SUB ASSEM</v>
          </cell>
          <cell r="C1604" t="str">
            <v>EA</v>
          </cell>
        </row>
        <row r="1605">
          <cell r="A1605" t="str">
            <v>W646</v>
          </cell>
          <cell r="B1605" t="str">
            <v>SUB ASSEM LUMBAR/PED</v>
          </cell>
          <cell r="C1605" t="str">
            <v>EA</v>
          </cell>
        </row>
        <row r="1606">
          <cell r="A1606" t="str">
            <v>W6468</v>
          </cell>
          <cell r="B1606" t="str">
            <v>SUB ASSEM GM 25-646 (PED)</v>
          </cell>
          <cell r="C1606" t="str">
            <v>EA</v>
          </cell>
        </row>
        <row r="1607">
          <cell r="A1607" t="str">
            <v>W646B</v>
          </cell>
          <cell r="B1607" t="str">
            <v>SUB ASSEM</v>
          </cell>
          <cell r="C1607" t="str">
            <v>EA</v>
          </cell>
        </row>
        <row r="1608">
          <cell r="A1608" t="str">
            <v>W647</v>
          </cell>
          <cell r="B1608" t="str">
            <v>SUB ASSEM LUMBAR TRAY</v>
          </cell>
          <cell r="C1608" t="str">
            <v>EA</v>
          </cell>
        </row>
        <row r="1609">
          <cell r="A1609" t="str">
            <v>W647B</v>
          </cell>
          <cell r="B1609" t="str">
            <v>SUB ASSEM</v>
          </cell>
          <cell r="C1609" t="str">
            <v>EA</v>
          </cell>
        </row>
        <row r="1610">
          <cell r="A1610" t="str">
            <v>W648</v>
          </cell>
          <cell r="B1610" t="str">
            <v>SUB ASSEM LUMBAR TRAY</v>
          </cell>
          <cell r="C1610" t="str">
            <v>EA</v>
          </cell>
        </row>
        <row r="1611">
          <cell r="A1611" t="str">
            <v>W6486</v>
          </cell>
          <cell r="B1611" t="str">
            <v>SUB ASSEM GM 25-648</v>
          </cell>
          <cell r="C1611" t="str">
            <v>EA</v>
          </cell>
        </row>
        <row r="1612">
          <cell r="A1612" t="str">
            <v>W6487</v>
          </cell>
          <cell r="B1612" t="str">
            <v>SUB.ASSEM</v>
          </cell>
          <cell r="C1612" t="str">
            <v>EA</v>
          </cell>
        </row>
        <row r="1613">
          <cell r="A1613" t="str">
            <v>W648A</v>
          </cell>
          <cell r="B1613" t="str">
            <v>SUB ASSEM</v>
          </cell>
          <cell r="C1613" t="str">
            <v>EA</v>
          </cell>
        </row>
        <row r="1614">
          <cell r="A1614" t="str">
            <v>W648B</v>
          </cell>
          <cell r="B1614" t="str">
            <v>SUB ASSEM</v>
          </cell>
          <cell r="C1614" t="str">
            <v>EA</v>
          </cell>
        </row>
        <row r="1615">
          <cell r="A1615" t="str">
            <v>W649</v>
          </cell>
          <cell r="B1615" t="str">
            <v>SUB ASSEM LUMBAR TRAY</v>
          </cell>
          <cell r="C1615" t="str">
            <v>EA</v>
          </cell>
        </row>
        <row r="1616">
          <cell r="A1616" t="str">
            <v>W6496</v>
          </cell>
          <cell r="B1616" t="str">
            <v>SUB ASSEM GM 25-649</v>
          </cell>
          <cell r="C1616" t="str">
            <v>EA</v>
          </cell>
        </row>
        <row r="1617">
          <cell r="A1617" t="str">
            <v>W649A</v>
          </cell>
          <cell r="B1617" t="str">
            <v>SUB ASSEM</v>
          </cell>
          <cell r="C1617" t="str">
            <v>EA</v>
          </cell>
        </row>
        <row r="1618">
          <cell r="A1618" t="str">
            <v>W649B</v>
          </cell>
          <cell r="B1618" t="str">
            <v>SUB ASSEM</v>
          </cell>
          <cell r="C1618" t="str">
            <v>EA</v>
          </cell>
        </row>
        <row r="1619">
          <cell r="A1619" t="str">
            <v>W650</v>
          </cell>
          <cell r="B1619" t="str">
            <v>SUB ASSEM AMNIO TRAY</v>
          </cell>
          <cell r="C1619" t="str">
            <v>EA</v>
          </cell>
        </row>
        <row r="1620">
          <cell r="A1620" t="str">
            <v>W6506</v>
          </cell>
          <cell r="B1620" t="str">
            <v>SUB ASSEM GM 25-650 AMNIO</v>
          </cell>
          <cell r="C1620" t="str">
            <v>EA</v>
          </cell>
        </row>
        <row r="1621">
          <cell r="A1621" t="str">
            <v>W651</v>
          </cell>
          <cell r="B1621" t="str">
            <v>SUB ASSEM BASIC BIOPSY</v>
          </cell>
          <cell r="C1621" t="str">
            <v>EA</v>
          </cell>
        </row>
        <row r="1622">
          <cell r="A1622" t="str">
            <v>W6516</v>
          </cell>
          <cell r="B1622" t="str">
            <v>SUB ASSEM GM 25-651</v>
          </cell>
          <cell r="C1622" t="str">
            <v>EA</v>
          </cell>
        </row>
        <row r="1623">
          <cell r="A1623" t="str">
            <v>W6517</v>
          </cell>
          <cell r="B1623" t="str">
            <v>SUB ASSEM</v>
          </cell>
          <cell r="C1623" t="str">
            <v>EA</v>
          </cell>
        </row>
        <row r="1624">
          <cell r="A1624" t="str">
            <v>W651B</v>
          </cell>
          <cell r="B1624" t="str">
            <v>SUB ASSEM</v>
          </cell>
          <cell r="C1624" t="str">
            <v>EA</v>
          </cell>
        </row>
        <row r="1625">
          <cell r="A1625" t="str">
            <v>W652</v>
          </cell>
          <cell r="B1625" t="str">
            <v>SUB ASSEM BONE BIOPSY</v>
          </cell>
          <cell r="C1625" t="str">
            <v>EA</v>
          </cell>
        </row>
        <row r="1626">
          <cell r="A1626" t="str">
            <v>W6526</v>
          </cell>
          <cell r="B1626" t="str">
            <v>SUB ASSEM GM 25-652</v>
          </cell>
          <cell r="C1626" t="str">
            <v>EA</v>
          </cell>
        </row>
        <row r="1627">
          <cell r="A1627" t="str">
            <v>W6527</v>
          </cell>
          <cell r="B1627" t="str">
            <v>SUB ASSEM</v>
          </cell>
          <cell r="C1627" t="str">
            <v>EA</v>
          </cell>
        </row>
        <row r="1628">
          <cell r="A1628" t="str">
            <v>W653</v>
          </cell>
          <cell r="B1628" t="str">
            <v>SUB ASSEMN BONE BIOPSY</v>
          </cell>
          <cell r="C1628" t="str">
            <v>EA</v>
          </cell>
        </row>
        <row r="1629">
          <cell r="A1629" t="str">
            <v>W6536</v>
          </cell>
          <cell r="B1629" t="str">
            <v>SUB ASSEM GM 25-653</v>
          </cell>
          <cell r="C1629" t="str">
            <v>EA</v>
          </cell>
        </row>
        <row r="1630">
          <cell r="A1630" t="str">
            <v>W653B</v>
          </cell>
          <cell r="B1630" t="str">
            <v>SUB ASSEM</v>
          </cell>
          <cell r="C1630" t="str">
            <v>EA</v>
          </cell>
        </row>
        <row r="1631">
          <cell r="A1631" t="str">
            <v>W654</v>
          </cell>
          <cell r="B1631" t="str">
            <v>SUB ASSEM BONE BIOSPY</v>
          </cell>
          <cell r="C1631" t="str">
            <v>EA</v>
          </cell>
        </row>
        <row r="1632">
          <cell r="A1632" t="str">
            <v>W654B</v>
          </cell>
          <cell r="B1632" t="str">
            <v>SUB ASSEM BONE BIOPSY</v>
          </cell>
          <cell r="C1632" t="str">
            <v>EA</v>
          </cell>
        </row>
        <row r="1633">
          <cell r="A1633" t="str">
            <v>W655</v>
          </cell>
          <cell r="B1633" t="str">
            <v>SUB ASSEM BONE MARROW</v>
          </cell>
          <cell r="C1633" t="str">
            <v>EA</v>
          </cell>
        </row>
        <row r="1634">
          <cell r="A1634" t="str">
            <v>W6553</v>
          </cell>
          <cell r="B1634" t="str">
            <v>SUB ASSEM</v>
          </cell>
          <cell r="C1634" t="str">
            <v>EA</v>
          </cell>
        </row>
        <row r="1635">
          <cell r="A1635" t="str">
            <v>W655B</v>
          </cell>
          <cell r="B1635" t="str">
            <v>SUB ASSEM</v>
          </cell>
          <cell r="C1635" t="str">
            <v>EA</v>
          </cell>
        </row>
        <row r="1636">
          <cell r="A1636" t="str">
            <v>W656</v>
          </cell>
          <cell r="B1636" t="str">
            <v>SUB ASSEM MYELOGRAM TRAY</v>
          </cell>
          <cell r="C1636" t="str">
            <v>EA</v>
          </cell>
        </row>
        <row r="1637">
          <cell r="A1637" t="str">
            <v>W6607</v>
          </cell>
          <cell r="B1637" t="str">
            <v>SUB ASSEM</v>
          </cell>
          <cell r="C1637" t="str">
            <v>EA</v>
          </cell>
        </row>
        <row r="1638">
          <cell r="A1638" t="str">
            <v>W671</v>
          </cell>
          <cell r="B1638" t="str">
            <v>SUB ASSEM</v>
          </cell>
          <cell r="C1638" t="str">
            <v>EA</v>
          </cell>
        </row>
        <row r="1639">
          <cell r="A1639" t="str">
            <v>W6922</v>
          </cell>
          <cell r="B1639" t="str">
            <v>SUB ASSEM</v>
          </cell>
          <cell r="C1639" t="str">
            <v>EA</v>
          </cell>
        </row>
        <row r="1640">
          <cell r="A1640" t="str">
            <v>W7028</v>
          </cell>
          <cell r="B1640" t="str">
            <v>SUB ASSEM</v>
          </cell>
          <cell r="C1640" t="str">
            <v>EA</v>
          </cell>
        </row>
        <row r="1641">
          <cell r="A1641" t="str">
            <v>W7049</v>
          </cell>
          <cell r="B1641" t="str">
            <v>SUB ASSEM</v>
          </cell>
          <cell r="C1641" t="str">
            <v>EA</v>
          </cell>
        </row>
        <row r="1642">
          <cell r="A1642" t="str">
            <v>W7049R2</v>
          </cell>
          <cell r="B1642" t="str">
            <v>SUB ASSEM</v>
          </cell>
          <cell r="C1642" t="str">
            <v>EA</v>
          </cell>
        </row>
        <row r="1643">
          <cell r="A1643" t="str">
            <v>W7428</v>
          </cell>
          <cell r="B1643" t="str">
            <v>SUB ASSEM</v>
          </cell>
          <cell r="C1643" t="str">
            <v>EA</v>
          </cell>
        </row>
        <row r="1644">
          <cell r="A1644" t="str">
            <v>W7465</v>
          </cell>
          <cell r="B1644" t="str">
            <v>SUB ASSEM</v>
          </cell>
          <cell r="C1644" t="str">
            <v>EA</v>
          </cell>
        </row>
        <row r="1645">
          <cell r="A1645" t="str">
            <v>W7465R1</v>
          </cell>
          <cell r="B1645" t="str">
            <v>SUB ASSEM</v>
          </cell>
          <cell r="C1645" t="str">
            <v>EA</v>
          </cell>
        </row>
        <row r="1646">
          <cell r="A1646" t="str">
            <v>W7791</v>
          </cell>
          <cell r="B1646" t="str">
            <v>SUB ASSEM</v>
          </cell>
          <cell r="C1646" t="str">
            <v>EA</v>
          </cell>
        </row>
        <row r="1647">
          <cell r="A1647" t="str">
            <v>W7791R1</v>
          </cell>
          <cell r="B1647" t="str">
            <v>SUB ASSEMBLY</v>
          </cell>
          <cell r="C1647" t="str">
            <v>EA</v>
          </cell>
        </row>
        <row r="1648">
          <cell r="A1648" t="str">
            <v>W7998</v>
          </cell>
          <cell r="B1648" t="str">
            <v>SUB ASSEM</v>
          </cell>
          <cell r="C1648" t="str">
            <v>EA</v>
          </cell>
        </row>
        <row r="1649">
          <cell r="A1649" t="str">
            <v>W7998R1</v>
          </cell>
          <cell r="B1649" t="str">
            <v>SUB ASSEM</v>
          </cell>
          <cell r="C1649" t="str">
            <v>EA</v>
          </cell>
        </row>
        <row r="1650">
          <cell r="A1650" t="str">
            <v>W8078</v>
          </cell>
          <cell r="B1650" t="str">
            <v>SUB ASSEM</v>
          </cell>
          <cell r="C1650" t="str">
            <v>EA</v>
          </cell>
        </row>
        <row r="1651">
          <cell r="A1651" t="str">
            <v>W8079</v>
          </cell>
          <cell r="B1651" t="str">
            <v>SUB ASSEMBLY</v>
          </cell>
          <cell r="C1651" t="str">
            <v>EA</v>
          </cell>
        </row>
        <row r="1652">
          <cell r="A1652" t="str">
            <v>W8088</v>
          </cell>
          <cell r="B1652" t="str">
            <v>N/SUBASS SterDaly/On</v>
          </cell>
          <cell r="C1652" t="str">
            <v>EA</v>
          </cell>
        </row>
        <row r="1653">
          <cell r="A1653" t="str">
            <v>W8131</v>
          </cell>
          <cell r="B1653" t="str">
            <v>SUBASS SterC/Ln D/C</v>
          </cell>
          <cell r="C1653" t="str">
            <v>EA</v>
          </cell>
        </row>
        <row r="1654">
          <cell r="A1654" t="str">
            <v>W825</v>
          </cell>
          <cell r="B1654" t="str">
            <v>SUB ASSEM SterTPN/CVPTr</v>
          </cell>
          <cell r="C1654" t="str">
            <v>EA</v>
          </cell>
        </row>
        <row r="1655">
          <cell r="A1655" t="str">
            <v>W827</v>
          </cell>
          <cell r="B1655" t="str">
            <v>SUB ASSEM SterTPN/CVPTr</v>
          </cell>
          <cell r="C1655" t="str">
            <v>EA</v>
          </cell>
        </row>
        <row r="1656">
          <cell r="A1656" t="str">
            <v>W828</v>
          </cell>
          <cell r="B1656" t="str">
            <v>SUB ASSEM SterTPN/CVPTr</v>
          </cell>
          <cell r="C1656" t="str">
            <v>EA</v>
          </cell>
        </row>
        <row r="1657">
          <cell r="A1657" t="str">
            <v>W829</v>
          </cell>
          <cell r="B1657" t="str">
            <v>SUB ASSEM SterTPN/CVPTr</v>
          </cell>
          <cell r="C1657" t="str">
            <v>EA</v>
          </cell>
        </row>
        <row r="1658">
          <cell r="A1658" t="str">
            <v>W835</v>
          </cell>
          <cell r="B1658" t="str">
            <v>SUB ASSEM STERC/LNE D/T</v>
          </cell>
          <cell r="C1658" t="str">
            <v>EA</v>
          </cell>
        </row>
        <row r="1659">
          <cell r="A1659" t="str">
            <v>W8635</v>
          </cell>
          <cell r="B1659" t="str">
            <v>SUB ASSEM</v>
          </cell>
          <cell r="C1659" t="str">
            <v>EA</v>
          </cell>
        </row>
        <row r="1660">
          <cell r="A1660" t="str">
            <v>W8744</v>
          </cell>
          <cell r="B1660" t="str">
            <v>SUB ASSEM</v>
          </cell>
          <cell r="C1660" t="str">
            <v>EA</v>
          </cell>
        </row>
        <row r="1661">
          <cell r="A1661" t="str">
            <v>W8765</v>
          </cell>
          <cell r="B1661" t="str">
            <v>SUB ASSEM</v>
          </cell>
          <cell r="C1661" t="str">
            <v>EA</v>
          </cell>
        </row>
        <row r="1662">
          <cell r="A1662" t="str">
            <v>W8917</v>
          </cell>
          <cell r="B1662" t="str">
            <v>SUB ASSEM</v>
          </cell>
          <cell r="C1662" t="str">
            <v>EA</v>
          </cell>
        </row>
        <row r="1663">
          <cell r="A1663" t="str">
            <v>W8917R1</v>
          </cell>
          <cell r="B1663" t="str">
            <v>SUB ASSEM</v>
          </cell>
          <cell r="C1663" t="str">
            <v>EA</v>
          </cell>
        </row>
        <row r="1664">
          <cell r="A1664" t="str">
            <v>W9102R1</v>
          </cell>
          <cell r="B1664" t="str">
            <v>SUB ASSEM</v>
          </cell>
          <cell r="C1664" t="str">
            <v>EA</v>
          </cell>
        </row>
        <row r="1665">
          <cell r="A1665" t="str">
            <v>W9102R2</v>
          </cell>
          <cell r="B1665" t="str">
            <v>SUB ASSEM</v>
          </cell>
          <cell r="C1665" t="str">
            <v>EA</v>
          </cell>
        </row>
        <row r="1666">
          <cell r="A1666" t="str">
            <v>W9141R1</v>
          </cell>
          <cell r="B1666" t="str">
            <v>SUB ASSEM</v>
          </cell>
          <cell r="C1666" t="str">
            <v>EA</v>
          </cell>
        </row>
        <row r="1667">
          <cell r="A1667" t="str">
            <v>W945</v>
          </cell>
          <cell r="B1667" t="str">
            <v>SUB ASSEM SAFETY PED LUMB</v>
          </cell>
          <cell r="C1667" t="str">
            <v>EA</v>
          </cell>
        </row>
        <row r="1668">
          <cell r="A1668" t="str">
            <v>W946</v>
          </cell>
          <cell r="B1668" t="str">
            <v>SUB ASSEM SAFETY PED LUMB</v>
          </cell>
          <cell r="C1668" t="str">
            <v>EA</v>
          </cell>
        </row>
        <row r="1669">
          <cell r="A1669" t="str">
            <v>W947</v>
          </cell>
          <cell r="B1669" t="str">
            <v>SUB ASSEM SAFETY LUMBAR</v>
          </cell>
          <cell r="C1669" t="str">
            <v>EA</v>
          </cell>
        </row>
        <row r="1670">
          <cell r="A1670" t="str">
            <v>W948</v>
          </cell>
          <cell r="B1670" t="str">
            <v>SUB ASSEM SAFETY LUMBAR</v>
          </cell>
          <cell r="C1670" t="str">
            <v>EA</v>
          </cell>
        </row>
        <row r="1671">
          <cell r="A1671" t="str">
            <v>W949</v>
          </cell>
          <cell r="B1671" t="str">
            <v>SUB ASSEM SAFETY LUMBAR</v>
          </cell>
          <cell r="C1671" t="str">
            <v>EA</v>
          </cell>
        </row>
        <row r="1672">
          <cell r="A1672" t="str">
            <v>W950</v>
          </cell>
          <cell r="B1672" t="str">
            <v>SUB ASSEM SAFETY AMNIO</v>
          </cell>
          <cell r="C1672" t="str">
            <v>EA</v>
          </cell>
        </row>
        <row r="1673">
          <cell r="A1673" t="str">
            <v>W951</v>
          </cell>
          <cell r="B1673" t="str">
            <v>SUB ASSEM SAFETY BasicBio</v>
          </cell>
          <cell r="C1673" t="str">
            <v>EA</v>
          </cell>
        </row>
        <row r="1674">
          <cell r="A1674" t="str">
            <v>W9517</v>
          </cell>
          <cell r="B1674" t="str">
            <v>SUB ASSEM</v>
          </cell>
          <cell r="C1674" t="str">
            <v>EA</v>
          </cell>
        </row>
        <row r="1675">
          <cell r="A1675" t="str">
            <v>W952</v>
          </cell>
          <cell r="B1675" t="str">
            <v>SUB ASSEM SAFETY BONE MRW</v>
          </cell>
          <cell r="C1675" t="str">
            <v>EA</v>
          </cell>
        </row>
        <row r="1676">
          <cell r="A1676" t="str">
            <v>W953</v>
          </cell>
          <cell r="B1676" t="str">
            <v>SUB ASSEM SAFETY BONE MRW</v>
          </cell>
          <cell r="C1676" t="str">
            <v>EA</v>
          </cell>
        </row>
        <row r="1677">
          <cell r="A1677" t="str">
            <v>W954</v>
          </cell>
          <cell r="B1677" t="str">
            <v>SUB ASSEM SAFETY BONE MRW</v>
          </cell>
          <cell r="C1677" t="str">
            <v>EA</v>
          </cell>
        </row>
        <row r="1678">
          <cell r="A1678" t="str">
            <v>W955</v>
          </cell>
          <cell r="B1678" t="str">
            <v>SUB ASSEM SAFETY BONE MRW</v>
          </cell>
          <cell r="C1678" t="str">
            <v>EA</v>
          </cell>
        </row>
        <row r="1679">
          <cell r="A1679" t="str">
            <v>W956</v>
          </cell>
          <cell r="B1679" t="str">
            <v>SUB ASSEM SAFETY MYELOGRM</v>
          </cell>
          <cell r="C1679" t="str">
            <v>EA</v>
          </cell>
        </row>
        <row r="1680">
          <cell r="A1680" t="str">
            <v>W9563</v>
          </cell>
          <cell r="B1680" t="str">
            <v>SUB ASSEM</v>
          </cell>
          <cell r="C1680" t="str">
            <v>EA</v>
          </cell>
        </row>
        <row r="1681">
          <cell r="A1681" t="str">
            <v>W957</v>
          </cell>
          <cell r="B1681" t="str">
            <v>SUB ASSEM</v>
          </cell>
          <cell r="C1681" t="str">
            <v>EA</v>
          </cell>
        </row>
        <row r="1682">
          <cell r="A1682" t="str">
            <v>W957B</v>
          </cell>
          <cell r="B1682" t="str">
            <v>SUB ASSEMBLY</v>
          </cell>
          <cell r="C1682" t="str">
            <v>EA</v>
          </cell>
        </row>
        <row r="1683">
          <cell r="A1683" t="str">
            <v>W962</v>
          </cell>
          <cell r="B1683" t="str">
            <v>SUB ASSEM PARACENTESIS</v>
          </cell>
          <cell r="C1683" t="str">
            <v>EA</v>
          </cell>
        </row>
        <row r="1684">
          <cell r="A1684" t="str">
            <v>W962B</v>
          </cell>
          <cell r="B1684" t="str">
            <v>SUB ASSEM</v>
          </cell>
          <cell r="C1684" t="str">
            <v>EA</v>
          </cell>
        </row>
        <row r="1685">
          <cell r="A1685" t="str">
            <v>W973</v>
          </cell>
          <cell r="B1685" t="str">
            <v>SubAssmSftyDeluxPedLumb</v>
          </cell>
          <cell r="C1685" t="str">
            <v>EA</v>
          </cell>
        </row>
        <row r="1686">
          <cell r="A1686" t="str">
            <v>W974</v>
          </cell>
          <cell r="B1686" t="str">
            <v>SubAssemblySaftyDelxLumbr</v>
          </cell>
          <cell r="C1686" t="str">
            <v>EA</v>
          </cell>
        </row>
        <row r="1687">
          <cell r="A1687" t="str">
            <v>W975</v>
          </cell>
          <cell r="B1687" t="str">
            <v>SubAssmSftyDeluxLumbrPuct</v>
          </cell>
          <cell r="C1687" t="str">
            <v>EA</v>
          </cell>
        </row>
        <row r="1688">
          <cell r="A1688" t="str">
            <v>W976</v>
          </cell>
          <cell r="B1688" t="str">
            <v>SubAssem SaftyDeluxAmnio</v>
          </cell>
          <cell r="C1688" t="str">
            <v>EA</v>
          </cell>
        </row>
        <row r="1689">
          <cell r="A1689" t="str">
            <v>W977</v>
          </cell>
          <cell r="B1689" t="str">
            <v>SubAssmblySoftTissueTray</v>
          </cell>
          <cell r="C1689" t="str">
            <v>EA</v>
          </cell>
        </row>
        <row r="1690">
          <cell r="A1690" t="str">
            <v>W978</v>
          </cell>
          <cell r="B1690" t="str">
            <v>SubAssmSaftyDeluxMyelogrm</v>
          </cell>
          <cell r="C1690" t="str">
            <v>EA</v>
          </cell>
        </row>
        <row r="1691">
          <cell r="A1691" t="str">
            <v>W979</v>
          </cell>
          <cell r="B1691" t="str">
            <v>SubAssemblySaftyDelxArtho</v>
          </cell>
          <cell r="C1691" t="str">
            <v>EA</v>
          </cell>
        </row>
        <row r="1692">
          <cell r="A1692" t="str">
            <v>W9809</v>
          </cell>
          <cell r="B1692" t="str">
            <v>SUB ASSEMBLY</v>
          </cell>
          <cell r="C1692" t="str">
            <v>EA</v>
          </cell>
        </row>
        <row r="1693">
          <cell r="A1693" t="str">
            <v>W985</v>
          </cell>
          <cell r="B1693" t="str">
            <v>SUBASSEMSAFTYDELUXBONEMRW</v>
          </cell>
          <cell r="C1693" t="str">
            <v>EA</v>
          </cell>
        </row>
        <row r="1694">
          <cell r="A1694" t="str">
            <v>W986</v>
          </cell>
          <cell r="B1694" t="str">
            <v>SUBASSEMSAFTYDELUXBONEMRW</v>
          </cell>
          <cell r="C1694" t="str">
            <v>EA</v>
          </cell>
        </row>
        <row r="1695">
          <cell r="A1695" t="str">
            <v>W987</v>
          </cell>
          <cell r="B1695" t="str">
            <v>SUBASSEMSAFTYDELUXBONEMRW</v>
          </cell>
          <cell r="C1695" t="str">
            <v>EA</v>
          </cell>
        </row>
        <row r="1696">
          <cell r="A1696" t="str">
            <v>W988</v>
          </cell>
          <cell r="B1696" t="str">
            <v>SUB ASSEM</v>
          </cell>
          <cell r="C1696" t="str">
            <v>EA</v>
          </cell>
        </row>
        <row r="1697">
          <cell r="A1697" t="str">
            <v>W989</v>
          </cell>
          <cell r="B1697" t="str">
            <v>SUB ASSEM</v>
          </cell>
          <cell r="C1697" t="str">
            <v>EA</v>
          </cell>
        </row>
        <row r="1698">
          <cell r="A1698" t="str">
            <v>WPPCD622</v>
          </cell>
          <cell r="B1698" t="str">
            <v>SUB ASSEM</v>
          </cell>
          <cell r="C1698" t="str">
            <v>EA</v>
          </cell>
        </row>
        <row r="1699">
          <cell r="A1699" t="str">
            <v>WPPCD645</v>
          </cell>
          <cell r="B1699" t="str">
            <v>SUB ASSEM PYROGEN TEST</v>
          </cell>
          <cell r="C1699" t="str">
            <v>EA</v>
          </cell>
        </row>
        <row r="1700">
          <cell r="A1700" t="str">
            <v>WPPCD650</v>
          </cell>
          <cell r="B1700" t="str">
            <v>SUB ASSEM PYROGEN TEST</v>
          </cell>
          <cell r="C1700" t="str">
            <v>EA</v>
          </cell>
        </row>
        <row r="1701">
          <cell r="A1701" t="str">
            <v>WPPCD655</v>
          </cell>
          <cell r="B1701" t="str">
            <v>SUB ASSEM</v>
          </cell>
          <cell r="C1701" t="str">
            <v>EA</v>
          </cell>
        </row>
        <row r="1702">
          <cell r="A1702" t="str">
            <v>WPPCD945</v>
          </cell>
          <cell r="B1702" t="str">
            <v>SUB ASSEM</v>
          </cell>
          <cell r="C1702" t="str">
            <v>EA</v>
          </cell>
        </row>
        <row r="1703">
          <cell r="A1703" t="str">
            <v>WPPCD974</v>
          </cell>
          <cell r="B1703" t="str">
            <v>SUB ASSEM PYROGEN TEST</v>
          </cell>
          <cell r="C1703" t="str">
            <v>EA</v>
          </cell>
        </row>
        <row r="1704">
          <cell r="A1704" t="str">
            <v>WPPCD985</v>
          </cell>
          <cell r="B1704" t="str">
            <v>SUB ASSEM</v>
          </cell>
          <cell r="C1704" t="str">
            <v>EA</v>
          </cell>
        </row>
        <row r="1705">
          <cell r="A1705" t="str">
            <v>WPPCD988</v>
          </cell>
          <cell r="B1705" t="str">
            <v>SUB ASSEM</v>
          </cell>
          <cell r="C1705" t="str">
            <v>EA</v>
          </cell>
        </row>
        <row r="1706">
          <cell r="A1706" t="str">
            <v>WPPCR988</v>
          </cell>
          <cell r="B1706" t="str">
            <v>SUB ASSEM TEST</v>
          </cell>
          <cell r="C1706" t="str">
            <v>EA</v>
          </cell>
        </row>
        <row r="1707">
          <cell r="A1707" t="str">
            <v>Z9631A</v>
          </cell>
          <cell r="B1707" t="str">
            <v>10CC Syringe Kit</v>
          </cell>
          <cell r="C1707" t="str">
            <v>EA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PAGE2"/>
      <sheetName val="PAGE3"/>
      <sheetName val="PAGE4"/>
      <sheetName val="DROPTAG"/>
      <sheetName val="matreqdload"/>
      <sheetName val=" 09-26-01"/>
      <sheetName val="08-02-01 "/>
      <sheetName val="CHECKLIST"/>
      <sheetName val="09-61-01"/>
      <sheetName val="09-61-02"/>
      <sheetName val="expedite form"/>
      <sheetName val="10-02-01"/>
      <sheetName val="DATAPAGE"/>
      <sheetName val="Sheet1"/>
      <sheetName val="Complocrpt"/>
      <sheetName val="Directions"/>
      <sheetName val="100-01 -ignore"/>
      <sheetName val="SAMPLE SIZE"/>
      <sheetName val="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3">
          <cell r="A3">
            <v>1</v>
          </cell>
          <cell r="B3" t="str">
            <v>5010D</v>
          </cell>
          <cell r="C3" t="str">
            <v>UNPRINTED INNER CTN</v>
          </cell>
          <cell r="D3" t="str">
            <v>161</v>
          </cell>
          <cell r="E3" t="str">
            <v>EA</v>
          </cell>
          <cell r="F3" t="str">
            <v>0001</v>
          </cell>
          <cell r="G3" t="str">
            <v>1</v>
          </cell>
        </row>
        <row r="4">
          <cell r="A4">
            <v>2</v>
          </cell>
          <cell r="B4" t="str">
            <v>5011M-1</v>
          </cell>
          <cell r="C4" t="str">
            <v>SHIPPER CTN</v>
          </cell>
          <cell r="D4" t="str">
            <v>20</v>
          </cell>
          <cell r="E4" t="str">
            <v>EA</v>
          </cell>
          <cell r="F4" t="str">
            <v>0001</v>
          </cell>
          <cell r="G4" t="str">
            <v>1</v>
          </cell>
        </row>
        <row r="5">
          <cell r="A5">
            <v>3</v>
          </cell>
          <cell r="B5" t="str">
            <v>2042FS</v>
          </cell>
          <cell r="C5" t="str">
            <v>2FS TYVEK UNCOATED 308MM</v>
          </cell>
          <cell r="D5" t="str">
            <v>87</v>
          </cell>
          <cell r="E5" t="str">
            <v>MI</v>
          </cell>
          <cell r="F5" t="str">
            <v>0009</v>
          </cell>
          <cell r="G5" t="str">
            <v>1</v>
          </cell>
        </row>
        <row r="6">
          <cell r="A6">
            <v>4</v>
          </cell>
          <cell r="B6" t="str">
            <v>2962</v>
          </cell>
          <cell r="C6" t="str">
            <v>8MIL PLYLENE,322MM WIDE</v>
          </cell>
          <cell r="D6" t="str">
            <v>26</v>
          </cell>
          <cell r="E6" t="str">
            <v>LB</v>
          </cell>
          <cell r="F6" t="str">
            <v>0009</v>
          </cell>
          <cell r="G6" t="str">
            <v>1</v>
          </cell>
        </row>
        <row r="7">
          <cell r="A7">
            <v>5</v>
          </cell>
          <cell r="B7" t="str">
            <v>5080B</v>
          </cell>
          <cell r="C7" t="str">
            <v>3/8 Y-Connector</v>
          </cell>
          <cell r="D7" t="str">
            <v>4021</v>
          </cell>
          <cell r="E7" t="str">
            <v>EA</v>
          </cell>
          <cell r="F7" t="str">
            <v>0050</v>
          </cell>
          <cell r="G7" t="str">
            <v>1</v>
          </cell>
        </row>
        <row r="8">
          <cell r="A8">
            <v>6</v>
          </cell>
          <cell r="B8" t="str">
            <v>LU100</v>
          </cell>
          <cell r="C8" t="str">
            <v>CORNER SHIPPER LABEL</v>
          </cell>
          <cell r="D8" t="str">
            <v>21</v>
          </cell>
          <cell r="E8" t="str">
            <v>EA</v>
          </cell>
          <cell r="F8" t="str">
            <v>0091</v>
          </cell>
          <cell r="G8" t="str">
            <v>1</v>
          </cell>
        </row>
        <row r="9">
          <cell r="A9">
            <v>7</v>
          </cell>
          <cell r="B9" t="str">
            <v>LU102</v>
          </cell>
          <cell r="C9" t="str">
            <v>3" X 4" DISPENSER LABEL</v>
          </cell>
          <cell r="D9" t="str">
            <v>162</v>
          </cell>
          <cell r="E9" t="str">
            <v>EA</v>
          </cell>
          <cell r="F9" t="str">
            <v>0091</v>
          </cell>
          <cell r="G9" t="str">
            <v>1</v>
          </cell>
        </row>
        <row r="10">
          <cell r="A10">
            <v>8</v>
          </cell>
          <cell r="B10" t="str">
            <v>End of Report</v>
          </cell>
          <cell r="G10" t="str">
            <v>1</v>
          </cell>
        </row>
        <row r="11">
          <cell r="A11">
            <v>9</v>
          </cell>
          <cell r="G11" t="str">
            <v>1</v>
          </cell>
        </row>
        <row r="12">
          <cell r="A12">
            <v>10</v>
          </cell>
          <cell r="G12" t="str">
            <v>1</v>
          </cell>
        </row>
        <row r="13">
          <cell r="A13">
            <v>11</v>
          </cell>
          <cell r="G13" t="str">
            <v>1</v>
          </cell>
        </row>
        <row r="14">
          <cell r="A14">
            <v>12</v>
          </cell>
          <cell r="G14" t="str">
            <v>1</v>
          </cell>
        </row>
        <row r="15">
          <cell r="A15">
            <v>13</v>
          </cell>
          <cell r="G15" t="str">
            <v>1</v>
          </cell>
        </row>
        <row r="16">
          <cell r="A16">
            <v>14</v>
          </cell>
          <cell r="G16" t="str">
            <v>1</v>
          </cell>
        </row>
        <row r="17">
          <cell r="A17">
            <v>15</v>
          </cell>
          <cell r="G17" t="str">
            <v>1</v>
          </cell>
        </row>
        <row r="18">
          <cell r="A18">
            <v>16</v>
          </cell>
          <cell r="G18" t="str">
            <v>1</v>
          </cell>
        </row>
        <row r="19">
          <cell r="A19">
            <v>17</v>
          </cell>
          <cell r="G19" t="str">
            <v>1</v>
          </cell>
        </row>
        <row r="20">
          <cell r="A20">
            <v>18</v>
          </cell>
          <cell r="G20" t="str">
            <v>1</v>
          </cell>
        </row>
        <row r="21">
          <cell r="A21">
            <v>19</v>
          </cell>
          <cell r="G21" t="str">
            <v>1</v>
          </cell>
        </row>
        <row r="22">
          <cell r="A22">
            <v>20</v>
          </cell>
          <cell r="G22" t="str">
            <v>1</v>
          </cell>
        </row>
        <row r="23">
          <cell r="A23">
            <v>21</v>
          </cell>
          <cell r="G23" t="str">
            <v>1</v>
          </cell>
        </row>
        <row r="24">
          <cell r="A24">
            <v>22</v>
          </cell>
          <cell r="G24" t="str">
            <v>1</v>
          </cell>
        </row>
        <row r="25">
          <cell r="A25">
            <v>23</v>
          </cell>
          <cell r="G25" t="str">
            <v>1</v>
          </cell>
        </row>
        <row r="26">
          <cell r="A26">
            <v>24</v>
          </cell>
          <cell r="G26" t="str">
            <v>1</v>
          </cell>
        </row>
        <row r="27">
          <cell r="A27">
            <v>25</v>
          </cell>
          <cell r="G27" t="str">
            <v>1</v>
          </cell>
        </row>
        <row r="28">
          <cell r="A28">
            <v>26</v>
          </cell>
          <cell r="G28" t="str">
            <v>1</v>
          </cell>
        </row>
        <row r="29">
          <cell r="A29">
            <v>27</v>
          </cell>
          <cell r="G29" t="str">
            <v>2</v>
          </cell>
        </row>
        <row r="30">
          <cell r="A30">
            <v>28</v>
          </cell>
          <cell r="G30" t="str">
            <v>2</v>
          </cell>
        </row>
        <row r="31">
          <cell r="A31">
            <v>29</v>
          </cell>
          <cell r="G31" t="str">
            <v>2</v>
          </cell>
        </row>
        <row r="32">
          <cell r="A32">
            <v>30</v>
          </cell>
          <cell r="G32" t="str">
            <v>2</v>
          </cell>
        </row>
        <row r="33">
          <cell r="A33">
            <v>31</v>
          </cell>
          <cell r="G33" t="str">
            <v>2</v>
          </cell>
        </row>
        <row r="34">
          <cell r="A34">
            <v>32</v>
          </cell>
          <cell r="G34" t="str">
            <v>2</v>
          </cell>
        </row>
        <row r="35">
          <cell r="A35">
            <v>33</v>
          </cell>
          <cell r="G35" t="str">
            <v>2</v>
          </cell>
        </row>
        <row r="36">
          <cell r="A36">
            <v>34</v>
          </cell>
          <cell r="G36" t="str">
            <v>2</v>
          </cell>
        </row>
        <row r="37">
          <cell r="A37">
            <v>35</v>
          </cell>
          <cell r="G37" t="str">
            <v>2</v>
          </cell>
        </row>
        <row r="38">
          <cell r="A38">
            <v>36</v>
          </cell>
          <cell r="G38" t="str">
            <v>2</v>
          </cell>
        </row>
        <row r="39">
          <cell r="A39">
            <v>37</v>
          </cell>
          <cell r="G39" t="str">
            <v>2</v>
          </cell>
        </row>
        <row r="40">
          <cell r="A40">
            <v>38</v>
          </cell>
          <cell r="G40" t="str">
            <v>2</v>
          </cell>
        </row>
        <row r="41">
          <cell r="A41">
            <v>39</v>
          </cell>
          <cell r="G41" t="str">
            <v>2</v>
          </cell>
        </row>
        <row r="42">
          <cell r="A42">
            <v>40</v>
          </cell>
          <cell r="G42" t="str">
            <v>2</v>
          </cell>
        </row>
        <row r="43">
          <cell r="A43">
            <v>41</v>
          </cell>
          <cell r="G43" t="str">
            <v>2</v>
          </cell>
        </row>
        <row r="44">
          <cell r="A44">
            <v>42</v>
          </cell>
          <cell r="G44" t="str">
            <v>2</v>
          </cell>
        </row>
        <row r="45">
          <cell r="A45">
            <v>43</v>
          </cell>
          <cell r="G45" t="str">
            <v>2</v>
          </cell>
        </row>
        <row r="46">
          <cell r="A46">
            <v>44</v>
          </cell>
          <cell r="G46" t="str">
            <v>2</v>
          </cell>
        </row>
        <row r="47">
          <cell r="A47">
            <v>45</v>
          </cell>
          <cell r="G47" t="str">
            <v>2</v>
          </cell>
        </row>
        <row r="48">
          <cell r="A48">
            <v>46</v>
          </cell>
          <cell r="G48" t="str">
            <v>2</v>
          </cell>
        </row>
        <row r="49">
          <cell r="A49">
            <v>47</v>
          </cell>
          <cell r="G49" t="str">
            <v>2</v>
          </cell>
        </row>
        <row r="50">
          <cell r="A50">
            <v>48</v>
          </cell>
          <cell r="G50" t="str">
            <v>2</v>
          </cell>
        </row>
        <row r="51">
          <cell r="A51">
            <v>49</v>
          </cell>
          <cell r="G51" t="str">
            <v>2</v>
          </cell>
        </row>
        <row r="52">
          <cell r="A52">
            <v>50</v>
          </cell>
          <cell r="G52" t="str">
            <v>2</v>
          </cell>
        </row>
        <row r="53">
          <cell r="A53">
            <v>51</v>
          </cell>
          <cell r="G53" t="str">
            <v>2</v>
          </cell>
        </row>
        <row r="54">
          <cell r="A54">
            <v>52</v>
          </cell>
          <cell r="G54" t="str">
            <v>3</v>
          </cell>
        </row>
        <row r="55">
          <cell r="A55">
            <v>53</v>
          </cell>
          <cell r="G55" t="str">
            <v>3</v>
          </cell>
        </row>
        <row r="56">
          <cell r="A56">
            <v>54</v>
          </cell>
          <cell r="G56" t="str">
            <v>3</v>
          </cell>
        </row>
        <row r="57">
          <cell r="A57">
            <v>55</v>
          </cell>
          <cell r="G57" t="str">
            <v>3</v>
          </cell>
        </row>
        <row r="58">
          <cell r="A58">
            <v>56</v>
          </cell>
          <cell r="G58" t="str">
            <v>3</v>
          </cell>
        </row>
        <row r="59">
          <cell r="A59">
            <v>57</v>
          </cell>
          <cell r="G59" t="str">
            <v>3</v>
          </cell>
        </row>
        <row r="60">
          <cell r="A60">
            <v>58</v>
          </cell>
          <cell r="G60" t="str">
            <v>3</v>
          </cell>
        </row>
        <row r="61">
          <cell r="A61">
            <v>59</v>
          </cell>
          <cell r="G61" t="str">
            <v>3</v>
          </cell>
        </row>
        <row r="62">
          <cell r="A62">
            <v>60</v>
          </cell>
          <cell r="G62" t="str">
            <v>3</v>
          </cell>
        </row>
        <row r="63">
          <cell r="A63">
            <v>61</v>
          </cell>
          <cell r="G63" t="str">
            <v>3</v>
          </cell>
        </row>
        <row r="64">
          <cell r="A64">
            <v>62</v>
          </cell>
          <cell r="G64" t="str">
            <v>3</v>
          </cell>
        </row>
        <row r="65">
          <cell r="A65">
            <v>63</v>
          </cell>
          <cell r="G65" t="str">
            <v>3</v>
          </cell>
        </row>
        <row r="66">
          <cell r="A66">
            <v>64</v>
          </cell>
          <cell r="G66" t="str">
            <v>3</v>
          </cell>
        </row>
        <row r="67">
          <cell r="A67">
            <v>65</v>
          </cell>
          <cell r="G67" t="str">
            <v>3</v>
          </cell>
        </row>
        <row r="68">
          <cell r="A68">
            <v>66</v>
          </cell>
          <cell r="G68" t="str">
            <v>3</v>
          </cell>
        </row>
        <row r="69">
          <cell r="A69">
            <v>67</v>
          </cell>
          <cell r="G69" t="str">
            <v>3</v>
          </cell>
        </row>
        <row r="70">
          <cell r="A70">
            <v>68</v>
          </cell>
          <cell r="G70" t="str">
            <v>3</v>
          </cell>
        </row>
        <row r="71">
          <cell r="A71">
            <v>69</v>
          </cell>
          <cell r="G71" t="str">
            <v>3</v>
          </cell>
        </row>
        <row r="72">
          <cell r="A72">
            <v>70</v>
          </cell>
          <cell r="G72" t="str">
            <v>3</v>
          </cell>
        </row>
        <row r="73">
          <cell r="A73">
            <v>71</v>
          </cell>
          <cell r="G73" t="str">
            <v>3</v>
          </cell>
        </row>
        <row r="74">
          <cell r="A74">
            <v>72</v>
          </cell>
          <cell r="G74" t="str">
            <v>3</v>
          </cell>
        </row>
        <row r="75">
          <cell r="A75">
            <v>73</v>
          </cell>
          <cell r="G75" t="str">
            <v>3</v>
          </cell>
        </row>
        <row r="76">
          <cell r="A76">
            <v>74</v>
          </cell>
          <cell r="G76" t="str">
            <v>3</v>
          </cell>
        </row>
        <row r="77">
          <cell r="A77">
            <v>75</v>
          </cell>
          <cell r="G77" t="str">
            <v>3</v>
          </cell>
        </row>
        <row r="78">
          <cell r="A78">
            <v>76</v>
          </cell>
          <cell r="G78" t="str">
            <v>3</v>
          </cell>
        </row>
        <row r="79">
          <cell r="A79">
            <v>77</v>
          </cell>
          <cell r="G79" t="str">
            <v>4</v>
          </cell>
        </row>
        <row r="80">
          <cell r="A80">
            <v>78</v>
          </cell>
          <cell r="G80" t="str">
            <v>4</v>
          </cell>
        </row>
        <row r="81">
          <cell r="A81">
            <v>79</v>
          </cell>
          <cell r="G81" t="str">
            <v>4</v>
          </cell>
        </row>
        <row r="82">
          <cell r="A82">
            <v>80</v>
          </cell>
          <cell r="G82" t="str">
            <v>4</v>
          </cell>
        </row>
        <row r="83">
          <cell r="A83">
            <v>81</v>
          </cell>
          <cell r="G83" t="str">
            <v>4</v>
          </cell>
        </row>
        <row r="84">
          <cell r="A84">
            <v>82</v>
          </cell>
          <cell r="G84" t="str">
            <v>4</v>
          </cell>
        </row>
        <row r="85">
          <cell r="A85">
            <v>83</v>
          </cell>
          <cell r="G85" t="str">
            <v>4</v>
          </cell>
        </row>
        <row r="86">
          <cell r="A86">
            <v>84</v>
          </cell>
          <cell r="G86" t="str">
            <v>4</v>
          </cell>
        </row>
        <row r="87">
          <cell r="A87">
            <v>85</v>
          </cell>
          <cell r="G87" t="str">
            <v>4</v>
          </cell>
        </row>
        <row r="88">
          <cell r="A88">
            <v>86</v>
          </cell>
          <cell r="G88" t="str">
            <v>4</v>
          </cell>
        </row>
        <row r="89">
          <cell r="A89">
            <v>87</v>
          </cell>
          <cell r="G89" t="str">
            <v>4</v>
          </cell>
        </row>
        <row r="90">
          <cell r="A90">
            <v>88</v>
          </cell>
          <cell r="G90" t="str">
            <v>4</v>
          </cell>
        </row>
        <row r="91">
          <cell r="A91">
            <v>89</v>
          </cell>
          <cell r="G91" t="str">
            <v>4</v>
          </cell>
        </row>
        <row r="92">
          <cell r="A92">
            <v>90</v>
          </cell>
          <cell r="G92" t="str">
            <v>4</v>
          </cell>
        </row>
        <row r="93">
          <cell r="A93">
            <v>91</v>
          </cell>
          <cell r="G93" t="str">
            <v>4</v>
          </cell>
        </row>
        <row r="94">
          <cell r="A94">
            <v>92</v>
          </cell>
          <cell r="G94" t="str">
            <v>4</v>
          </cell>
        </row>
        <row r="95">
          <cell r="A95">
            <v>93</v>
          </cell>
          <cell r="G95" t="str">
            <v>4</v>
          </cell>
        </row>
        <row r="96">
          <cell r="A96">
            <v>94</v>
          </cell>
          <cell r="G96" t="str">
            <v>4</v>
          </cell>
        </row>
        <row r="97">
          <cell r="A97">
            <v>95</v>
          </cell>
          <cell r="G97" t="str">
            <v>4</v>
          </cell>
        </row>
        <row r="98">
          <cell r="A98">
            <v>96</v>
          </cell>
          <cell r="G98" t="str">
            <v>4</v>
          </cell>
        </row>
        <row r="99">
          <cell r="A99">
            <v>97</v>
          </cell>
          <cell r="G99" t="str">
            <v>4</v>
          </cell>
        </row>
        <row r="100">
          <cell r="A100">
            <v>98</v>
          </cell>
          <cell r="G100" t="str">
            <v>4</v>
          </cell>
        </row>
        <row r="101">
          <cell r="A101">
            <v>99</v>
          </cell>
          <cell r="G101" t="str">
            <v>4</v>
          </cell>
        </row>
        <row r="102">
          <cell r="A102">
            <v>100</v>
          </cell>
          <cell r="G102" t="str">
            <v>4</v>
          </cell>
        </row>
        <row r="103">
          <cell r="A103">
            <v>101</v>
          </cell>
          <cell r="G103" t="str">
            <v>4</v>
          </cell>
        </row>
        <row r="104">
          <cell r="A104">
            <v>102</v>
          </cell>
          <cell r="G104" t="str">
            <v>4</v>
          </cell>
        </row>
        <row r="105">
          <cell r="A105">
            <v>103</v>
          </cell>
          <cell r="G105" t="str">
            <v>4</v>
          </cell>
        </row>
        <row r="106">
          <cell r="A106">
            <v>104</v>
          </cell>
          <cell r="G106" t="str">
            <v>4</v>
          </cell>
        </row>
        <row r="107">
          <cell r="A107">
            <v>105</v>
          </cell>
          <cell r="G107" t="str">
            <v>4</v>
          </cell>
        </row>
        <row r="108">
          <cell r="A108">
            <v>106</v>
          </cell>
          <cell r="G108" t="str">
            <v>4</v>
          </cell>
        </row>
        <row r="109">
          <cell r="A109">
            <v>107</v>
          </cell>
          <cell r="G109" t="str">
            <v>4</v>
          </cell>
        </row>
        <row r="110">
          <cell r="A110">
            <v>108</v>
          </cell>
          <cell r="G110" t="str">
            <v>4</v>
          </cell>
        </row>
        <row r="111">
          <cell r="A111">
            <v>109</v>
          </cell>
          <cell r="G111" t="str">
            <v>4</v>
          </cell>
        </row>
        <row r="112">
          <cell r="A112">
            <v>110</v>
          </cell>
          <cell r="G112" t="str">
            <v>4</v>
          </cell>
        </row>
        <row r="113">
          <cell r="G113" t="str">
            <v>incomplete!</v>
          </cell>
        </row>
        <row r="114">
          <cell r="G114" t="str">
            <v>incomplete!</v>
          </cell>
        </row>
        <row r="115">
          <cell r="G115" t="str">
            <v>incomplete!</v>
          </cell>
        </row>
        <row r="116">
          <cell r="G116" t="str">
            <v>incomplete!</v>
          </cell>
        </row>
        <row r="117">
          <cell r="G117" t="str">
            <v>incomplete!</v>
          </cell>
        </row>
        <row r="118">
          <cell r="G118" t="str">
            <v>incomplete!</v>
          </cell>
        </row>
        <row r="119">
          <cell r="G119" t="str">
            <v>incomplete!</v>
          </cell>
        </row>
        <row r="120">
          <cell r="G120" t="str">
            <v>incomplete!</v>
          </cell>
        </row>
        <row r="121">
          <cell r="G121" t="str">
            <v>incomplete!</v>
          </cell>
        </row>
        <row r="122">
          <cell r="G122" t="str">
            <v>incomplete!</v>
          </cell>
        </row>
        <row r="123">
          <cell r="G123" t="str">
            <v>incomplete!</v>
          </cell>
        </row>
        <row r="124">
          <cell r="G124" t="str">
            <v>incomplete!</v>
          </cell>
        </row>
        <row r="125">
          <cell r="G125" t="str">
            <v>incomplete!</v>
          </cell>
        </row>
        <row r="126">
          <cell r="G126" t="str">
            <v>incomplete!</v>
          </cell>
        </row>
        <row r="127">
          <cell r="G127" t="str">
            <v>incomplete!</v>
          </cell>
        </row>
        <row r="128">
          <cell r="G128" t="str">
            <v>incomplete!</v>
          </cell>
        </row>
        <row r="129">
          <cell r="G129" t="str">
            <v>incomplete!</v>
          </cell>
        </row>
        <row r="130">
          <cell r="G130" t="str">
            <v>incomplete!</v>
          </cell>
        </row>
        <row r="131">
          <cell r="G131" t="str">
            <v>incomplete!</v>
          </cell>
        </row>
        <row r="132">
          <cell r="G132" t="str">
            <v>incomplete!</v>
          </cell>
        </row>
        <row r="133">
          <cell r="G133" t="str">
            <v>incomplete!</v>
          </cell>
        </row>
        <row r="134">
          <cell r="G134" t="str">
            <v>incomplete!</v>
          </cell>
        </row>
        <row r="135">
          <cell r="G135" t="str">
            <v>incomplete!</v>
          </cell>
        </row>
        <row r="136">
          <cell r="G136" t="str">
            <v>incomplete!</v>
          </cell>
        </row>
        <row r="137">
          <cell r="G137" t="str">
            <v>incomplete!</v>
          </cell>
        </row>
        <row r="138">
          <cell r="G138" t="str">
            <v>incomplete!</v>
          </cell>
        </row>
        <row r="139">
          <cell r="G139" t="str">
            <v>incomplete!</v>
          </cell>
        </row>
        <row r="140">
          <cell r="G140" t="str">
            <v>incomplete!</v>
          </cell>
        </row>
        <row r="141">
          <cell r="G141" t="str">
            <v>incomplete!</v>
          </cell>
        </row>
        <row r="142">
          <cell r="G142" t="str">
            <v>incomplete!</v>
          </cell>
        </row>
        <row r="143">
          <cell r="G143" t="str">
            <v>incomplete!</v>
          </cell>
        </row>
        <row r="144">
          <cell r="G144" t="str">
            <v>incomplete!</v>
          </cell>
        </row>
        <row r="145">
          <cell r="G145" t="str">
            <v>incomplete!</v>
          </cell>
        </row>
        <row r="146">
          <cell r="G146" t="str">
            <v>incomplete!</v>
          </cell>
        </row>
        <row r="147">
          <cell r="G147" t="str">
            <v>incomplete!</v>
          </cell>
        </row>
        <row r="148">
          <cell r="G148" t="str">
            <v>incomplete!</v>
          </cell>
        </row>
        <row r="149">
          <cell r="G149" t="str">
            <v>incomplete!</v>
          </cell>
        </row>
        <row r="150">
          <cell r="G150" t="str">
            <v>incomplete!</v>
          </cell>
        </row>
        <row r="151">
          <cell r="G151" t="str">
            <v>incomplete!</v>
          </cell>
        </row>
        <row r="152">
          <cell r="G152" t="str">
            <v>incomplete!</v>
          </cell>
        </row>
        <row r="153">
          <cell r="G153" t="str">
            <v>incomplete!</v>
          </cell>
        </row>
        <row r="154">
          <cell r="G154" t="str">
            <v>incomplete!</v>
          </cell>
        </row>
        <row r="155">
          <cell r="G155" t="str">
            <v>incomplete!</v>
          </cell>
        </row>
        <row r="156">
          <cell r="G156" t="str">
            <v>incomplete!</v>
          </cell>
        </row>
        <row r="157">
          <cell r="G157" t="str">
            <v>incomplete!</v>
          </cell>
        </row>
        <row r="158">
          <cell r="G158" t="str">
            <v>incomplete!</v>
          </cell>
        </row>
        <row r="159">
          <cell r="G159" t="str">
            <v>incomplete!</v>
          </cell>
        </row>
        <row r="160">
          <cell r="G160" t="str">
            <v>incomplete!</v>
          </cell>
        </row>
        <row r="161">
          <cell r="G161" t="str">
            <v>incomplete!</v>
          </cell>
        </row>
        <row r="162">
          <cell r="G162" t="str">
            <v>incomplete!</v>
          </cell>
        </row>
        <row r="163">
          <cell r="G163" t="str">
            <v>incomplete!</v>
          </cell>
        </row>
        <row r="164">
          <cell r="G164" t="str">
            <v>incomplete!</v>
          </cell>
        </row>
        <row r="165">
          <cell r="G165" t="str">
            <v>incomplete!</v>
          </cell>
        </row>
        <row r="166">
          <cell r="G166" t="str">
            <v>incomplete!</v>
          </cell>
        </row>
        <row r="167">
          <cell r="G167" t="str">
            <v>incomplete!</v>
          </cell>
        </row>
        <row r="168">
          <cell r="G168" t="str">
            <v>incomplete!</v>
          </cell>
        </row>
        <row r="169">
          <cell r="G169" t="str">
            <v>incomplete!</v>
          </cell>
        </row>
        <row r="170">
          <cell r="G170" t="str">
            <v>incomplete!</v>
          </cell>
        </row>
        <row r="171">
          <cell r="G171" t="str">
            <v>incomplete!</v>
          </cell>
        </row>
        <row r="172">
          <cell r="G172" t="str">
            <v>incomplete!</v>
          </cell>
        </row>
        <row r="173">
          <cell r="G173" t="str">
            <v>incomplete!</v>
          </cell>
        </row>
        <row r="174">
          <cell r="G174" t="str">
            <v>incomplete!</v>
          </cell>
        </row>
        <row r="175">
          <cell r="G175" t="str">
            <v>incomplete!</v>
          </cell>
        </row>
        <row r="176">
          <cell r="G176" t="str">
            <v>incomplete!</v>
          </cell>
        </row>
        <row r="177">
          <cell r="G177" t="str">
            <v>incomplete!</v>
          </cell>
        </row>
        <row r="178">
          <cell r="G178" t="str">
            <v>incomplete!</v>
          </cell>
        </row>
        <row r="179">
          <cell r="G179" t="str">
            <v>incomplete!</v>
          </cell>
        </row>
        <row r="180">
          <cell r="G180" t="str">
            <v>incomplete!</v>
          </cell>
        </row>
        <row r="181">
          <cell r="G181" t="str">
            <v>incomplete!</v>
          </cell>
        </row>
        <row r="182">
          <cell r="G182" t="str">
            <v>incomplete!</v>
          </cell>
        </row>
        <row r="183">
          <cell r="G183" t="str">
            <v>incomplete!</v>
          </cell>
        </row>
        <row r="184">
          <cell r="G184" t="str">
            <v>incomplete!</v>
          </cell>
        </row>
        <row r="185">
          <cell r="G185" t="str">
            <v>incomplete!</v>
          </cell>
        </row>
        <row r="186">
          <cell r="G186" t="str">
            <v>incomplete!</v>
          </cell>
        </row>
        <row r="187">
          <cell r="G187" t="str">
            <v>incomplete!</v>
          </cell>
        </row>
        <row r="188">
          <cell r="G188" t="str">
            <v>incomplete!</v>
          </cell>
        </row>
        <row r="189">
          <cell r="G189" t="str">
            <v>incomplete!</v>
          </cell>
        </row>
        <row r="190">
          <cell r="G190" t="str">
            <v>incomplete!</v>
          </cell>
        </row>
        <row r="191">
          <cell r="G191" t="str">
            <v>incomplete!</v>
          </cell>
        </row>
        <row r="192">
          <cell r="G192" t="str">
            <v>incomplete!</v>
          </cell>
        </row>
        <row r="193">
          <cell r="G193" t="str">
            <v>incomplete!</v>
          </cell>
        </row>
        <row r="194">
          <cell r="G194" t="str">
            <v>incomplete!</v>
          </cell>
        </row>
        <row r="195">
          <cell r="G195" t="str">
            <v>incomplete!</v>
          </cell>
        </row>
        <row r="196">
          <cell r="G196" t="str">
            <v>incomplete!</v>
          </cell>
        </row>
        <row r="197">
          <cell r="G197" t="str">
            <v>incomplete!</v>
          </cell>
        </row>
      </sheetData>
      <sheetData sheetId="14" refreshError="1"/>
      <sheetData sheetId="15">
        <row r="1">
          <cell r="A1" t="str">
            <v>061319-1B</v>
          </cell>
          <cell r="B1" t="str">
            <v>FLOWONIX PROMETRA KIT</v>
          </cell>
          <cell r="C1" t="str">
            <v>EA</v>
          </cell>
        </row>
        <row r="2">
          <cell r="A2" t="str">
            <v>061319-1C</v>
          </cell>
          <cell r="B2" t="str">
            <v>FLOWONIX PROMETRA KIT</v>
          </cell>
          <cell r="C2" t="str">
            <v>EA</v>
          </cell>
        </row>
        <row r="3">
          <cell r="A3" t="str">
            <v>061319-1D</v>
          </cell>
          <cell r="B3" t="str">
            <v>FLOWONIX PROMETRA KIT</v>
          </cell>
          <cell r="C3" t="str">
            <v>EA</v>
          </cell>
        </row>
        <row r="4">
          <cell r="A4" t="str">
            <v>061319-1E</v>
          </cell>
          <cell r="B4" t="str">
            <v>FLOWONIX PROMETRA KIT</v>
          </cell>
          <cell r="C4" t="str">
            <v>EA</v>
          </cell>
        </row>
        <row r="5">
          <cell r="A5" t="str">
            <v>1052A</v>
          </cell>
          <cell r="B5" t="str">
            <v>2 SIDED SHAVE PREP RAZOR</v>
          </cell>
          <cell r="C5" t="str">
            <v>EA</v>
          </cell>
          <cell r="D5">
            <v>29</v>
          </cell>
          <cell r="E5">
            <v>200</v>
          </cell>
        </row>
        <row r="6">
          <cell r="A6" t="str">
            <v>1052B</v>
          </cell>
          <cell r="B6" t="str">
            <v>T/Antibiotic Ointment .9G</v>
          </cell>
          <cell r="C6" t="str">
            <v>EA</v>
          </cell>
          <cell r="D6">
            <v>28</v>
          </cell>
          <cell r="E6">
            <v>80</v>
          </cell>
        </row>
        <row r="7">
          <cell r="A7" t="str">
            <v>1052C</v>
          </cell>
          <cell r="B7" t="str">
            <v>4" Cross A/Retractor, S/P</v>
          </cell>
          <cell r="C7" t="str">
            <v>EA</v>
          </cell>
          <cell r="D7">
            <v>28</v>
          </cell>
          <cell r="E7">
            <v>314</v>
          </cell>
        </row>
        <row r="8">
          <cell r="A8" t="str">
            <v>1052D</v>
          </cell>
          <cell r="B8" t="str">
            <v>3-0 Redilon B/Suture 18"</v>
          </cell>
          <cell r="C8" t="str">
            <v>EA</v>
          </cell>
          <cell r="D8">
            <v>14</v>
          </cell>
          <cell r="E8">
            <v>411</v>
          </cell>
        </row>
        <row r="9">
          <cell r="A9" t="str">
            <v>1052E</v>
          </cell>
          <cell r="B9" t="str">
            <v>Content Sheet Color</v>
          </cell>
          <cell r="C9" t="str">
            <v>EA</v>
          </cell>
        </row>
        <row r="10">
          <cell r="A10" t="str">
            <v>1056A</v>
          </cell>
          <cell r="B10" t="str">
            <v>1/4" Packing Strip</v>
          </cell>
          <cell r="C10" t="str">
            <v>YD</v>
          </cell>
          <cell r="D10">
            <v>34</v>
          </cell>
          <cell r="E10">
            <v>8</v>
          </cell>
        </row>
        <row r="11">
          <cell r="A11" t="str">
            <v>1101A</v>
          </cell>
          <cell r="B11" t="str">
            <v>HARTMEN NASAL SPECULUM</v>
          </cell>
          <cell r="C11" t="str">
            <v>EA</v>
          </cell>
          <cell r="D11">
            <v>26</v>
          </cell>
          <cell r="E11">
            <v>233</v>
          </cell>
        </row>
        <row r="12">
          <cell r="A12" t="str">
            <v>1101B</v>
          </cell>
          <cell r="B12" t="str">
            <v>5.5" GRUENWALD NASAL FCEP</v>
          </cell>
          <cell r="C12" t="str">
            <v>EA</v>
          </cell>
          <cell r="D12">
            <v>34</v>
          </cell>
          <cell r="E12">
            <v>299</v>
          </cell>
        </row>
        <row r="13">
          <cell r="A13" t="str">
            <v>1104-1</v>
          </cell>
          <cell r="B13" t="str">
            <v>UNPTD CTN275TEST</v>
          </cell>
          <cell r="C13" t="str">
            <v>EA</v>
          </cell>
          <cell r="D13" t="str">
            <v>MZ3</v>
          </cell>
          <cell r="E13">
            <v>708</v>
          </cell>
        </row>
        <row r="14">
          <cell r="A14" t="str">
            <v>1107A</v>
          </cell>
          <cell r="B14" t="str">
            <v>3-0 Redisilk 18" Suture B</v>
          </cell>
          <cell r="C14" t="str">
            <v>EA</v>
          </cell>
          <cell r="D14">
            <v>14</v>
          </cell>
          <cell r="E14">
            <v>213</v>
          </cell>
        </row>
        <row r="15">
          <cell r="A15" t="str">
            <v>1108A</v>
          </cell>
          <cell r="B15" t="str">
            <v>POVIDONE IOD SOLUTION 2OZ</v>
          </cell>
          <cell r="C15" t="str">
            <v>EA</v>
          </cell>
          <cell r="D15">
            <v>14</v>
          </cell>
          <cell r="E15">
            <v>118</v>
          </cell>
        </row>
        <row r="16">
          <cell r="A16" t="str">
            <v>1108C</v>
          </cell>
          <cell r="B16" t="str">
            <v>25GX1"NEEDLE STERILE</v>
          </cell>
          <cell r="C16" t="str">
            <v>EA</v>
          </cell>
          <cell r="D16" t="str">
            <v>N4</v>
          </cell>
          <cell r="E16">
            <v>88</v>
          </cell>
        </row>
        <row r="17">
          <cell r="A17" t="str">
            <v>1119A-1</v>
          </cell>
          <cell r="B17" t="str">
            <v>ROUNDSTICK 11/2"X/RAY/SP</v>
          </cell>
          <cell r="C17" t="str">
            <v>EA</v>
          </cell>
          <cell r="D17">
            <v>20</v>
          </cell>
          <cell r="E17">
            <v>2725</v>
          </cell>
        </row>
        <row r="18">
          <cell r="A18" t="str">
            <v>1119B</v>
          </cell>
          <cell r="B18" t="str">
            <v>SPIKE ACESS DEVICE STER</v>
          </cell>
          <cell r="C18" t="str">
            <v>EA</v>
          </cell>
          <cell r="D18">
            <v>14</v>
          </cell>
          <cell r="E18">
            <v>2265</v>
          </cell>
        </row>
        <row r="19">
          <cell r="A19" t="str">
            <v>1119C</v>
          </cell>
          <cell r="B19" t="str">
            <v>21G X 1.5 MAGELLAN NEEDLE</v>
          </cell>
          <cell r="C19" t="str">
            <v>EA</v>
          </cell>
          <cell r="D19" t="str">
            <v>N5</v>
          </cell>
          <cell r="E19">
            <v>3111</v>
          </cell>
        </row>
        <row r="20">
          <cell r="A20" t="str">
            <v>1123</v>
          </cell>
          <cell r="B20" t="str">
            <v>2x2 Nu Gauze Sponges</v>
          </cell>
          <cell r="C20" t="str">
            <v>EA</v>
          </cell>
          <cell r="D20">
            <v>28</v>
          </cell>
          <cell r="E20">
            <v>19756</v>
          </cell>
        </row>
        <row r="21">
          <cell r="A21" t="str">
            <v>1155A-1</v>
          </cell>
          <cell r="B21" t="str">
            <v>1.175X.05 LABEL 27SHEET</v>
          </cell>
          <cell r="C21" t="str">
            <v>EA</v>
          </cell>
        </row>
        <row r="22">
          <cell r="A22" t="str">
            <v>1205A</v>
          </cell>
          <cell r="B22" t="str">
            <v>DEPO MEDROL 80MG LABEL</v>
          </cell>
          <cell r="C22" t="str">
            <v>EA</v>
          </cell>
        </row>
        <row r="23">
          <cell r="A23" t="str">
            <v>1205B</v>
          </cell>
          <cell r="B23" t="str">
            <v>DEPO MEDROL 40MG LABEL</v>
          </cell>
          <cell r="C23" t="str">
            <v>EA</v>
          </cell>
        </row>
        <row r="24">
          <cell r="A24" t="str">
            <v>1205G</v>
          </cell>
          <cell r="B24" t="str">
            <v>LAB1.75X0.5DEXAM10MG</v>
          </cell>
          <cell r="C24" t="str">
            <v>EA</v>
          </cell>
        </row>
        <row r="25">
          <cell r="A25" t="str">
            <v>1205H</v>
          </cell>
          <cell r="B25" t="str">
            <v>LAB1.75X0.5DEXAM20MG</v>
          </cell>
          <cell r="C25" t="str">
            <v>EA</v>
          </cell>
        </row>
        <row r="26">
          <cell r="A26" t="str">
            <v>1229A</v>
          </cell>
          <cell r="B26" t="str">
            <v>6" EXT SETW/F&amp;M LUER LOCK</v>
          </cell>
          <cell r="C26" t="str">
            <v>EA</v>
          </cell>
        </row>
        <row r="27">
          <cell r="A27" t="str">
            <v>1233A</v>
          </cell>
          <cell r="B27" t="str">
            <v>1-9/16 X 3.5 P/M LABEL</v>
          </cell>
          <cell r="C27" t="str">
            <v>EA</v>
          </cell>
          <cell r="D27">
            <v>5</v>
          </cell>
          <cell r="E27">
            <v>45553</v>
          </cell>
        </row>
        <row r="28">
          <cell r="A28" t="str">
            <v>1264B</v>
          </cell>
          <cell r="B28" t="str">
            <v>2 1/2" X 2 3/4" TEGADERM</v>
          </cell>
          <cell r="C28" t="str">
            <v>EA</v>
          </cell>
        </row>
        <row r="29">
          <cell r="A29" t="str">
            <v>1281</v>
          </cell>
          <cell r="B29" t="str">
            <v>2X2 6PLY PRE-SPLIT GAUZE</v>
          </cell>
          <cell r="C29" t="str">
            <v>EA</v>
          </cell>
          <cell r="D29">
            <v>24</v>
          </cell>
          <cell r="E29">
            <v>5777</v>
          </cell>
        </row>
        <row r="30">
          <cell r="A30" t="str">
            <v>1291A</v>
          </cell>
          <cell r="B30" t="str">
            <v>OMNIPAQUE 300 L/1.75X0.5</v>
          </cell>
          <cell r="C30" t="str">
            <v>EA</v>
          </cell>
        </row>
        <row r="31">
          <cell r="A31" t="str">
            <v>1303A-1</v>
          </cell>
          <cell r="B31" t="str">
            <v>DRAPE SHEET 55"X75"</v>
          </cell>
          <cell r="C31" t="str">
            <v>EA</v>
          </cell>
          <cell r="D31">
            <v>19</v>
          </cell>
          <cell r="E31">
            <v>2453</v>
          </cell>
        </row>
        <row r="32">
          <cell r="A32" t="str">
            <v>1311A</v>
          </cell>
          <cell r="B32" t="str">
            <v>MYCO 18GX3.5" TUOHY/REMWG</v>
          </cell>
          <cell r="C32" t="str">
            <v>EA</v>
          </cell>
          <cell r="D32" t="str">
            <v>N1</v>
          </cell>
          <cell r="E32">
            <v>231</v>
          </cell>
        </row>
        <row r="33">
          <cell r="A33" t="str">
            <v>1330C</v>
          </cell>
          <cell r="B33" t="str">
            <v>7MM STRAIGHT CURETTE</v>
          </cell>
          <cell r="C33" t="str">
            <v>EA</v>
          </cell>
          <cell r="D33">
            <v>32</v>
          </cell>
          <cell r="E33">
            <v>7743</v>
          </cell>
        </row>
        <row r="34">
          <cell r="A34" t="str">
            <v>1340C</v>
          </cell>
          <cell r="B34" t="str">
            <v>8MM STRAIGHT CURETTE</v>
          </cell>
          <cell r="C34" t="str">
            <v>EA</v>
          </cell>
          <cell r="D34">
            <v>62</v>
          </cell>
          <cell r="E34">
            <v>12169</v>
          </cell>
        </row>
        <row r="35">
          <cell r="A35" t="str">
            <v>1346C</v>
          </cell>
          <cell r="B35" t="str">
            <v>LABEL PRINT CELESTONE</v>
          </cell>
          <cell r="C35" t="str">
            <v>EA</v>
          </cell>
        </row>
        <row r="36">
          <cell r="A36" t="str">
            <v>1346F</v>
          </cell>
          <cell r="B36" t="str">
            <v>LABEL PRT MARCAINE 025%</v>
          </cell>
          <cell r="C36" t="str">
            <v>EA</v>
          </cell>
        </row>
        <row r="37">
          <cell r="A37" t="str">
            <v>1350C</v>
          </cell>
          <cell r="B37" t="str">
            <v>9MM STRAIGHT CURETTE</v>
          </cell>
          <cell r="C37" t="str">
            <v>EA</v>
          </cell>
          <cell r="D37">
            <v>25</v>
          </cell>
          <cell r="E37">
            <v>10154</v>
          </cell>
        </row>
        <row r="38">
          <cell r="A38" t="str">
            <v>1360C</v>
          </cell>
          <cell r="B38" t="str">
            <v>10MM STRAIGHT CURETTE</v>
          </cell>
          <cell r="C38" t="str">
            <v>EA</v>
          </cell>
          <cell r="D38">
            <v>59</v>
          </cell>
          <cell r="E38">
            <v>6299</v>
          </cell>
        </row>
        <row r="39">
          <cell r="A39" t="str">
            <v>1370C</v>
          </cell>
          <cell r="B39" t="str">
            <v>11MM STRAIGHT CURETTE</v>
          </cell>
          <cell r="C39" t="str">
            <v>EA</v>
          </cell>
          <cell r="D39">
            <v>61</v>
          </cell>
          <cell r="E39">
            <v>5969</v>
          </cell>
        </row>
        <row r="40">
          <cell r="A40" t="str">
            <v>1380C</v>
          </cell>
          <cell r="B40" t="str">
            <v>12MM STRAIGHT CURETTE</v>
          </cell>
          <cell r="C40" t="str">
            <v>EA</v>
          </cell>
          <cell r="D40">
            <v>59</v>
          </cell>
          <cell r="E40">
            <v>7349</v>
          </cell>
        </row>
        <row r="41">
          <cell r="A41" t="str">
            <v>1390C</v>
          </cell>
          <cell r="B41" t="str">
            <v>14MM STRAIGHT CURETTE</v>
          </cell>
          <cell r="C41" t="str">
            <v>EA</v>
          </cell>
          <cell r="D41">
            <v>23</v>
          </cell>
          <cell r="E41">
            <v>9398</v>
          </cell>
        </row>
        <row r="42">
          <cell r="A42" t="str">
            <v>1401A</v>
          </cell>
          <cell r="B42" t="str">
            <v>DYNAFLEX G2755 RESIN</v>
          </cell>
          <cell r="C42" t="str">
            <v>LB</v>
          </cell>
        </row>
        <row r="43">
          <cell r="A43" t="str">
            <v>1410B-2</v>
          </cell>
          <cell r="B43" t="str">
            <v>1OZ BULB SYR ASSEM/N/LOGO</v>
          </cell>
          <cell r="C43" t="str">
            <v>EA</v>
          </cell>
          <cell r="D43">
            <v>50</v>
          </cell>
          <cell r="E43">
            <v>7107</v>
          </cell>
        </row>
        <row r="44">
          <cell r="A44" t="str">
            <v>1410B-2</v>
          </cell>
          <cell r="B44" t="str">
            <v>1OZ BULB SYR ASSEM/N/LOGO</v>
          </cell>
          <cell r="C44" t="str">
            <v>EA</v>
          </cell>
          <cell r="D44" t="str">
            <v>149PKG</v>
          </cell>
          <cell r="E44">
            <v>800</v>
          </cell>
        </row>
        <row r="45">
          <cell r="A45" t="str">
            <v>1411A</v>
          </cell>
          <cell r="B45" t="str">
            <v>9 MIL SURLYN FILM G/2102</v>
          </cell>
          <cell r="C45" t="str">
            <v>LB</v>
          </cell>
          <cell r="D45">
            <v>35</v>
          </cell>
          <cell r="E45">
            <v>5764</v>
          </cell>
        </row>
        <row r="46">
          <cell r="A46" t="str">
            <v>1420C-1</v>
          </cell>
          <cell r="B46" t="str">
            <v>BLUE PVC 3305C-62NT</v>
          </cell>
          <cell r="C46" t="str">
            <v>LB</v>
          </cell>
          <cell r="D46">
            <v>145</v>
          </cell>
          <cell r="E46">
            <v>3310</v>
          </cell>
        </row>
        <row r="47">
          <cell r="A47" t="str">
            <v>1421A</v>
          </cell>
          <cell r="B47" t="str">
            <v>2 OZ ROUNDED TOP</v>
          </cell>
          <cell r="C47" t="str">
            <v>EA</v>
          </cell>
          <cell r="D47">
            <v>144</v>
          </cell>
          <cell r="E47">
            <v>3200</v>
          </cell>
        </row>
        <row r="48">
          <cell r="A48" t="str">
            <v>1421BN</v>
          </cell>
          <cell r="B48" t="str">
            <v>2OZ BULB SYRINGE</v>
          </cell>
          <cell r="C48" t="str">
            <v>EA</v>
          </cell>
          <cell r="D48" t="str">
            <v>F14</v>
          </cell>
          <cell r="E48">
            <v>45953</v>
          </cell>
        </row>
        <row r="49">
          <cell r="A49" t="str">
            <v>1421BN</v>
          </cell>
          <cell r="B49" t="str">
            <v>2OZ BULB SYRINGE</v>
          </cell>
          <cell r="C49" t="str">
            <v>EA</v>
          </cell>
          <cell r="D49" t="str">
            <v>149PKG</v>
          </cell>
          <cell r="E49">
            <v>1055</v>
          </cell>
        </row>
        <row r="50">
          <cell r="A50" t="str">
            <v>1421D-1</v>
          </cell>
          <cell r="B50" t="str">
            <v>BLUE PVC 3305C-65NT</v>
          </cell>
          <cell r="C50" t="str">
            <v>LB</v>
          </cell>
          <cell r="D50">
            <v>145</v>
          </cell>
          <cell r="E50">
            <v>1587</v>
          </cell>
        </row>
        <row r="51">
          <cell r="A51" t="str">
            <v>1421T</v>
          </cell>
          <cell r="B51" t="str">
            <v>2OZ BOTTOM TIP</v>
          </cell>
          <cell r="C51" t="str">
            <v>EA</v>
          </cell>
        </row>
        <row r="52">
          <cell r="A52" t="str">
            <v>1422A</v>
          </cell>
          <cell r="B52" t="str">
            <v>18GX1-1/2"STER NEEDLE</v>
          </cell>
          <cell r="C52" t="str">
            <v>EA</v>
          </cell>
          <cell r="D52" t="str">
            <v>N1</v>
          </cell>
          <cell r="E52">
            <v>233</v>
          </cell>
        </row>
        <row r="53">
          <cell r="A53" t="str">
            <v>1422B</v>
          </cell>
          <cell r="B53" t="str">
            <v>6" BLUNT EYE PROBE</v>
          </cell>
          <cell r="C53" t="str">
            <v>EA</v>
          </cell>
          <cell r="D53">
            <v>38</v>
          </cell>
          <cell r="E53">
            <v>739</v>
          </cell>
        </row>
        <row r="54">
          <cell r="A54" t="str">
            <v>1430C</v>
          </cell>
          <cell r="B54" t="str">
            <v>GREEN PVC 3201C-55NT</v>
          </cell>
          <cell r="C54" t="str">
            <v>LB</v>
          </cell>
          <cell r="D54">
            <v>145</v>
          </cell>
          <cell r="E54">
            <v>6971</v>
          </cell>
        </row>
        <row r="55">
          <cell r="A55" t="str">
            <v>1431B-1</v>
          </cell>
          <cell r="B55" t="str">
            <v>N/STER 3OZ BULB SYRINGE</v>
          </cell>
          <cell r="C55" t="str">
            <v>EA</v>
          </cell>
          <cell r="D55" t="str">
            <v>F16</v>
          </cell>
          <cell r="E55">
            <v>36900</v>
          </cell>
        </row>
        <row r="56">
          <cell r="A56" t="str">
            <v>1431B-1</v>
          </cell>
          <cell r="B56" t="str">
            <v>N/STER 3OZ BULB SYRINGE</v>
          </cell>
          <cell r="C56" t="str">
            <v>EA</v>
          </cell>
          <cell r="D56" t="str">
            <v>F15</v>
          </cell>
          <cell r="E56">
            <v>12740</v>
          </cell>
        </row>
        <row r="57">
          <cell r="A57" t="str">
            <v>1431B-1</v>
          </cell>
          <cell r="B57" t="str">
            <v>N/STER 3OZ BULB SYRINGE</v>
          </cell>
          <cell r="C57" t="str">
            <v>EA</v>
          </cell>
          <cell r="D57" t="str">
            <v>149PKG</v>
          </cell>
          <cell r="E57">
            <v>5360</v>
          </cell>
        </row>
        <row r="58">
          <cell r="A58" t="str">
            <v>1431D</v>
          </cell>
          <cell r="B58" t="str">
            <v>3305A-70NT GREEN 1260 PVC</v>
          </cell>
          <cell r="C58" t="str">
            <v>LB</v>
          </cell>
          <cell r="D58">
            <v>145</v>
          </cell>
          <cell r="E58">
            <v>3800</v>
          </cell>
        </row>
        <row r="59">
          <cell r="A59" t="str">
            <v>1439</v>
          </cell>
          <cell r="B59" t="str">
            <v>Unprintd Shippr Ctn/Bulbs</v>
          </cell>
          <cell r="C59" t="str">
            <v>EA</v>
          </cell>
          <cell r="D59" t="str">
            <v>MZ3</v>
          </cell>
          <cell r="E59">
            <v>516</v>
          </cell>
        </row>
        <row r="60">
          <cell r="A60" t="str">
            <v>1442</v>
          </cell>
          <cell r="B60" t="str">
            <v>12x6x18 Red P.E Bag w/tie</v>
          </cell>
          <cell r="C60" t="str">
            <v>EA</v>
          </cell>
          <cell r="D60">
            <v>21</v>
          </cell>
          <cell r="E60">
            <v>11936</v>
          </cell>
        </row>
        <row r="61">
          <cell r="A61" t="str">
            <v>1479A</v>
          </cell>
          <cell r="B61" t="str">
            <v>17GX31/2"TUOHY W/FX WING</v>
          </cell>
          <cell r="C61" t="str">
            <v>EA</v>
          </cell>
        </row>
        <row r="62">
          <cell r="A62" t="str">
            <v>1481A-1</v>
          </cell>
          <cell r="B62" t="str">
            <v>R/TOP 2OZ BULB SYRINGE</v>
          </cell>
          <cell r="C62" t="str">
            <v>EA</v>
          </cell>
        </row>
        <row r="63">
          <cell r="A63" t="str">
            <v>1481B</v>
          </cell>
          <cell r="B63" t="str">
            <v>ASSEM 2OZ RED BLEND B/SYR</v>
          </cell>
          <cell r="C63" t="str">
            <v>EA</v>
          </cell>
          <cell r="D63">
            <v>54</v>
          </cell>
          <cell r="E63">
            <v>8400</v>
          </cell>
        </row>
        <row r="64">
          <cell r="A64" t="str">
            <v>1481B</v>
          </cell>
          <cell r="B64" t="str">
            <v>ASSEM 2OZ RED BLEND B/SYR</v>
          </cell>
          <cell r="C64" t="str">
            <v>EA</v>
          </cell>
          <cell r="D64" t="str">
            <v>149PKG</v>
          </cell>
          <cell r="E64">
            <v>2936</v>
          </cell>
        </row>
        <row r="65">
          <cell r="A65" t="str">
            <v>1481B</v>
          </cell>
          <cell r="B65" t="str">
            <v>ASSEM 2OZ RED BLEND B/SYR</v>
          </cell>
          <cell r="C65" t="str">
            <v>EA</v>
          </cell>
          <cell r="D65">
            <v>64</v>
          </cell>
          <cell r="E65">
            <v>2484</v>
          </cell>
        </row>
        <row r="66">
          <cell r="A66" t="str">
            <v>1481T-1</v>
          </cell>
          <cell r="B66" t="str">
            <v>TIP 2OZ RED BULB SYRINGE</v>
          </cell>
          <cell r="C66" t="str">
            <v>EA</v>
          </cell>
        </row>
        <row r="67">
          <cell r="A67" t="str">
            <v>1487A-1</v>
          </cell>
          <cell r="B67" t="str">
            <v>13"SMALL BORE EXT SET</v>
          </cell>
          <cell r="C67" t="str">
            <v>EA</v>
          </cell>
          <cell r="D67">
            <v>18</v>
          </cell>
          <cell r="E67">
            <v>6703</v>
          </cell>
        </row>
        <row r="68">
          <cell r="A68" t="str">
            <v>1491A</v>
          </cell>
          <cell r="B68" t="str">
            <v>R/TOP 3OZ K/BLEND B/SYR</v>
          </cell>
          <cell r="C68" t="str">
            <v>EA</v>
          </cell>
        </row>
        <row r="69">
          <cell r="A69" t="str">
            <v>1491B</v>
          </cell>
          <cell r="B69" t="str">
            <v>ASSEM 3OZ K/BLEND B/SYR</v>
          </cell>
          <cell r="C69" t="str">
            <v>EA</v>
          </cell>
          <cell r="D69">
            <v>64</v>
          </cell>
          <cell r="E69">
            <v>1600</v>
          </cell>
        </row>
        <row r="70">
          <cell r="A70" t="str">
            <v>1491T</v>
          </cell>
          <cell r="B70" t="str">
            <v>TIP 3OZ K/BLEND B/SYR.</v>
          </cell>
          <cell r="C70" t="str">
            <v>EA</v>
          </cell>
        </row>
        <row r="71">
          <cell r="A71" t="str">
            <v>1495B</v>
          </cell>
          <cell r="B71" t="str">
            <v>12"SM/BORE/W/R/M@F EX/SET</v>
          </cell>
          <cell r="C71" t="str">
            <v>EA</v>
          </cell>
          <cell r="D71">
            <v>21</v>
          </cell>
          <cell r="E71">
            <v>6126</v>
          </cell>
        </row>
        <row r="72">
          <cell r="A72" t="str">
            <v>1502-2</v>
          </cell>
          <cell r="B72" t="str">
            <v>1/2" HANDLE NEW-STYLE</v>
          </cell>
          <cell r="C72" t="str">
            <v>EA</v>
          </cell>
          <cell r="D72">
            <v>50</v>
          </cell>
          <cell r="E72">
            <v>57125</v>
          </cell>
        </row>
        <row r="73">
          <cell r="A73" t="str">
            <v>1502HF-2</v>
          </cell>
          <cell r="B73" t="str">
            <v>1/2" HANDLE FITMENT</v>
          </cell>
          <cell r="C73" t="str">
            <v>EA</v>
          </cell>
        </row>
        <row r="74">
          <cell r="A74" t="str">
            <v>1502TA-3</v>
          </cell>
          <cell r="B74" t="str">
            <v>1/2" TUBING ADAPTOR</v>
          </cell>
          <cell r="C74" t="str">
            <v>EA</v>
          </cell>
          <cell r="D74">
            <v>53</v>
          </cell>
          <cell r="E74">
            <v>321724</v>
          </cell>
        </row>
        <row r="75">
          <cell r="A75" t="str">
            <v>1505B</v>
          </cell>
          <cell r="B75" t="str">
            <v>EN-3393 MARCN/DEX INST</v>
          </cell>
          <cell r="C75" t="str">
            <v>EA</v>
          </cell>
          <cell r="D75">
            <v>6</v>
          </cell>
          <cell r="E75">
            <v>867</v>
          </cell>
        </row>
        <row r="76">
          <cell r="A76" t="str">
            <v>1505D</v>
          </cell>
          <cell r="B76" t="str">
            <v>SPINAL/EPIDURAL NDL SET</v>
          </cell>
          <cell r="C76" t="str">
            <v>EA</v>
          </cell>
        </row>
        <row r="77">
          <cell r="A77" t="str">
            <v>1505E</v>
          </cell>
          <cell r="B77" t="str">
            <v>25GX411/16" WHITACRE NDLE</v>
          </cell>
          <cell r="C77" t="str">
            <v>EA</v>
          </cell>
          <cell r="D77" t="str">
            <v>N1</v>
          </cell>
          <cell r="E77">
            <v>17</v>
          </cell>
        </row>
        <row r="78">
          <cell r="A78" t="str">
            <v>1505G</v>
          </cell>
          <cell r="B78" t="str">
            <v>CATHETER &amp; THREAD A/GUIDE</v>
          </cell>
          <cell r="C78" t="str">
            <v>EA</v>
          </cell>
          <cell r="D78">
            <v>27</v>
          </cell>
          <cell r="E78">
            <v>328</v>
          </cell>
        </row>
        <row r="79">
          <cell r="A79" t="str">
            <v>1505H</v>
          </cell>
          <cell r="B79" t="str">
            <v>17GX3 1/2" E/NEEDLE W/P/W</v>
          </cell>
          <cell r="C79" t="str">
            <v>EA</v>
          </cell>
          <cell r="D79" t="str">
            <v>N6</v>
          </cell>
          <cell r="E79">
            <v>140</v>
          </cell>
        </row>
        <row r="80">
          <cell r="A80" t="str">
            <v>1505J</v>
          </cell>
          <cell r="B80" t="str">
            <v>19G STINGRAY CONNECTOR</v>
          </cell>
          <cell r="C80" t="str">
            <v>EA</v>
          </cell>
          <cell r="D80">
            <v>27</v>
          </cell>
          <cell r="E80">
            <v>175</v>
          </cell>
        </row>
        <row r="81">
          <cell r="A81" t="str">
            <v>1505J-1</v>
          </cell>
          <cell r="B81" t="str">
            <v>NEXUS NEURAXIAL CATH CONN</v>
          </cell>
          <cell r="C81" t="str">
            <v>EA</v>
          </cell>
          <cell r="D81">
            <v>28</v>
          </cell>
          <cell r="E81">
            <v>261</v>
          </cell>
        </row>
        <row r="82">
          <cell r="A82" t="str">
            <v>1507B</v>
          </cell>
          <cell r="B82" t="str">
            <v>20GX11/4"INTROD/N/W/A/HUB</v>
          </cell>
          <cell r="C82" t="str">
            <v>EA</v>
          </cell>
          <cell r="D82" t="str">
            <v>N1</v>
          </cell>
          <cell r="E82">
            <v>510</v>
          </cell>
        </row>
        <row r="83">
          <cell r="A83" t="str">
            <v>1507C</v>
          </cell>
          <cell r="B83" t="str">
            <v>4X10 PET/LDPE BAG</v>
          </cell>
          <cell r="C83" t="str">
            <v>EA</v>
          </cell>
          <cell r="D83">
            <v>21</v>
          </cell>
          <cell r="E83">
            <v>750</v>
          </cell>
        </row>
        <row r="84">
          <cell r="A84" t="str">
            <v>1507D</v>
          </cell>
          <cell r="B84" t="str">
            <v>EN-0118 INST 5 ML LIDOCN</v>
          </cell>
          <cell r="C84" t="str">
            <v>EA</v>
          </cell>
          <cell r="D84">
            <v>6</v>
          </cell>
          <cell r="E84">
            <v>2451</v>
          </cell>
        </row>
        <row r="85">
          <cell r="A85" t="str">
            <v>1511-1</v>
          </cell>
          <cell r="B85" t="str">
            <v>UNPRINTED CTN</v>
          </cell>
          <cell r="C85" t="str">
            <v>EA</v>
          </cell>
          <cell r="D85" t="str">
            <v>MZ1</v>
          </cell>
          <cell r="E85">
            <v>1556</v>
          </cell>
        </row>
        <row r="86">
          <cell r="A86" t="str">
            <v>1516</v>
          </cell>
          <cell r="B86" t="str">
            <v>5MIL PLYLENE</v>
          </cell>
          <cell r="C86" t="str">
            <v>LB</v>
          </cell>
          <cell r="D86">
            <v>35</v>
          </cell>
          <cell r="E86">
            <v>4192</v>
          </cell>
        </row>
        <row r="87">
          <cell r="A87" t="str">
            <v>1517HS-2</v>
          </cell>
          <cell r="B87" t="str">
            <v>HANDLE SHAFT-NEW STYLE</v>
          </cell>
          <cell r="C87" t="str">
            <v>EA</v>
          </cell>
        </row>
        <row r="88">
          <cell r="A88" t="str">
            <v>1517IR-2</v>
          </cell>
          <cell r="B88" t="str">
            <v>INSERT RING-NEW-STYLE</v>
          </cell>
          <cell r="C88" t="str">
            <v>EA</v>
          </cell>
        </row>
        <row r="89">
          <cell r="A89" t="str">
            <v>1517SC-2</v>
          </cell>
          <cell r="B89" t="str">
            <v>SLIDE COLLAR-NEW STYLE</v>
          </cell>
          <cell r="C89" t="str">
            <v>EA</v>
          </cell>
        </row>
        <row r="90">
          <cell r="A90" t="str">
            <v>1526A</v>
          </cell>
          <cell r="B90" t="str">
            <v>TEGADERM W/BORDER4X4 3/4"</v>
          </cell>
          <cell r="C90" t="str">
            <v>EA</v>
          </cell>
          <cell r="D90">
            <v>14</v>
          </cell>
          <cell r="E90">
            <v>569</v>
          </cell>
        </row>
        <row r="91">
          <cell r="A91" t="str">
            <v>1527A</v>
          </cell>
          <cell r="B91" t="str">
            <v>30ML.9%SODIUM C/W/PL/V RX</v>
          </cell>
          <cell r="C91" t="str">
            <v>EA</v>
          </cell>
          <cell r="D91" t="str">
            <v>DRUGS</v>
          </cell>
          <cell r="E91">
            <v>3935</v>
          </cell>
        </row>
        <row r="92">
          <cell r="A92" t="str">
            <v>1527B</v>
          </cell>
          <cell r="B92" t="str">
            <v>EN-5812 SOD CHL. INSERT</v>
          </cell>
          <cell r="C92" t="str">
            <v>EA</v>
          </cell>
          <cell r="D92">
            <v>6</v>
          </cell>
          <cell r="E92">
            <v>1184</v>
          </cell>
        </row>
        <row r="93">
          <cell r="A93" t="str">
            <v>1531A-1</v>
          </cell>
          <cell r="B93" t="str">
            <v>1 7/8"X22" ADH BAND LF</v>
          </cell>
          <cell r="C93" t="str">
            <v>EA</v>
          </cell>
          <cell r="D93">
            <v>20</v>
          </cell>
          <cell r="E93">
            <v>15822</v>
          </cell>
        </row>
        <row r="94">
          <cell r="A94" t="str">
            <v>1534V-2</v>
          </cell>
          <cell r="B94" t="str">
            <v>1/2" X 6' TUBING</v>
          </cell>
          <cell r="C94" t="str">
            <v>EA</v>
          </cell>
          <cell r="D94" t="str">
            <v>65T</v>
          </cell>
          <cell r="E94">
            <v>1212</v>
          </cell>
        </row>
        <row r="95">
          <cell r="A95" t="str">
            <v>1537V-1</v>
          </cell>
          <cell r="B95" t="str">
            <v>3/8" X 6' PVC TUBING</v>
          </cell>
          <cell r="C95" t="str">
            <v>EA</v>
          </cell>
          <cell r="D95" t="str">
            <v>65T</v>
          </cell>
          <cell r="E95">
            <v>7672</v>
          </cell>
        </row>
        <row r="96">
          <cell r="A96" t="str">
            <v>1539V-2</v>
          </cell>
          <cell r="B96" t="str">
            <v>3/8" X 8' PVC TUBING</v>
          </cell>
          <cell r="C96" t="str">
            <v>EA</v>
          </cell>
          <cell r="D96" t="str">
            <v>39T</v>
          </cell>
          <cell r="E96">
            <v>132</v>
          </cell>
        </row>
        <row r="97">
          <cell r="A97" t="str">
            <v>1540V-1</v>
          </cell>
          <cell r="B97" t="str">
            <v>3/8" X 10' PVC TUBING</v>
          </cell>
          <cell r="C97" t="str">
            <v>EA</v>
          </cell>
          <cell r="D97" t="str">
            <v>39T</v>
          </cell>
          <cell r="E97">
            <v>600</v>
          </cell>
        </row>
        <row r="98">
          <cell r="A98" t="str">
            <v>1541A</v>
          </cell>
          <cell r="B98" t="str">
            <v>1/4"X6'TUBE W/MALE ADAPT</v>
          </cell>
          <cell r="C98" t="str">
            <v>EA</v>
          </cell>
        </row>
        <row r="99">
          <cell r="A99" t="str">
            <v>1544A</v>
          </cell>
          <cell r="B99" t="str">
            <v>SIMMS NDLE PRO/25GX11/2"</v>
          </cell>
          <cell r="C99" t="str">
            <v>EA</v>
          </cell>
          <cell r="D99" t="str">
            <v>N2</v>
          </cell>
          <cell r="E99">
            <v>714</v>
          </cell>
        </row>
        <row r="100">
          <cell r="A100" t="str">
            <v>1551A</v>
          </cell>
          <cell r="B100" t="str">
            <v>1/4"X10'TUBE W/MALE ADAPT</v>
          </cell>
          <cell r="C100" t="str">
            <v>EA</v>
          </cell>
          <cell r="D100">
            <v>22</v>
          </cell>
          <cell r="E100">
            <v>11</v>
          </cell>
        </row>
        <row r="101">
          <cell r="A101" t="str">
            <v>1554-1</v>
          </cell>
          <cell r="B101" t="str">
            <v>UNPRINTED CTN F/155-ETC</v>
          </cell>
          <cell r="C101" t="str">
            <v>EA</v>
          </cell>
          <cell r="D101" t="str">
            <v>MZ6</v>
          </cell>
          <cell r="E101">
            <v>685</v>
          </cell>
        </row>
        <row r="102">
          <cell r="A102" t="str">
            <v>1561A-1</v>
          </cell>
          <cell r="B102" t="str">
            <v>1/4"X12' TUBING W/FITMENT</v>
          </cell>
          <cell r="C102" t="str">
            <v>EA</v>
          </cell>
          <cell r="D102">
            <v>7</v>
          </cell>
          <cell r="E102">
            <v>6</v>
          </cell>
        </row>
        <row r="103">
          <cell r="A103" t="str">
            <v>1562-2</v>
          </cell>
          <cell r="B103" t="str">
            <v>1/4"X6' TBG W/FITMENTS</v>
          </cell>
          <cell r="C103" t="str">
            <v>EA</v>
          </cell>
          <cell r="D103">
            <v>20</v>
          </cell>
          <cell r="E103">
            <v>1240</v>
          </cell>
        </row>
        <row r="104">
          <cell r="A104" t="str">
            <v>1564-2</v>
          </cell>
          <cell r="B104" t="str">
            <v>1/4"X10'CONNECTG TUBING</v>
          </cell>
          <cell r="C104" t="str">
            <v>EA</v>
          </cell>
          <cell r="D104">
            <v>32</v>
          </cell>
          <cell r="E104">
            <v>434</v>
          </cell>
        </row>
        <row r="105">
          <cell r="A105" t="str">
            <v>1593A</v>
          </cell>
          <cell r="B105" t="str">
            <v>STER 18GX1.50 BLUNT NDLE</v>
          </cell>
          <cell r="C105" t="str">
            <v>EA</v>
          </cell>
          <cell r="D105" t="str">
            <v>N1</v>
          </cell>
          <cell r="E105">
            <v>9913</v>
          </cell>
        </row>
        <row r="106">
          <cell r="A106" t="str">
            <v>1593I</v>
          </cell>
          <cell r="B106" t="str">
            <v>1.75X 0.5 PERPRNT/LBLD12S</v>
          </cell>
          <cell r="C106" t="str">
            <v>EA</v>
          </cell>
        </row>
        <row r="107">
          <cell r="A107" t="str">
            <v>1618A</v>
          </cell>
          <cell r="B107" t="str">
            <v>#10 Scalpel</v>
          </cell>
          <cell r="C107" t="str">
            <v>EA</v>
          </cell>
          <cell r="D107">
            <v>19</v>
          </cell>
          <cell r="E107">
            <v>1</v>
          </cell>
        </row>
        <row r="108">
          <cell r="A108" t="str">
            <v>1622C</v>
          </cell>
          <cell r="B108" t="str">
            <v>CREAM COLORANT FOR MIPS</v>
          </cell>
          <cell r="C108" t="str">
            <v>LB</v>
          </cell>
          <cell r="D108">
            <v>145</v>
          </cell>
          <cell r="E108">
            <v>200</v>
          </cell>
        </row>
        <row r="109">
          <cell r="A109" t="str">
            <v>1623</v>
          </cell>
          <cell r="B109" t="str">
            <v>Unprtd Disp Box Fraziers</v>
          </cell>
          <cell r="C109" t="str">
            <v>EA</v>
          </cell>
          <cell r="D109" t="str">
            <v>MZ6</v>
          </cell>
          <cell r="E109">
            <v>1075</v>
          </cell>
        </row>
        <row r="110">
          <cell r="A110" t="str">
            <v>1625A-3</v>
          </cell>
          <cell r="B110" t="str">
            <v>8FR ANODIZED FRAZIER TUBE</v>
          </cell>
          <cell r="C110" t="str">
            <v>EA</v>
          </cell>
          <cell r="D110">
            <v>145</v>
          </cell>
          <cell r="E110">
            <v>33587</v>
          </cell>
        </row>
        <row r="111">
          <cell r="A111" t="str">
            <v>1625B-2</v>
          </cell>
          <cell r="B111" t="str">
            <v>8FR FRAZIER S/INSTRUMENT</v>
          </cell>
          <cell r="C111" t="str">
            <v>EA</v>
          </cell>
          <cell r="D111">
            <v>60</v>
          </cell>
          <cell r="E111">
            <v>10344</v>
          </cell>
        </row>
        <row r="112">
          <cell r="A112" t="str">
            <v>1629</v>
          </cell>
          <cell r="B112" t="str">
            <v>Unp Ship for 162/163/164</v>
          </cell>
          <cell r="C112" t="str">
            <v>EA</v>
          </cell>
          <cell r="D112" t="str">
            <v>MZ6</v>
          </cell>
          <cell r="E112">
            <v>3204</v>
          </cell>
        </row>
        <row r="113">
          <cell r="A113" t="str">
            <v>1638B-2</v>
          </cell>
          <cell r="B113" t="str">
            <v>10FR FRAZIER SUCTION INST</v>
          </cell>
          <cell r="C113" t="str">
            <v>EA</v>
          </cell>
          <cell r="D113">
            <v>57</v>
          </cell>
          <cell r="E113">
            <v>76076</v>
          </cell>
        </row>
        <row r="114">
          <cell r="A114" t="str">
            <v>1639A</v>
          </cell>
          <cell r="B114" t="str">
            <v>DEPO MEDROL L/1.75X0.5</v>
          </cell>
          <cell r="C114" t="str">
            <v>EA</v>
          </cell>
        </row>
        <row r="115">
          <cell r="A115" t="str">
            <v>1647A-3</v>
          </cell>
          <cell r="B115" t="str">
            <v>12FR ANODIZEDFRAZIER TUBE</v>
          </cell>
          <cell r="C115" t="str">
            <v>EA</v>
          </cell>
          <cell r="D115">
            <v>145</v>
          </cell>
          <cell r="E115">
            <v>94504</v>
          </cell>
        </row>
        <row r="116">
          <cell r="A116" t="str">
            <v>1648B-2</v>
          </cell>
          <cell r="B116" t="str">
            <v>12FR SUCTION INSTRUMENT</v>
          </cell>
          <cell r="C116" t="str">
            <v>EA</v>
          </cell>
          <cell r="D116">
            <v>55</v>
          </cell>
          <cell r="E116">
            <v>2830</v>
          </cell>
        </row>
        <row r="117">
          <cell r="A117" t="str">
            <v>1656</v>
          </cell>
          <cell r="B117" t="str">
            <v>Unprinted Shipper for 165</v>
          </cell>
          <cell r="C117" t="str">
            <v>EA</v>
          </cell>
          <cell r="D117" t="str">
            <v>MZ2</v>
          </cell>
          <cell r="E117">
            <v>158</v>
          </cell>
        </row>
        <row r="118">
          <cell r="A118" t="str">
            <v>1662</v>
          </cell>
          <cell r="B118" t="str">
            <v>White Polybag w/Twist tie</v>
          </cell>
          <cell r="C118" t="str">
            <v>EA</v>
          </cell>
          <cell r="D118">
            <v>34</v>
          </cell>
          <cell r="E118">
            <v>5492</v>
          </cell>
        </row>
        <row r="119">
          <cell r="A119" t="str">
            <v>1665A-2</v>
          </cell>
          <cell r="B119" t="str">
            <v>N/S 24"X36" C/P DRAPE 3"F</v>
          </cell>
          <cell r="C119" t="str">
            <v>EA</v>
          </cell>
          <cell r="D119">
            <v>61</v>
          </cell>
          <cell r="E119">
            <v>933</v>
          </cell>
        </row>
        <row r="120">
          <cell r="A120" t="str">
            <v>1676</v>
          </cell>
          <cell r="B120" t="str">
            <v>Unprinted Shipper Ctn</v>
          </cell>
          <cell r="C120" t="str">
            <v>EA</v>
          </cell>
          <cell r="D120" t="str">
            <v>MZ5</v>
          </cell>
          <cell r="E120">
            <v>662</v>
          </cell>
        </row>
        <row r="121">
          <cell r="A121" t="str">
            <v>1697B</v>
          </cell>
          <cell r="B121" t="str">
            <v>3ML LUER SLIP SYRINGE</v>
          </cell>
          <cell r="C121" t="str">
            <v>EA</v>
          </cell>
        </row>
        <row r="122">
          <cell r="A122" t="str">
            <v>1712A-1</v>
          </cell>
          <cell r="B122" t="str">
            <v>LG ADH BANDAGE L/F</v>
          </cell>
          <cell r="C122" t="str">
            <v>EA</v>
          </cell>
          <cell r="D122">
            <v>14</v>
          </cell>
          <cell r="E122">
            <v>1985</v>
          </cell>
        </row>
        <row r="123">
          <cell r="A123" t="str">
            <v>1713A</v>
          </cell>
          <cell r="B123" t="str">
            <v>4X3 COVERSPONGE 2PK STER</v>
          </cell>
          <cell r="C123" t="str">
            <v>PK</v>
          </cell>
          <cell r="D123">
            <v>19</v>
          </cell>
          <cell r="E123">
            <v>8951</v>
          </cell>
        </row>
        <row r="124">
          <cell r="A124" t="str">
            <v>1713B</v>
          </cell>
          <cell r="B124" t="str">
            <v>LUER LOCK CAPS BLUE STER</v>
          </cell>
          <cell r="C124" t="str">
            <v>EA</v>
          </cell>
          <cell r="D124">
            <v>14</v>
          </cell>
          <cell r="E124">
            <v>4887</v>
          </cell>
        </row>
        <row r="125">
          <cell r="A125" t="str">
            <v>1731A</v>
          </cell>
          <cell r="B125" t="str">
            <v>CHLORAPREP S/SWABS/1.75ML</v>
          </cell>
          <cell r="C125" t="str">
            <v>EA</v>
          </cell>
          <cell r="D125">
            <v>15</v>
          </cell>
          <cell r="E125">
            <v>1034</v>
          </cell>
        </row>
        <row r="126">
          <cell r="A126" t="str">
            <v>1731B</v>
          </cell>
          <cell r="B126" t="str">
            <v>Chloraprep S/Swabstick</v>
          </cell>
          <cell r="C126" t="str">
            <v>EA</v>
          </cell>
          <cell r="D126">
            <v>6</v>
          </cell>
          <cell r="E126">
            <v>5318</v>
          </cell>
        </row>
        <row r="127">
          <cell r="A127" t="str">
            <v>1731C</v>
          </cell>
          <cell r="B127" t="str">
            <v>PREVANTICS 1.6ML S/S(1X)</v>
          </cell>
          <cell r="C127" t="str">
            <v>EA</v>
          </cell>
          <cell r="D127">
            <v>15</v>
          </cell>
          <cell r="E127">
            <v>11896</v>
          </cell>
        </row>
        <row r="128">
          <cell r="A128" t="str">
            <v>1731D</v>
          </cell>
          <cell r="B128" t="str">
            <v>PREVANTICS 1.6 MIL INST</v>
          </cell>
          <cell r="C128" t="str">
            <v>EA</v>
          </cell>
          <cell r="D128">
            <v>6</v>
          </cell>
          <cell r="E128">
            <v>10807</v>
          </cell>
        </row>
        <row r="129">
          <cell r="A129" t="str">
            <v>1735A</v>
          </cell>
          <cell r="B129" t="str">
            <v>7CC EPILOR LUER LOCK SYR</v>
          </cell>
          <cell r="C129" t="str">
            <v>EA</v>
          </cell>
          <cell r="D129">
            <v>27</v>
          </cell>
          <cell r="E129">
            <v>548</v>
          </cell>
        </row>
        <row r="130">
          <cell r="A130" t="str">
            <v>1735B</v>
          </cell>
          <cell r="B130" t="str">
            <v>8" SMALL BORE EXT.SET</v>
          </cell>
          <cell r="C130" t="str">
            <v>EA</v>
          </cell>
          <cell r="D130">
            <v>14</v>
          </cell>
          <cell r="E130">
            <v>78</v>
          </cell>
        </row>
        <row r="131">
          <cell r="A131" t="str">
            <v>1736A</v>
          </cell>
          <cell r="B131" t="str">
            <v>2ML BUPIVACAINE HCL</v>
          </cell>
          <cell r="C131" t="str">
            <v>EA</v>
          </cell>
        </row>
        <row r="132">
          <cell r="A132" t="str">
            <v>1736B</v>
          </cell>
          <cell r="B132" t="str">
            <v>EN-0522 BUPIVACAINE INSRT</v>
          </cell>
          <cell r="C132" t="str">
            <v>EA</v>
          </cell>
          <cell r="D132">
            <v>6</v>
          </cell>
          <cell r="E132">
            <v>2535</v>
          </cell>
        </row>
        <row r="133">
          <cell r="A133" t="str">
            <v>1756A</v>
          </cell>
          <cell r="B133" t="str">
            <v>5CC LUER SLIP SYRINGE</v>
          </cell>
          <cell r="C133" t="str">
            <v>EA</v>
          </cell>
          <cell r="D133">
            <v>29</v>
          </cell>
          <cell r="E133">
            <v>600</v>
          </cell>
        </row>
        <row r="134">
          <cell r="A134" t="str">
            <v>1756B</v>
          </cell>
          <cell r="B134" t="str">
            <v>10CC LUER SLIP SYRINGE</v>
          </cell>
          <cell r="C134" t="str">
            <v>EA</v>
          </cell>
          <cell r="D134">
            <v>19</v>
          </cell>
          <cell r="E134">
            <v>111</v>
          </cell>
        </row>
        <row r="135">
          <cell r="A135" t="str">
            <v>1771BK</v>
          </cell>
          <cell r="B135" t="str">
            <v>Tip Protector Black</v>
          </cell>
          <cell r="C135" t="str">
            <v>EA</v>
          </cell>
          <cell r="D135">
            <v>29</v>
          </cell>
          <cell r="E135">
            <v>2877</v>
          </cell>
        </row>
        <row r="136">
          <cell r="A136" t="str">
            <v>1781A</v>
          </cell>
          <cell r="B136" t="str">
            <v>5CC LUER LOCK SYRINGE</v>
          </cell>
          <cell r="C136" t="str">
            <v>EA</v>
          </cell>
          <cell r="D136">
            <v>33</v>
          </cell>
          <cell r="E136">
            <v>35538</v>
          </cell>
        </row>
        <row r="137">
          <cell r="A137" t="str">
            <v>1784A</v>
          </cell>
          <cell r="B137" t="str">
            <v>4X4 N/WOVEN S/DRESSING</v>
          </cell>
          <cell r="C137" t="str">
            <v>EA</v>
          </cell>
          <cell r="D137">
            <v>28</v>
          </cell>
          <cell r="E137">
            <v>10536</v>
          </cell>
        </row>
        <row r="138">
          <cell r="A138" t="str">
            <v>1785A</v>
          </cell>
          <cell r="B138" t="str">
            <v>6"MAYO-HEDGAR N/HOLDER</v>
          </cell>
          <cell r="C138" t="str">
            <v>EA</v>
          </cell>
          <cell r="D138">
            <v>22</v>
          </cell>
          <cell r="E138">
            <v>302</v>
          </cell>
        </row>
        <row r="139">
          <cell r="A139" t="str">
            <v>1789A</v>
          </cell>
          <cell r="B139" t="str">
            <v>25G X 11/2" NEEDLE</v>
          </cell>
          <cell r="C139" t="str">
            <v>EA</v>
          </cell>
          <cell r="D139" t="str">
            <v>N9</v>
          </cell>
          <cell r="E139">
            <v>3584</v>
          </cell>
        </row>
        <row r="140">
          <cell r="A140" t="str">
            <v>1812A</v>
          </cell>
          <cell r="B140" t="str">
            <v>1CC LUER LOCK SYRINGE</v>
          </cell>
          <cell r="C140" t="str">
            <v>EA</v>
          </cell>
          <cell r="D140">
            <v>22</v>
          </cell>
          <cell r="E140">
            <v>8495</v>
          </cell>
        </row>
        <row r="141">
          <cell r="A141" t="str">
            <v>1812B-2</v>
          </cell>
          <cell r="B141" t="str">
            <v>20"STD EXTSET M L/L F L/L</v>
          </cell>
          <cell r="C141" t="str">
            <v>EA</v>
          </cell>
          <cell r="D141">
            <v>31</v>
          </cell>
          <cell r="E141">
            <v>2654</v>
          </cell>
        </row>
        <row r="142">
          <cell r="A142" t="str">
            <v>1819A-1</v>
          </cell>
          <cell r="B142" t="str">
            <v>60CC LUER LOCK SYRINGE</v>
          </cell>
          <cell r="C142" t="str">
            <v>EA</v>
          </cell>
          <cell r="D142">
            <v>26</v>
          </cell>
          <cell r="E142">
            <v>4596</v>
          </cell>
        </row>
        <row r="143">
          <cell r="A143" t="str">
            <v>1820B</v>
          </cell>
          <cell r="B143" t="str">
            <v>S/CHLORIDE LABEL 1.75X0.5</v>
          </cell>
          <cell r="C143" t="str">
            <v>EA</v>
          </cell>
        </row>
        <row r="144">
          <cell r="A144" t="str">
            <v>1827</v>
          </cell>
          <cell r="B144" t="str">
            <v>5"x9"Comb/Abdominal Pad</v>
          </cell>
          <cell r="C144" t="str">
            <v>EA</v>
          </cell>
          <cell r="D144">
            <v>33</v>
          </cell>
          <cell r="E144">
            <v>7891</v>
          </cell>
        </row>
        <row r="145">
          <cell r="A145" t="str">
            <v>1840B-1</v>
          </cell>
          <cell r="B145" t="str">
            <v>BACK TABLE COVER 44"X44"</v>
          </cell>
          <cell r="C145" t="str">
            <v>EA</v>
          </cell>
          <cell r="D145">
            <v>14</v>
          </cell>
          <cell r="E145">
            <v>3448</v>
          </cell>
        </row>
        <row r="146">
          <cell r="A146" t="str">
            <v>1840C</v>
          </cell>
          <cell r="B146" t="str">
            <v>22" C-ARM DRAPE</v>
          </cell>
          <cell r="C146" t="str">
            <v>EA</v>
          </cell>
          <cell r="D146">
            <v>25</v>
          </cell>
          <cell r="E146">
            <v>112</v>
          </cell>
        </row>
        <row r="147">
          <cell r="A147" t="str">
            <v>1841A-1</v>
          </cell>
          <cell r="B147" t="str">
            <v>44"X55" HALF DRAPE</v>
          </cell>
          <cell r="C147" t="str">
            <v>EA</v>
          </cell>
          <cell r="D147">
            <v>21</v>
          </cell>
          <cell r="E147">
            <v>1387</v>
          </cell>
        </row>
        <row r="148">
          <cell r="A148" t="str">
            <v>1850A</v>
          </cell>
          <cell r="B148" t="str">
            <v>19G X 11/2"FILTER NEEDLE</v>
          </cell>
          <cell r="C148" t="str">
            <v>EA</v>
          </cell>
          <cell r="D148" t="str">
            <v>N1</v>
          </cell>
          <cell r="E148">
            <v>3919</v>
          </cell>
        </row>
        <row r="149">
          <cell r="A149" t="str">
            <v>1850B</v>
          </cell>
          <cell r="B149" t="str">
            <v>21G X 1" NEEDLE EXEL</v>
          </cell>
          <cell r="C149" t="str">
            <v>EA</v>
          </cell>
          <cell r="D149" t="str">
            <v>N1</v>
          </cell>
          <cell r="E149">
            <v>111</v>
          </cell>
        </row>
        <row r="150">
          <cell r="A150" t="str">
            <v>1861</v>
          </cell>
          <cell r="B150" t="str">
            <v>STERILE SKIN PROT. SWAB</v>
          </cell>
          <cell r="C150" t="str">
            <v>EA</v>
          </cell>
          <cell r="D150">
            <v>14</v>
          </cell>
          <cell r="E150">
            <v>762</v>
          </cell>
        </row>
        <row r="151">
          <cell r="A151" t="str">
            <v>1862A</v>
          </cell>
          <cell r="B151" t="str">
            <v>25GX5/8IN. S/G/NEEDLE</v>
          </cell>
          <cell r="C151" t="str">
            <v>EA</v>
          </cell>
          <cell r="D151" t="str">
            <v>N6</v>
          </cell>
          <cell r="E151">
            <v>805</v>
          </cell>
        </row>
        <row r="152">
          <cell r="A152" t="str">
            <v>1862B</v>
          </cell>
          <cell r="B152" t="str">
            <v>22GX11/2 S/G NEEDLE</v>
          </cell>
          <cell r="C152" t="str">
            <v>EA</v>
          </cell>
          <cell r="D152" t="str">
            <v>N9</v>
          </cell>
          <cell r="E152">
            <v>1688</v>
          </cell>
        </row>
        <row r="153">
          <cell r="A153" t="str">
            <v>1865A</v>
          </cell>
          <cell r="B153" t="str">
            <v>ULTRASOUND GEL 20 GRAM/PK</v>
          </cell>
          <cell r="C153" t="str">
            <v>EA</v>
          </cell>
          <cell r="D153">
            <v>14</v>
          </cell>
          <cell r="E153">
            <v>377</v>
          </cell>
        </row>
        <row r="154">
          <cell r="A154" t="str">
            <v>1865C</v>
          </cell>
          <cell r="B154" t="str">
            <v>1CC TUBERCULIN SLIP T/SYR</v>
          </cell>
          <cell r="C154" t="str">
            <v>EA</v>
          </cell>
          <cell r="D154">
            <v>26</v>
          </cell>
          <cell r="E154">
            <v>765</v>
          </cell>
        </row>
        <row r="155">
          <cell r="A155" t="str">
            <v>1867A</v>
          </cell>
          <cell r="B155" t="str">
            <v>30CC LUER LOCK SYRINGE</v>
          </cell>
          <cell r="C155" t="str">
            <v>EA</v>
          </cell>
          <cell r="D155">
            <v>14</v>
          </cell>
          <cell r="E155">
            <v>566</v>
          </cell>
        </row>
        <row r="156">
          <cell r="A156" t="str">
            <v>1878A</v>
          </cell>
          <cell r="B156" t="str">
            <v>PREVANTICS MAX (1X STER)</v>
          </cell>
          <cell r="C156" t="str">
            <v>EA</v>
          </cell>
          <cell r="D156">
            <v>15</v>
          </cell>
          <cell r="E156">
            <v>4741</v>
          </cell>
        </row>
        <row r="157">
          <cell r="A157" t="str">
            <v>1878B</v>
          </cell>
          <cell r="B157" t="str">
            <v>PREVANTICS SWBST INSRT</v>
          </cell>
          <cell r="C157" t="str">
            <v>EA</v>
          </cell>
          <cell r="D157">
            <v>6</v>
          </cell>
          <cell r="E157">
            <v>4198</v>
          </cell>
        </row>
        <row r="158">
          <cell r="A158" t="str">
            <v>1884B</v>
          </cell>
          <cell r="B158" t="str">
            <v>20CC SLIP TIP SYRINGE</v>
          </cell>
          <cell r="C158" t="str">
            <v>EA</v>
          </cell>
          <cell r="D158">
            <v>29</v>
          </cell>
          <cell r="E158">
            <v>80</v>
          </cell>
        </row>
        <row r="159">
          <cell r="A159" t="str">
            <v>1887B</v>
          </cell>
          <cell r="B159" t="str">
            <v>20G X31/2 TUOHY /FX WING</v>
          </cell>
          <cell r="C159" t="str">
            <v>EA</v>
          </cell>
          <cell r="D159" t="str">
            <v>N5</v>
          </cell>
          <cell r="E159">
            <v>675</v>
          </cell>
        </row>
        <row r="160">
          <cell r="A160" t="str">
            <v>1887C</v>
          </cell>
          <cell r="B160" t="str">
            <v>5 MICRON FILTER STRAW</v>
          </cell>
          <cell r="C160" t="str">
            <v>EA</v>
          </cell>
          <cell r="D160">
            <v>15</v>
          </cell>
          <cell r="E160">
            <v>4929</v>
          </cell>
        </row>
        <row r="161">
          <cell r="A161" t="str">
            <v>1905</v>
          </cell>
          <cell r="B161" t="str">
            <v>19Gaugex1.5"Needle/Ylw Cp</v>
          </cell>
          <cell r="C161" t="str">
            <v>EA</v>
          </cell>
          <cell r="D161" t="str">
            <v>N6</v>
          </cell>
          <cell r="E161">
            <v>1871</v>
          </cell>
        </row>
        <row r="162">
          <cell r="A162" t="str">
            <v>1913A</v>
          </cell>
          <cell r="B162" t="str">
            <v>BUFFERED LABEL1.75X0.5</v>
          </cell>
          <cell r="C162" t="str">
            <v>EA</v>
          </cell>
        </row>
        <row r="163">
          <cell r="A163" t="str">
            <v>1913B</v>
          </cell>
          <cell r="B163" t="str">
            <v>NORMAL S/LABEL 1.75X0.5</v>
          </cell>
          <cell r="C163" t="str">
            <v>EA</v>
          </cell>
        </row>
        <row r="164">
          <cell r="A164" t="str">
            <v>1913C</v>
          </cell>
          <cell r="B164" t="str">
            <v>DEPO-MEDROL LBL 1.75X0.5</v>
          </cell>
          <cell r="C164" t="str">
            <v>EA</v>
          </cell>
        </row>
        <row r="165">
          <cell r="A165" t="str">
            <v>1913D</v>
          </cell>
          <cell r="B165" t="str">
            <v>BUPIVACAINE LABEL1.75X0.5</v>
          </cell>
          <cell r="C165" t="str">
            <v>EA</v>
          </cell>
        </row>
        <row r="166">
          <cell r="A166" t="str">
            <v>1913E</v>
          </cell>
          <cell r="B166" t="str">
            <v>KENALOG LABEL 1.75X0.5</v>
          </cell>
          <cell r="C166" t="str">
            <v>EA</v>
          </cell>
        </row>
        <row r="167">
          <cell r="A167" t="str">
            <v>1913G</v>
          </cell>
          <cell r="B167" t="str">
            <v>FENTANYL LABEL 1.75X0.5</v>
          </cell>
          <cell r="C167" t="str">
            <v>EA</v>
          </cell>
        </row>
        <row r="168">
          <cell r="A168" t="str">
            <v>1913H</v>
          </cell>
          <cell r="B168" t="str">
            <v>SOLUMEDROL LABEL 1.75X0.5</v>
          </cell>
          <cell r="C168" t="str">
            <v>EA</v>
          </cell>
        </row>
        <row r="169">
          <cell r="A169" t="str">
            <v>1914A</v>
          </cell>
          <cell r="B169" t="str">
            <v>22GX5"QUINCKE SPINAL NDLE</v>
          </cell>
          <cell r="C169" t="str">
            <v>EA</v>
          </cell>
          <cell r="D169" t="str">
            <v>N1</v>
          </cell>
          <cell r="E169">
            <v>345</v>
          </cell>
        </row>
        <row r="170">
          <cell r="A170" t="str">
            <v>1922N</v>
          </cell>
          <cell r="B170" t="str">
            <v>4.75"Adson Fcep 1x2 Teeth</v>
          </cell>
          <cell r="C170" t="str">
            <v>EA</v>
          </cell>
          <cell r="D170">
            <v>44</v>
          </cell>
          <cell r="E170">
            <v>8720</v>
          </cell>
        </row>
        <row r="171">
          <cell r="A171" t="str">
            <v>1922SFN</v>
          </cell>
          <cell r="B171" t="str">
            <v>AdsonFcp/1x2/FinePt/Satin</v>
          </cell>
          <cell r="C171" t="str">
            <v>EA</v>
          </cell>
          <cell r="D171">
            <v>44</v>
          </cell>
          <cell r="E171">
            <v>17932</v>
          </cell>
        </row>
        <row r="172">
          <cell r="A172" t="str">
            <v>1923N</v>
          </cell>
          <cell r="B172" t="str">
            <v>4.75"Adson Serrated Frcep</v>
          </cell>
          <cell r="C172" t="str">
            <v>EA</v>
          </cell>
          <cell r="D172">
            <v>1</v>
          </cell>
          <cell r="E172">
            <v>130487</v>
          </cell>
        </row>
        <row r="173">
          <cell r="A173" t="str">
            <v>1924N</v>
          </cell>
          <cell r="B173" t="str">
            <v>4.5" S/B Operating Sciss.</v>
          </cell>
          <cell r="C173" t="str">
            <v>EA</v>
          </cell>
          <cell r="D173">
            <v>38</v>
          </cell>
          <cell r="E173">
            <v>4460</v>
          </cell>
        </row>
        <row r="174">
          <cell r="A174" t="str">
            <v>1928D-1</v>
          </cell>
          <cell r="B174" t="str">
            <v>21/4"X6" COLORED MED LBLD</v>
          </cell>
          <cell r="C174" t="str">
            <v>EA</v>
          </cell>
          <cell r="D174">
            <v>6</v>
          </cell>
          <cell r="E174">
            <v>1073</v>
          </cell>
        </row>
        <row r="175">
          <cell r="A175" t="str">
            <v>1932A</v>
          </cell>
          <cell r="B175" t="str">
            <v>CHLORAPREP 3.0ML ORANGE</v>
          </cell>
          <cell r="C175" t="str">
            <v>EA</v>
          </cell>
          <cell r="D175">
            <v>14</v>
          </cell>
          <cell r="E175">
            <v>199</v>
          </cell>
        </row>
        <row r="176">
          <cell r="A176" t="str">
            <v>1932B</v>
          </cell>
          <cell r="B176" t="str">
            <v>CHLORAPREP 1-STEP INSERT</v>
          </cell>
          <cell r="C176" t="str">
            <v>EA</v>
          </cell>
          <cell r="D176">
            <v>6</v>
          </cell>
          <cell r="E176">
            <v>41341</v>
          </cell>
        </row>
        <row r="177">
          <cell r="A177" t="str">
            <v>1932B</v>
          </cell>
          <cell r="B177" t="str">
            <v>CHLORAPREP 1-STEP INSERT</v>
          </cell>
          <cell r="C177" t="str">
            <v>EA</v>
          </cell>
          <cell r="D177">
            <v>5</v>
          </cell>
          <cell r="E177">
            <v>794</v>
          </cell>
        </row>
        <row r="178">
          <cell r="A178" t="str">
            <v>1941A</v>
          </cell>
          <cell r="B178" t="str">
            <v>20ML1%LIDOCAINE P/VIAL RX</v>
          </cell>
          <cell r="C178" t="str">
            <v>EA</v>
          </cell>
          <cell r="D178" t="str">
            <v>DRUGS</v>
          </cell>
          <cell r="E178">
            <v>209</v>
          </cell>
        </row>
        <row r="179">
          <cell r="A179" t="str">
            <v>1941N</v>
          </cell>
          <cell r="B179" t="str">
            <v>4.5"Littauer Stitch Sciss</v>
          </cell>
          <cell r="C179" t="str">
            <v>EA</v>
          </cell>
          <cell r="D179">
            <v>47</v>
          </cell>
          <cell r="E179">
            <v>23185</v>
          </cell>
        </row>
        <row r="180">
          <cell r="A180" t="str">
            <v>1944A</v>
          </cell>
          <cell r="B180" t="str">
            <v>3CC SLIP-TIP SYRINGE</v>
          </cell>
          <cell r="C180" t="str">
            <v>EA</v>
          </cell>
          <cell r="D180">
            <v>21</v>
          </cell>
          <cell r="E180">
            <v>1624</v>
          </cell>
        </row>
        <row r="181">
          <cell r="A181" t="str">
            <v>1944B</v>
          </cell>
          <cell r="B181" t="str">
            <v>6"EXTEN SET W/F/L/@M/L/S</v>
          </cell>
          <cell r="C181" t="str">
            <v>EA</v>
          </cell>
        </row>
        <row r="182">
          <cell r="A182" t="str">
            <v>1944B-1</v>
          </cell>
          <cell r="B182" t="str">
            <v>6"SM BORE EXTSET M LS/CLP</v>
          </cell>
          <cell r="C182" t="str">
            <v>EA</v>
          </cell>
          <cell r="D182">
            <v>21</v>
          </cell>
          <cell r="E182">
            <v>5430</v>
          </cell>
        </row>
        <row r="183">
          <cell r="A183" t="str">
            <v>1954B</v>
          </cell>
          <cell r="B183" t="str">
            <v>P/F TRILON GLOVES LG.</v>
          </cell>
          <cell r="C183" t="str">
            <v>EA</v>
          </cell>
          <cell r="D183">
            <v>20</v>
          </cell>
          <cell r="E183">
            <v>6138</v>
          </cell>
        </row>
        <row r="184">
          <cell r="A184" t="str">
            <v>1954G</v>
          </cell>
          <cell r="B184" t="str">
            <v>1/4" X 1-1/2" TAPE S/6/CD</v>
          </cell>
          <cell r="C184" t="str">
            <v>EA</v>
          </cell>
          <cell r="D184">
            <v>26</v>
          </cell>
          <cell r="E184">
            <v>6554</v>
          </cell>
        </row>
        <row r="185">
          <cell r="A185" t="str">
            <v>1954H</v>
          </cell>
          <cell r="B185" t="str">
            <v>BD 21GX11/2" NEEDLE STER</v>
          </cell>
          <cell r="C185" t="str">
            <v>EA</v>
          </cell>
          <cell r="D185" t="str">
            <v>N2</v>
          </cell>
          <cell r="E185">
            <v>448</v>
          </cell>
        </row>
        <row r="186">
          <cell r="A186" t="str">
            <v>1977A</v>
          </cell>
          <cell r="B186" t="str">
            <v>7CC EPILOR SLIP-TIP SYR.</v>
          </cell>
          <cell r="C186" t="str">
            <v>EA</v>
          </cell>
          <cell r="D186">
            <v>14</v>
          </cell>
          <cell r="E186">
            <v>869</v>
          </cell>
        </row>
        <row r="187">
          <cell r="A187" t="str">
            <v>1977B</v>
          </cell>
          <cell r="B187" t="str">
            <v>MYCO 22GX3.5" TUOHY REMWG</v>
          </cell>
          <cell r="C187" t="str">
            <v>EA</v>
          </cell>
          <cell r="D187" t="str">
            <v>N1</v>
          </cell>
          <cell r="E187">
            <v>233</v>
          </cell>
        </row>
        <row r="188">
          <cell r="A188" t="str">
            <v>1977B-1</v>
          </cell>
          <cell r="B188" t="str">
            <v>22GX31/2" TUOHY N/W/REM/W</v>
          </cell>
          <cell r="C188" t="str">
            <v>EA</v>
          </cell>
          <cell r="D188" t="str">
            <v>N9</v>
          </cell>
          <cell r="E188">
            <v>95</v>
          </cell>
        </row>
        <row r="189">
          <cell r="A189" t="str">
            <v>1990A</v>
          </cell>
          <cell r="B189" t="str">
            <v>SKIN MARKER (FINE TIP)</v>
          </cell>
          <cell r="C189" t="str">
            <v>EA</v>
          </cell>
          <cell r="D189">
            <v>15</v>
          </cell>
          <cell r="E189">
            <v>207</v>
          </cell>
        </row>
        <row r="190">
          <cell r="A190" t="str">
            <v>1992A</v>
          </cell>
          <cell r="B190" t="str">
            <v>6"STANDARD BORE SET W/L/S</v>
          </cell>
          <cell r="C190" t="str">
            <v>EA</v>
          </cell>
          <cell r="D190">
            <v>28</v>
          </cell>
          <cell r="E190">
            <v>2309</v>
          </cell>
        </row>
        <row r="191">
          <cell r="A191" t="str">
            <v>1992B</v>
          </cell>
          <cell r="B191" t="str">
            <v>THREE WAY STOPCOCK W/R/MF</v>
          </cell>
          <cell r="C191" t="str">
            <v>EA</v>
          </cell>
          <cell r="D191">
            <v>15</v>
          </cell>
          <cell r="E191">
            <v>287</v>
          </cell>
        </row>
        <row r="192">
          <cell r="A192" t="str">
            <v>1993A</v>
          </cell>
          <cell r="B192" t="str">
            <v>25GX31/2"QUINCKE S//NDLE</v>
          </cell>
          <cell r="C192" t="str">
            <v>EA</v>
          </cell>
          <cell r="D192" t="str">
            <v>N1</v>
          </cell>
          <cell r="E192">
            <v>627</v>
          </cell>
        </row>
        <row r="193">
          <cell r="A193" t="str">
            <v>1993B</v>
          </cell>
          <cell r="B193" t="str">
            <v>27X31/2"X QUINCKE S/NDLE</v>
          </cell>
          <cell r="C193" t="str">
            <v>EA</v>
          </cell>
          <cell r="D193" t="str">
            <v>N1</v>
          </cell>
          <cell r="E193">
            <v>1463</v>
          </cell>
        </row>
        <row r="194">
          <cell r="A194" t="str">
            <v>1993C</v>
          </cell>
          <cell r="B194" t="str">
            <v>1/2"X13/4" ORANGE L/LABEL</v>
          </cell>
          <cell r="C194" t="str">
            <v>EA</v>
          </cell>
          <cell r="D194">
            <v>20</v>
          </cell>
          <cell r="E194">
            <v>666</v>
          </cell>
        </row>
        <row r="195">
          <cell r="A195" t="str">
            <v>1993D</v>
          </cell>
          <cell r="B195" t="str">
            <v>1/2X1 3/4 YELLOW C/LABEL</v>
          </cell>
          <cell r="C195" t="str">
            <v>EA</v>
          </cell>
          <cell r="D195">
            <v>38</v>
          </cell>
          <cell r="E195">
            <v>1464</v>
          </cell>
        </row>
        <row r="196">
          <cell r="A196" t="str">
            <v>1994B</v>
          </cell>
          <cell r="B196" t="str">
            <v>6"EXT.SET W/F/&amp;/M L/LOCK</v>
          </cell>
          <cell r="C196" t="str">
            <v>EA</v>
          </cell>
        </row>
        <row r="197">
          <cell r="A197" t="str">
            <v>2001</v>
          </cell>
          <cell r="B197" t="str">
            <v>WHITE PE COATED GOWN</v>
          </cell>
          <cell r="C197" t="str">
            <v>EA</v>
          </cell>
          <cell r="D197">
            <v>28</v>
          </cell>
          <cell r="E197">
            <v>44</v>
          </cell>
        </row>
        <row r="198">
          <cell r="A198" t="str">
            <v>2005A</v>
          </cell>
          <cell r="B198" t="str">
            <v>LOCAL LABEL1.75X0.5</v>
          </cell>
          <cell r="C198" t="str">
            <v>EA</v>
          </cell>
        </row>
        <row r="199">
          <cell r="A199" t="str">
            <v>2005B</v>
          </cell>
          <cell r="B199" t="str">
            <v>10ML BUPIVACAINE HCL.25%</v>
          </cell>
          <cell r="C199" t="str">
            <v>EA</v>
          </cell>
        </row>
        <row r="200">
          <cell r="A200" t="str">
            <v>2005C</v>
          </cell>
          <cell r="B200" t="str">
            <v>EN-2402IVACAINE INSRT</v>
          </cell>
          <cell r="C200" t="str">
            <v>EA</v>
          </cell>
          <cell r="D200">
            <v>6</v>
          </cell>
          <cell r="E200">
            <v>600</v>
          </cell>
        </row>
        <row r="201">
          <cell r="A201" t="str">
            <v>2030</v>
          </cell>
          <cell r="B201" t="str">
            <v>Standard Isolation Gown</v>
          </cell>
          <cell r="C201" t="str">
            <v>EA</v>
          </cell>
        </row>
        <row r="202">
          <cell r="A202" t="str">
            <v>2042</v>
          </cell>
          <cell r="B202" t="str">
            <v>unctd1059BTyvk308mm</v>
          </cell>
          <cell r="C202" t="str">
            <v>MI</v>
          </cell>
        </row>
        <row r="203">
          <cell r="A203" t="str">
            <v>2042FS</v>
          </cell>
          <cell r="B203" t="str">
            <v>2FS TYVEK UNCOATED 308MM</v>
          </cell>
          <cell r="C203" t="str">
            <v>MI</v>
          </cell>
          <cell r="D203">
            <v>35</v>
          </cell>
          <cell r="E203">
            <v>23862</v>
          </cell>
        </row>
        <row r="204">
          <cell r="A204" t="str">
            <v>2044</v>
          </cell>
          <cell r="B204" t="str">
            <v>Unprinted Carton for 204</v>
          </cell>
          <cell r="C204" t="str">
            <v>EA</v>
          </cell>
          <cell r="D204" t="str">
            <v>MZ4</v>
          </cell>
          <cell r="E204">
            <v>552</v>
          </cell>
        </row>
        <row r="205">
          <cell r="A205" t="str">
            <v>2051</v>
          </cell>
          <cell r="B205" t="str">
            <v>IPC PE C/WHT GOWN F/B</v>
          </cell>
          <cell r="C205" t="str">
            <v>EA</v>
          </cell>
          <cell r="D205">
            <v>22</v>
          </cell>
          <cell r="E205">
            <v>150</v>
          </cell>
        </row>
        <row r="206">
          <cell r="A206" t="str">
            <v>2053</v>
          </cell>
          <cell r="B206" t="str">
            <v>UNPRINTED CTN FOR/736 ETC</v>
          </cell>
          <cell r="C206" t="str">
            <v>EA</v>
          </cell>
          <cell r="D206" t="str">
            <v>MZ3</v>
          </cell>
          <cell r="E206">
            <v>1077</v>
          </cell>
        </row>
        <row r="207">
          <cell r="A207" t="str">
            <v>2060S</v>
          </cell>
          <cell r="B207" t="str">
            <v>Unprinted Ctn</v>
          </cell>
          <cell r="C207" t="str">
            <v>EA</v>
          </cell>
          <cell r="D207" t="str">
            <v>MZ3</v>
          </cell>
          <cell r="E207">
            <v>890</v>
          </cell>
        </row>
        <row r="208">
          <cell r="A208" t="str">
            <v>2066A</v>
          </cell>
          <cell r="B208" t="str">
            <v>20ML9%P/F/SODIUM CHLO/P/V</v>
          </cell>
          <cell r="C208" t="str">
            <v>EA</v>
          </cell>
          <cell r="D208" t="str">
            <v>DRUGS</v>
          </cell>
          <cell r="E208">
            <v>400</v>
          </cell>
        </row>
        <row r="209">
          <cell r="A209" t="str">
            <v>2096A</v>
          </cell>
          <cell r="B209" t="str">
            <v>TRAY 9.72X 11IN X 2IN</v>
          </cell>
          <cell r="C209" t="str">
            <v>EA</v>
          </cell>
          <cell r="D209">
            <v>28</v>
          </cell>
          <cell r="E209">
            <v>110</v>
          </cell>
        </row>
        <row r="210">
          <cell r="A210" t="str">
            <v>2096B</v>
          </cell>
          <cell r="B210" t="str">
            <v>3X21/2IN RED TRANSFER CUP</v>
          </cell>
          <cell r="C210" t="str">
            <v>EA</v>
          </cell>
          <cell r="D210">
            <v>24</v>
          </cell>
          <cell r="E210">
            <v>233</v>
          </cell>
        </row>
        <row r="211">
          <cell r="A211" t="str">
            <v>2100A</v>
          </cell>
          <cell r="B211" t="str">
            <v>18G X31/2"TUOHY NEEDLE</v>
          </cell>
          <cell r="C211" t="str">
            <v>EA</v>
          </cell>
          <cell r="D211" t="str">
            <v>N1</v>
          </cell>
          <cell r="E211">
            <v>888</v>
          </cell>
        </row>
        <row r="212">
          <cell r="A212" t="str">
            <v>2135A</v>
          </cell>
          <cell r="B212" t="str">
            <v>30X30IN KIMGUARD CSR WRAP</v>
          </cell>
          <cell r="C212" t="str">
            <v>EA</v>
          </cell>
          <cell r="D212">
            <v>33</v>
          </cell>
          <cell r="E212">
            <v>212</v>
          </cell>
        </row>
        <row r="213">
          <cell r="A213" t="str">
            <v>2145A</v>
          </cell>
          <cell r="B213" t="str">
            <v>1"X3" FLEX.ADH.BANDAGE</v>
          </cell>
          <cell r="C213" t="str">
            <v>EA</v>
          </cell>
        </row>
        <row r="214">
          <cell r="A214" t="str">
            <v>2157B</v>
          </cell>
          <cell r="B214" t="str">
            <v>STERILE NEEDLE 16GX11/2"</v>
          </cell>
          <cell r="C214" t="str">
            <v>EA</v>
          </cell>
          <cell r="D214" t="str">
            <v>N1</v>
          </cell>
          <cell r="E214">
            <v>75</v>
          </cell>
        </row>
        <row r="215">
          <cell r="A215" t="str">
            <v>2161A-1</v>
          </cell>
          <cell r="B215" t="str">
            <v>10CC GLASS LOR L/L/G/SYR</v>
          </cell>
          <cell r="C215" t="str">
            <v>EA</v>
          </cell>
          <cell r="D215">
            <v>25</v>
          </cell>
          <cell r="E215">
            <v>223</v>
          </cell>
        </row>
        <row r="216">
          <cell r="A216" t="str">
            <v>2170A</v>
          </cell>
          <cell r="B216" t="str">
            <v>22GX31/2"QUINCKE S/NEEDLE</v>
          </cell>
          <cell r="C216" t="str">
            <v>EA</v>
          </cell>
          <cell r="D216" t="str">
            <v>N1</v>
          </cell>
          <cell r="E216">
            <v>797</v>
          </cell>
        </row>
        <row r="217">
          <cell r="A217" t="str">
            <v>2209N</v>
          </cell>
          <cell r="B217" t="str">
            <v>Nitrile Glove LG PF Wall</v>
          </cell>
          <cell r="C217" t="str">
            <v>PR</v>
          </cell>
          <cell r="D217">
            <v>22</v>
          </cell>
          <cell r="E217">
            <v>19630</v>
          </cell>
        </row>
        <row r="218">
          <cell r="A218" t="str">
            <v>2214B</v>
          </cell>
          <cell r="B218" t="str">
            <v>MYCO 20GX3.5" TUOHY REMWG</v>
          </cell>
          <cell r="C218" t="str">
            <v>EA</v>
          </cell>
          <cell r="D218" t="str">
            <v>N1</v>
          </cell>
          <cell r="E218">
            <v>172</v>
          </cell>
        </row>
        <row r="219">
          <cell r="A219" t="str">
            <v>2235A</v>
          </cell>
          <cell r="B219" t="str">
            <v>21"STANDRD/BORE SET W/M/F</v>
          </cell>
          <cell r="C219" t="str">
            <v>EA</v>
          </cell>
          <cell r="D219">
            <v>30</v>
          </cell>
          <cell r="E219">
            <v>1382</v>
          </cell>
        </row>
        <row r="220">
          <cell r="A220" t="str">
            <v>2253A</v>
          </cell>
          <cell r="B220" t="str">
            <v>18GX31/2"TOUHY W/FX WING</v>
          </cell>
          <cell r="C220" t="str">
            <v>EA</v>
          </cell>
          <cell r="D220" t="str">
            <v>N2</v>
          </cell>
          <cell r="E220">
            <v>997</v>
          </cell>
        </row>
        <row r="221">
          <cell r="A221" t="str">
            <v>2257A</v>
          </cell>
          <cell r="B221" t="str">
            <v>2/3CC 0.6ML BENZOIN VIAL</v>
          </cell>
          <cell r="C221" t="str">
            <v>EA</v>
          </cell>
          <cell r="D221">
            <v>15</v>
          </cell>
          <cell r="E221">
            <v>6281</v>
          </cell>
        </row>
        <row r="222">
          <cell r="A222" t="str">
            <v>2327A</v>
          </cell>
          <cell r="B222" t="str">
            <v>6"X48"PROBE COVER W/GEL</v>
          </cell>
          <cell r="C222" t="str">
            <v>EA</v>
          </cell>
          <cell r="D222">
            <v>15</v>
          </cell>
          <cell r="E222">
            <v>460</v>
          </cell>
        </row>
        <row r="223">
          <cell r="A223" t="str">
            <v>2327B</v>
          </cell>
          <cell r="B223" t="str">
            <v>20gx31/2"spinal needle</v>
          </cell>
          <cell r="C223" t="str">
            <v>EA</v>
          </cell>
          <cell r="D223" t="str">
            <v>N6</v>
          </cell>
          <cell r="E223">
            <v>523</v>
          </cell>
        </row>
        <row r="224">
          <cell r="A224" t="str">
            <v>2327D</v>
          </cell>
          <cell r="B224" t="str">
            <v>44x78 table cover sms</v>
          </cell>
          <cell r="C224" t="str">
            <v>EA</v>
          </cell>
          <cell r="D224">
            <v>25</v>
          </cell>
          <cell r="E224">
            <v>87</v>
          </cell>
        </row>
        <row r="225">
          <cell r="A225" t="str">
            <v>2327E</v>
          </cell>
          <cell r="B225" t="str">
            <v>77x108 sheet w/31/2x39/s</v>
          </cell>
          <cell r="C225" t="str">
            <v>EA</v>
          </cell>
          <cell r="D225">
            <v>29</v>
          </cell>
          <cell r="E225">
            <v>55</v>
          </cell>
        </row>
        <row r="226">
          <cell r="A226" t="str">
            <v>2356-1</v>
          </cell>
          <cell r="B226" t="str">
            <v>UNPRTD CTN F/CAT KIT</v>
          </cell>
          <cell r="C226" t="str">
            <v>EA</v>
          </cell>
        </row>
        <row r="227">
          <cell r="A227" t="str">
            <v>2359</v>
          </cell>
          <cell r="B227" t="str">
            <v>6" Wood C.T.A</v>
          </cell>
          <cell r="C227" t="str">
            <v>EA</v>
          </cell>
          <cell r="D227">
            <v>31</v>
          </cell>
          <cell r="E227">
            <v>8612</v>
          </cell>
        </row>
        <row r="228">
          <cell r="A228" t="str">
            <v>2366</v>
          </cell>
          <cell r="B228" t="str">
            <v>20 Gge x 1 1/2" Ndle</v>
          </cell>
          <cell r="C228" t="str">
            <v>EA</v>
          </cell>
          <cell r="D228" t="str">
            <v>N7</v>
          </cell>
          <cell r="E228">
            <v>5960</v>
          </cell>
        </row>
        <row r="229">
          <cell r="A229" t="str">
            <v>2383A</v>
          </cell>
          <cell r="B229" t="str">
            <v>5" TYRELL SKIN HOOK B/P</v>
          </cell>
          <cell r="C229" t="str">
            <v>EA</v>
          </cell>
          <cell r="D229">
            <v>5</v>
          </cell>
          <cell r="E229">
            <v>67</v>
          </cell>
        </row>
        <row r="230">
          <cell r="A230" t="str">
            <v>2388C</v>
          </cell>
          <cell r="B230" t="str">
            <v>25 GAUGE X 2IN NEEDLE</v>
          </cell>
          <cell r="C230" t="str">
            <v>EA</v>
          </cell>
          <cell r="D230" t="str">
            <v>N2</v>
          </cell>
          <cell r="E230">
            <v>510</v>
          </cell>
        </row>
        <row r="231">
          <cell r="A231" t="str">
            <v>2392A</v>
          </cell>
          <cell r="B231" t="str">
            <v>22" X 28" 3PP DRAPE</v>
          </cell>
          <cell r="C231" t="str">
            <v>EA</v>
          </cell>
          <cell r="D231">
            <v>24</v>
          </cell>
          <cell r="E231">
            <v>2169</v>
          </cell>
        </row>
        <row r="232">
          <cell r="A232" t="str">
            <v>2408A</v>
          </cell>
          <cell r="B232" t="str">
            <v>MAYO STAND COVER 23"X54"</v>
          </cell>
          <cell r="C232" t="str">
            <v>EA</v>
          </cell>
          <cell r="D232">
            <v>29</v>
          </cell>
          <cell r="E232">
            <v>295</v>
          </cell>
        </row>
        <row r="233">
          <cell r="A233" t="str">
            <v>2426-1</v>
          </cell>
          <cell r="B233" t="str">
            <v>20CC LUER LOCK SYRINGE LF</v>
          </cell>
          <cell r="C233" t="str">
            <v>EA</v>
          </cell>
          <cell r="D233">
            <v>24</v>
          </cell>
          <cell r="E233">
            <v>38568</v>
          </cell>
        </row>
        <row r="234">
          <cell r="A234" t="str">
            <v>2487B</v>
          </cell>
          <cell r="B234" t="str">
            <v>8" PROBE WITH EYE</v>
          </cell>
          <cell r="C234" t="str">
            <v>EA</v>
          </cell>
          <cell r="D234">
            <v>22</v>
          </cell>
          <cell r="E234">
            <v>92</v>
          </cell>
        </row>
        <row r="235">
          <cell r="A235" t="str">
            <v>2501</v>
          </cell>
          <cell r="B235" t="str">
            <v>Apron 1pc-indiv folded</v>
          </cell>
          <cell r="C235" t="str">
            <v>EA</v>
          </cell>
          <cell r="D235">
            <v>5</v>
          </cell>
          <cell r="E235">
            <v>8678</v>
          </cell>
        </row>
        <row r="236">
          <cell r="A236" t="str">
            <v>2524A</v>
          </cell>
          <cell r="B236" t="str">
            <v>GADO MIX LABEL 1.75X 0.5</v>
          </cell>
          <cell r="C236" t="str">
            <v>EA</v>
          </cell>
        </row>
        <row r="237">
          <cell r="A237" t="str">
            <v>2541A</v>
          </cell>
          <cell r="B237" t="str">
            <v>CHLORAPREP 10.5ML UNTINTD</v>
          </cell>
          <cell r="C237" t="str">
            <v>EA</v>
          </cell>
          <cell r="D237">
            <v>14</v>
          </cell>
          <cell r="E237">
            <v>106</v>
          </cell>
        </row>
        <row r="238">
          <cell r="A238" t="str">
            <v>2541B</v>
          </cell>
          <cell r="B238" t="str">
            <v>#11 BLADE-STAINLESS STEEL</v>
          </cell>
          <cell r="C238" t="str">
            <v>EA</v>
          </cell>
          <cell r="D238">
            <v>14</v>
          </cell>
          <cell r="E238">
            <v>99</v>
          </cell>
        </row>
        <row r="239">
          <cell r="A239" t="str">
            <v>2541D</v>
          </cell>
          <cell r="B239" t="str">
            <v>10X14" STYROFOAM TRAY</v>
          </cell>
          <cell r="C239" t="str">
            <v>EA</v>
          </cell>
          <cell r="D239">
            <v>30</v>
          </cell>
          <cell r="E239">
            <v>16</v>
          </cell>
        </row>
        <row r="240">
          <cell r="A240" t="str">
            <v>2541E</v>
          </cell>
          <cell r="B240" t="str">
            <v>CHLORAPREP 10.5MIL INSRT</v>
          </cell>
          <cell r="C240" t="str">
            <v>EA</v>
          </cell>
        </row>
        <row r="241">
          <cell r="A241" t="str">
            <v>2546B</v>
          </cell>
          <cell r="B241" t="str">
            <v>LATEX-FREE RUBBER BAND</v>
          </cell>
          <cell r="C241" t="str">
            <v>EA</v>
          </cell>
          <cell r="D241">
            <v>31</v>
          </cell>
          <cell r="E241">
            <v>1100</v>
          </cell>
        </row>
        <row r="242">
          <cell r="A242" t="str">
            <v>2555A</v>
          </cell>
          <cell r="B242" t="str">
            <v>9MM LAMINARIE C/DILATOR</v>
          </cell>
          <cell r="C242" t="str">
            <v>EA</v>
          </cell>
        </row>
        <row r="243">
          <cell r="A243" t="str">
            <v>2581A</v>
          </cell>
          <cell r="B243" t="str">
            <v>STER 10.5MLCHLORAPREP/ORG</v>
          </cell>
          <cell r="C243" t="str">
            <v>EA</v>
          </cell>
        </row>
        <row r="244">
          <cell r="A244" t="str">
            <v>2581B</v>
          </cell>
          <cell r="B244" t="str">
            <v>33IN STANDARD B/EXT.SET</v>
          </cell>
          <cell r="C244" t="str">
            <v>EA</v>
          </cell>
        </row>
        <row r="245">
          <cell r="A245" t="str">
            <v>2592A</v>
          </cell>
          <cell r="B245" t="str">
            <v>20GX3.5"TUOHY/FIXED METAL</v>
          </cell>
          <cell r="C245" t="str">
            <v>EA</v>
          </cell>
          <cell r="D245" t="str">
            <v>N3</v>
          </cell>
          <cell r="E245">
            <v>2008</v>
          </cell>
        </row>
        <row r="246">
          <cell r="A246" t="str">
            <v>2600A</v>
          </cell>
          <cell r="B246" t="str">
            <v>SUTURE BAG</v>
          </cell>
          <cell r="C246" t="str">
            <v>EA</v>
          </cell>
          <cell r="D246">
            <v>14</v>
          </cell>
          <cell r="E246">
            <v>1855</v>
          </cell>
        </row>
        <row r="247">
          <cell r="A247" t="str">
            <v>2600B-1</v>
          </cell>
          <cell r="B247" t="str">
            <v>32"MICRO EXTSET DEHP FREE</v>
          </cell>
          <cell r="C247" t="str">
            <v>EA</v>
          </cell>
          <cell r="D247">
            <v>14</v>
          </cell>
          <cell r="E247">
            <v>125</v>
          </cell>
        </row>
        <row r="248">
          <cell r="A248" t="str">
            <v>2637A</v>
          </cell>
          <cell r="B248" t="str">
            <v>53X77 EENT S/DRAPE W/TAPE</v>
          </cell>
          <cell r="C248" t="str">
            <v>EA</v>
          </cell>
          <cell r="D248">
            <v>20</v>
          </cell>
          <cell r="E248">
            <v>41</v>
          </cell>
        </row>
        <row r="249">
          <cell r="A249" t="str">
            <v>2637C</v>
          </cell>
          <cell r="B249" t="str">
            <v>4.5X4.1YDS KERLIX ROLL</v>
          </cell>
          <cell r="C249" t="str">
            <v>EA</v>
          </cell>
          <cell r="D249">
            <v>25</v>
          </cell>
          <cell r="E249">
            <v>164</v>
          </cell>
        </row>
        <row r="250">
          <cell r="A250" t="str">
            <v>2637D</v>
          </cell>
          <cell r="B250" t="str">
            <v>5.4X9.72X1"LG SHALLOW TY</v>
          </cell>
          <cell r="C250" t="str">
            <v>EA</v>
          </cell>
          <cell r="D250">
            <v>18</v>
          </cell>
          <cell r="E250">
            <v>650</v>
          </cell>
        </row>
        <row r="251">
          <cell r="A251" t="str">
            <v>2655A</v>
          </cell>
          <cell r="B251" t="str">
            <v>23GX31/2"Q/SPINAL NEEDLE</v>
          </cell>
          <cell r="C251" t="str">
            <v>EA</v>
          </cell>
          <cell r="D251" t="str">
            <v>N2</v>
          </cell>
          <cell r="E251">
            <v>682</v>
          </cell>
        </row>
        <row r="252">
          <cell r="A252" t="str">
            <v>2662A</v>
          </cell>
          <cell r="B252" t="str">
            <v>FOAM HEAD BLOCK</v>
          </cell>
          <cell r="C252" t="str">
            <v>EA</v>
          </cell>
          <cell r="D252">
            <v>62</v>
          </cell>
          <cell r="E252">
            <v>56</v>
          </cell>
        </row>
        <row r="253">
          <cell r="A253" t="str">
            <v>2677A</v>
          </cell>
          <cell r="B253" t="str">
            <v>2ML DEMO/D/STERILE WATER</v>
          </cell>
          <cell r="C253" t="str">
            <v>EA</v>
          </cell>
        </row>
        <row r="254">
          <cell r="A254" t="str">
            <v>2684A</v>
          </cell>
          <cell r="B254" t="str">
            <v>6" DRY SPONGE STICK</v>
          </cell>
          <cell r="C254" t="str">
            <v>EA</v>
          </cell>
          <cell r="D254">
            <v>25</v>
          </cell>
          <cell r="E254">
            <v>7444</v>
          </cell>
        </row>
        <row r="255">
          <cell r="A255" t="str">
            <v>2695A</v>
          </cell>
          <cell r="B255" t="str">
            <v>6IN SM/B/EXT./W/M@F/REV/C</v>
          </cell>
          <cell r="C255" t="str">
            <v>EA</v>
          </cell>
          <cell r="D255">
            <v>27</v>
          </cell>
          <cell r="E255">
            <v>12431</v>
          </cell>
        </row>
        <row r="256">
          <cell r="A256" t="str">
            <v>2730D</v>
          </cell>
          <cell r="B256" t="str">
            <v>30 COUNT/D/MAGNET NDLE/C</v>
          </cell>
          <cell r="C256" t="str">
            <v>EA</v>
          </cell>
        </row>
        <row r="257">
          <cell r="A257" t="str">
            <v>2764A-1</v>
          </cell>
          <cell r="B257" t="str">
            <v>27.5IN X 37IN HEADER BAG</v>
          </cell>
          <cell r="C257" t="str">
            <v>EA</v>
          </cell>
          <cell r="D257">
            <v>23</v>
          </cell>
          <cell r="E257">
            <v>41</v>
          </cell>
        </row>
        <row r="258">
          <cell r="A258" t="str">
            <v>2764B</v>
          </cell>
          <cell r="B258" t="str">
            <v>77X114 SPLIT SHEET W/TAPE</v>
          </cell>
          <cell r="C258" t="str">
            <v>EA</v>
          </cell>
          <cell r="D258">
            <v>25</v>
          </cell>
          <cell r="E258">
            <v>35</v>
          </cell>
        </row>
        <row r="259">
          <cell r="A259" t="str">
            <v>2764C</v>
          </cell>
          <cell r="B259" t="str">
            <v>108" x 50" TOP SHEET</v>
          </cell>
          <cell r="C259" t="str">
            <v>EA</v>
          </cell>
        </row>
        <row r="260">
          <cell r="A260" t="str">
            <v>2764I</v>
          </cell>
          <cell r="B260" t="str">
            <v>#10 BLADE-CARBON STEEL</v>
          </cell>
          <cell r="C260" t="str">
            <v>EA</v>
          </cell>
          <cell r="D260">
            <v>14</v>
          </cell>
          <cell r="E260">
            <v>35</v>
          </cell>
        </row>
        <row r="261">
          <cell r="A261" t="str">
            <v>2764J</v>
          </cell>
          <cell r="B261" t="str">
            <v>LATEX P/F GLOVE WALLETED</v>
          </cell>
          <cell r="C261" t="str">
            <v>PR</v>
          </cell>
          <cell r="D261">
            <v>14</v>
          </cell>
          <cell r="E261">
            <v>78</v>
          </cell>
        </row>
        <row r="262">
          <cell r="A262" t="str">
            <v>2764J-1</v>
          </cell>
          <cell r="B262" t="str">
            <v>LATEX P/F GLOVE WALLETED</v>
          </cell>
          <cell r="C262" t="str">
            <v>PR</v>
          </cell>
          <cell r="D262">
            <v>15</v>
          </cell>
          <cell r="E262">
            <v>88</v>
          </cell>
        </row>
        <row r="263">
          <cell r="A263" t="str">
            <v>2764L</v>
          </cell>
          <cell r="B263" t="str">
            <v>CAUTERY PENCIL W/HOLSTER</v>
          </cell>
          <cell r="C263" t="str">
            <v>EA</v>
          </cell>
          <cell r="D263">
            <v>14</v>
          </cell>
          <cell r="E263">
            <v>42</v>
          </cell>
        </row>
        <row r="264">
          <cell r="A264" t="str">
            <v>2789C</v>
          </cell>
          <cell r="B264" t="str">
            <v>18"X26" DRAPE B/W/4" FEN</v>
          </cell>
          <cell r="C264" t="str">
            <v>EA</v>
          </cell>
          <cell r="D264">
            <v>64</v>
          </cell>
          <cell r="E264">
            <v>4356</v>
          </cell>
        </row>
        <row r="265">
          <cell r="A265" t="str">
            <v>2790A</v>
          </cell>
          <cell r="B265" t="str">
            <v>48"X30 STD LEGGING</v>
          </cell>
          <cell r="C265" t="str">
            <v>EA</v>
          </cell>
          <cell r="D265">
            <v>8</v>
          </cell>
          <cell r="E265">
            <v>754</v>
          </cell>
        </row>
        <row r="266">
          <cell r="A266" t="str">
            <v>2790C</v>
          </cell>
          <cell r="B266" t="str">
            <v>7MM CURVED CURETTE</v>
          </cell>
          <cell r="C266" t="str">
            <v>EA</v>
          </cell>
          <cell r="D266">
            <v>21</v>
          </cell>
          <cell r="E266">
            <v>15643</v>
          </cell>
        </row>
        <row r="267">
          <cell r="A267" t="str">
            <v>2800A</v>
          </cell>
          <cell r="B267" t="str">
            <v>20GX 31/2"NDLE W/R/WINGS</v>
          </cell>
          <cell r="C267" t="str">
            <v>EA</v>
          </cell>
          <cell r="D267" t="str">
            <v>N6</v>
          </cell>
          <cell r="E267">
            <v>368</v>
          </cell>
        </row>
        <row r="268">
          <cell r="A268" t="str">
            <v>2800C</v>
          </cell>
          <cell r="B268" t="str">
            <v>8MM CURVED CURETTE</v>
          </cell>
          <cell r="C268" t="str">
            <v>EA</v>
          </cell>
          <cell r="D268">
            <v>31</v>
          </cell>
          <cell r="E268">
            <v>25466</v>
          </cell>
        </row>
        <row r="269">
          <cell r="A269" t="str">
            <v>2807</v>
          </cell>
          <cell r="B269" t="str">
            <v>Unprinted Ctn</v>
          </cell>
          <cell r="C269" t="str">
            <v>EA</v>
          </cell>
          <cell r="D269" t="str">
            <v>MZ6</v>
          </cell>
          <cell r="E269">
            <v>188</v>
          </cell>
        </row>
        <row r="270">
          <cell r="A270" t="str">
            <v>2810C</v>
          </cell>
          <cell r="B270" t="str">
            <v>9MM CURVED CURETTE</v>
          </cell>
          <cell r="C270" t="str">
            <v>EA</v>
          </cell>
          <cell r="D270">
            <v>18</v>
          </cell>
          <cell r="E270">
            <v>11671</v>
          </cell>
        </row>
        <row r="271">
          <cell r="A271" t="str">
            <v>2820C</v>
          </cell>
          <cell r="B271" t="str">
            <v>10MM CURVED CURETTE</v>
          </cell>
          <cell r="C271" t="str">
            <v>EA</v>
          </cell>
          <cell r="D271">
            <v>23</v>
          </cell>
          <cell r="E271">
            <v>21029</v>
          </cell>
        </row>
        <row r="272">
          <cell r="A272" t="str">
            <v>2829B</v>
          </cell>
          <cell r="B272" t="str">
            <v>18"X11/2" SHORT BEVEL/NDL</v>
          </cell>
          <cell r="C272" t="str">
            <v>EA</v>
          </cell>
          <cell r="D272" t="str">
            <v>N2</v>
          </cell>
          <cell r="E272">
            <v>639</v>
          </cell>
        </row>
        <row r="273">
          <cell r="A273" t="str">
            <v>2830C</v>
          </cell>
          <cell r="B273" t="str">
            <v>11MM CURVED CURETTE</v>
          </cell>
          <cell r="C273" t="str">
            <v>EA</v>
          </cell>
          <cell r="D273">
            <v>61</v>
          </cell>
          <cell r="E273">
            <v>3510</v>
          </cell>
        </row>
        <row r="274">
          <cell r="A274" t="str">
            <v>2840C</v>
          </cell>
          <cell r="B274" t="str">
            <v>12MM CURVED CURETTE</v>
          </cell>
          <cell r="C274" t="str">
            <v>EA</v>
          </cell>
          <cell r="D274">
            <v>62</v>
          </cell>
          <cell r="E274">
            <v>12771</v>
          </cell>
        </row>
        <row r="275">
          <cell r="A275" t="str">
            <v>2850C</v>
          </cell>
          <cell r="B275" t="str">
            <v>14MM CURVED CURETTE</v>
          </cell>
          <cell r="C275" t="str">
            <v>EA</v>
          </cell>
          <cell r="D275">
            <v>23</v>
          </cell>
          <cell r="E275">
            <v>21761</v>
          </cell>
        </row>
        <row r="276">
          <cell r="A276" t="str">
            <v>2862A</v>
          </cell>
          <cell r="B276" t="str">
            <v>13 X 19 2PP TOWEL</v>
          </cell>
          <cell r="C276" t="str">
            <v>EA</v>
          </cell>
        </row>
        <row r="277">
          <cell r="A277" t="str">
            <v>2862A-1</v>
          </cell>
          <cell r="B277" t="str">
            <v>13.5X18" TTP WHITE TOWEL</v>
          </cell>
          <cell r="C277" t="str">
            <v>EA</v>
          </cell>
          <cell r="D277">
            <v>23</v>
          </cell>
          <cell r="E277">
            <v>1071</v>
          </cell>
        </row>
        <row r="278">
          <cell r="A278" t="str">
            <v>2862B</v>
          </cell>
          <cell r="B278" t="str">
            <v>18GX31/2IN NDLE W/REM/WG</v>
          </cell>
          <cell r="C278" t="str">
            <v>EA</v>
          </cell>
          <cell r="D278" t="str">
            <v>N9</v>
          </cell>
          <cell r="E278">
            <v>856</v>
          </cell>
        </row>
        <row r="279">
          <cell r="A279" t="str">
            <v>2862C</v>
          </cell>
          <cell r="B279" t="str">
            <v>18IN G X 11/2" NEEDLE</v>
          </cell>
          <cell r="C279" t="str">
            <v>EA</v>
          </cell>
          <cell r="D279" t="str">
            <v>N4</v>
          </cell>
          <cell r="E279">
            <v>49239</v>
          </cell>
        </row>
        <row r="280">
          <cell r="A280" t="str">
            <v>2862D</v>
          </cell>
          <cell r="B280" t="str">
            <v>22 G X 1-1/2" NEEDLE</v>
          </cell>
          <cell r="C280" t="str">
            <v>EA</v>
          </cell>
          <cell r="D280" t="str">
            <v>N6</v>
          </cell>
          <cell r="E280">
            <v>18672</v>
          </cell>
        </row>
        <row r="281">
          <cell r="A281" t="str">
            <v>2862G</v>
          </cell>
          <cell r="B281" t="str">
            <v>27GX 11/4 NEEDLE STERILE</v>
          </cell>
          <cell r="C281" t="str">
            <v>EA</v>
          </cell>
          <cell r="D281" t="str">
            <v>N4</v>
          </cell>
          <cell r="E281">
            <v>73</v>
          </cell>
        </row>
        <row r="282">
          <cell r="A282" t="str">
            <v>2880A</v>
          </cell>
          <cell r="B282" t="str">
            <v>8"SPONGE W/10%/P/SOLUT2/P</v>
          </cell>
          <cell r="C282" t="str">
            <v>EA</v>
          </cell>
          <cell r="D282">
            <v>19</v>
          </cell>
          <cell r="E282">
            <v>144</v>
          </cell>
        </row>
        <row r="283">
          <cell r="A283" t="str">
            <v>2880B</v>
          </cell>
          <cell r="B283" t="str">
            <v>33.5"X14"X 32"U/B/DRAPE</v>
          </cell>
          <cell r="C283" t="str">
            <v>EA</v>
          </cell>
          <cell r="D283">
            <v>14</v>
          </cell>
          <cell r="E283">
            <v>281</v>
          </cell>
        </row>
        <row r="284">
          <cell r="A284" t="str">
            <v>2880C</v>
          </cell>
          <cell r="B284" t="str">
            <v>CYSTRO IRRIGATION SET</v>
          </cell>
          <cell r="C284" t="str">
            <v>EA</v>
          </cell>
          <cell r="D284">
            <v>21</v>
          </cell>
          <cell r="E284">
            <v>101</v>
          </cell>
        </row>
        <row r="285">
          <cell r="A285" t="str">
            <v>2880D</v>
          </cell>
          <cell r="B285" t="str">
            <v>LF SURG P/F/WALLET/G 7.5</v>
          </cell>
          <cell r="C285" t="str">
            <v>PR</v>
          </cell>
          <cell r="D285">
            <v>26</v>
          </cell>
          <cell r="E285">
            <v>135</v>
          </cell>
        </row>
        <row r="286">
          <cell r="A286" t="str">
            <v>2892B</v>
          </cell>
          <cell r="B286" t="str">
            <v>12"MINI BORE EXT SET</v>
          </cell>
          <cell r="C286" t="str">
            <v>EA</v>
          </cell>
          <cell r="D286">
            <v>23</v>
          </cell>
          <cell r="E286">
            <v>6789</v>
          </cell>
        </row>
        <row r="287">
          <cell r="A287" t="str">
            <v>2892C</v>
          </cell>
          <cell r="B287" t="str">
            <v>20" MINI BORE EXT SET</v>
          </cell>
          <cell r="C287" t="str">
            <v>EA</v>
          </cell>
          <cell r="D287">
            <v>24</v>
          </cell>
          <cell r="E287">
            <v>2600</v>
          </cell>
        </row>
        <row r="288">
          <cell r="A288" t="str">
            <v>2893A</v>
          </cell>
          <cell r="B288" t="str">
            <v>4 3/4"X3X1/8" LDPE POUCH</v>
          </cell>
          <cell r="C288" t="str">
            <v>EA</v>
          </cell>
          <cell r="D288">
            <v>26</v>
          </cell>
          <cell r="E288">
            <v>1525</v>
          </cell>
        </row>
        <row r="289">
          <cell r="A289" t="str">
            <v>2900A</v>
          </cell>
          <cell r="B289" t="str">
            <v>TOTAL 830 P1 IMPACT PS</v>
          </cell>
          <cell r="C289" t="str">
            <v>LB</v>
          </cell>
          <cell r="D289">
            <v>145</v>
          </cell>
          <cell r="E289">
            <v>3000</v>
          </cell>
        </row>
        <row r="290">
          <cell r="A290" t="str">
            <v>2901B</v>
          </cell>
          <cell r="B290" t="str">
            <v>Assm Poole Suction Instr</v>
          </cell>
          <cell r="C290" t="str">
            <v>EA</v>
          </cell>
          <cell r="D290">
            <v>50</v>
          </cell>
          <cell r="E290">
            <v>28910</v>
          </cell>
        </row>
        <row r="291">
          <cell r="A291" t="str">
            <v>2906</v>
          </cell>
          <cell r="B291" t="str">
            <v>Unprinted Shipper for 290</v>
          </cell>
          <cell r="C291" t="str">
            <v>EA</v>
          </cell>
          <cell r="D291" t="str">
            <v>MZ2</v>
          </cell>
          <cell r="E291">
            <v>1048</v>
          </cell>
        </row>
        <row r="292">
          <cell r="A292" t="str">
            <v>2912</v>
          </cell>
          <cell r="B292" t="str">
            <v>Unprinted Shipper ctn</v>
          </cell>
          <cell r="C292" t="str">
            <v>EA</v>
          </cell>
          <cell r="D292" t="str">
            <v>MZ6</v>
          </cell>
          <cell r="E292">
            <v>309</v>
          </cell>
        </row>
        <row r="293">
          <cell r="A293" t="str">
            <v>2916A</v>
          </cell>
          <cell r="B293" t="str">
            <v>30X24"CLEARDRAPE W/STRIP</v>
          </cell>
          <cell r="C293" t="str">
            <v>EA</v>
          </cell>
          <cell r="D293">
            <v>61</v>
          </cell>
          <cell r="E293">
            <v>2047</v>
          </cell>
        </row>
        <row r="294">
          <cell r="A294" t="str">
            <v>2920S</v>
          </cell>
          <cell r="B294" t="str">
            <v>CTN FOR POOLES</v>
          </cell>
          <cell r="C294" t="str">
            <v>EA</v>
          </cell>
          <cell r="D294" t="str">
            <v>MZ5</v>
          </cell>
          <cell r="E294">
            <v>1297</v>
          </cell>
        </row>
        <row r="295">
          <cell r="A295" t="str">
            <v>2923A</v>
          </cell>
          <cell r="B295" t="str">
            <v>4IN IRIS UNSER FCEPEPS</v>
          </cell>
          <cell r="C295" t="str">
            <v>EA</v>
          </cell>
        </row>
        <row r="296">
          <cell r="A296" t="str">
            <v>2960K1</v>
          </cell>
          <cell r="B296" t="str">
            <v>KR01 RESIN</v>
          </cell>
          <cell r="C296" t="str">
            <v>LB</v>
          </cell>
          <cell r="D296">
            <v>145</v>
          </cell>
          <cell r="E296">
            <v>6400</v>
          </cell>
        </row>
        <row r="297">
          <cell r="A297" t="str">
            <v>2960K3</v>
          </cell>
          <cell r="B297" t="str">
            <v>KR03- RESIN</v>
          </cell>
          <cell r="C297" t="str">
            <v>LB</v>
          </cell>
          <cell r="D297">
            <v>145</v>
          </cell>
          <cell r="E297">
            <v>4800</v>
          </cell>
        </row>
        <row r="298">
          <cell r="A298" t="str">
            <v>2960KB</v>
          </cell>
          <cell r="B298" t="str">
            <v>BENT YANK W/O V/OP/T/BL.</v>
          </cell>
          <cell r="C298" t="str">
            <v>EA</v>
          </cell>
          <cell r="D298">
            <v>52</v>
          </cell>
          <cell r="E298">
            <v>73306</v>
          </cell>
        </row>
        <row r="299">
          <cell r="A299" t="str">
            <v>2960KC</v>
          </cell>
          <cell r="B299" t="str">
            <v>BLUE COLOR CONCENTRATE</v>
          </cell>
          <cell r="C299" t="str">
            <v>LB</v>
          </cell>
          <cell r="D299">
            <v>145</v>
          </cell>
          <cell r="E299">
            <v>1000</v>
          </cell>
        </row>
        <row r="300">
          <cell r="A300" t="str">
            <v>2962</v>
          </cell>
          <cell r="B300" t="str">
            <v>8MIL PLYLENE,322MM WIDE</v>
          </cell>
          <cell r="C300" t="str">
            <v>LB</v>
          </cell>
          <cell r="D300">
            <v>35</v>
          </cell>
          <cell r="E300">
            <v>1736</v>
          </cell>
        </row>
        <row r="301">
          <cell r="A301" t="str">
            <v>2963A</v>
          </cell>
          <cell r="B301" t="str">
            <v>25X13X38X.00125 LLDPE BAG</v>
          </cell>
          <cell r="C301" t="str">
            <v>EA</v>
          </cell>
          <cell r="D301">
            <v>63</v>
          </cell>
          <cell r="E301">
            <v>13592</v>
          </cell>
        </row>
        <row r="302">
          <cell r="A302" t="str">
            <v>2963Y</v>
          </cell>
          <cell r="B302" t="str">
            <v>POLY BAG 28X18X39 F/YANK</v>
          </cell>
          <cell r="C302" t="str">
            <v>EA</v>
          </cell>
          <cell r="D302">
            <v>61</v>
          </cell>
          <cell r="E302">
            <v>8400</v>
          </cell>
        </row>
        <row r="303">
          <cell r="A303" t="str">
            <v>2970K</v>
          </cell>
          <cell r="B303" t="str">
            <v>MOLD BLENDED W/V YANK O/P</v>
          </cell>
          <cell r="C303" t="str">
            <v>EA</v>
          </cell>
        </row>
        <row r="304">
          <cell r="A304" t="str">
            <v>2970KB</v>
          </cell>
          <cell r="B304" t="str">
            <v>BENT W/V OPEN TIP YANK BL</v>
          </cell>
          <cell r="C304" t="str">
            <v>EA</v>
          </cell>
          <cell r="D304">
            <v>52</v>
          </cell>
          <cell r="E304">
            <v>9405</v>
          </cell>
        </row>
        <row r="305">
          <cell r="A305" t="str">
            <v>2980KB</v>
          </cell>
          <cell r="B305" t="str">
            <v>BENT W/O/V YANK B/TIP BL</v>
          </cell>
          <cell r="C305" t="str">
            <v>EA</v>
          </cell>
          <cell r="D305">
            <v>51</v>
          </cell>
          <cell r="E305">
            <v>96833</v>
          </cell>
        </row>
        <row r="306">
          <cell r="A306" t="str">
            <v>2980S</v>
          </cell>
          <cell r="B306" t="str">
            <v>SHIPPER CTN</v>
          </cell>
          <cell r="C306" t="str">
            <v>EA</v>
          </cell>
          <cell r="D306" t="str">
            <v>MZ2</v>
          </cell>
          <cell r="E306">
            <v>2819</v>
          </cell>
        </row>
        <row r="307">
          <cell r="A307" t="str">
            <v>2981T</v>
          </cell>
          <cell r="B307" t="str">
            <v>1/2" TEFLON TAPE</v>
          </cell>
          <cell r="C307" t="str">
            <v>LY</v>
          </cell>
          <cell r="D307">
            <v>5</v>
          </cell>
          <cell r="E307">
            <v>485</v>
          </cell>
        </row>
        <row r="308">
          <cell r="A308" t="str">
            <v>2986S</v>
          </cell>
          <cell r="B308" t="str">
            <v>CTN FOR OPEN TIP YANKUERS</v>
          </cell>
          <cell r="C308" t="str">
            <v>EA</v>
          </cell>
          <cell r="D308" t="str">
            <v>MZ6</v>
          </cell>
          <cell r="E308">
            <v>483</v>
          </cell>
        </row>
        <row r="309">
          <cell r="A309" t="str">
            <v>2990KB</v>
          </cell>
          <cell r="B309" t="str">
            <v>BENT W/V YANK BULB TIP BL</v>
          </cell>
          <cell r="C309" t="str">
            <v>EA</v>
          </cell>
          <cell r="D309">
            <v>52</v>
          </cell>
          <cell r="E309">
            <v>9298</v>
          </cell>
        </row>
        <row r="310">
          <cell r="A310" t="str">
            <v>3/1000</v>
          </cell>
          <cell r="B310" t="str">
            <v>INK - PMS 287 BLUE</v>
          </cell>
          <cell r="C310" t="str">
            <v>GA</v>
          </cell>
        </row>
        <row r="311">
          <cell r="A311" t="str">
            <v>3/1001</v>
          </cell>
          <cell r="B311" t="str">
            <v>INK-PROC BLK 15000</v>
          </cell>
          <cell r="C311" t="str">
            <v>GA</v>
          </cell>
        </row>
        <row r="312">
          <cell r="A312" t="str">
            <v>3/1002</v>
          </cell>
          <cell r="B312" t="str">
            <v>INK - PMS 280 BLUE</v>
          </cell>
          <cell r="C312" t="str">
            <v>GA</v>
          </cell>
        </row>
        <row r="313">
          <cell r="A313" t="str">
            <v>3/1003</v>
          </cell>
          <cell r="B313" t="str">
            <v>INK- PMS 301 BLUE</v>
          </cell>
          <cell r="C313" t="str">
            <v>GA</v>
          </cell>
        </row>
        <row r="314">
          <cell r="A314" t="str">
            <v>3/1004</v>
          </cell>
          <cell r="B314" t="str">
            <v>INK - PMS 3425 GREEN</v>
          </cell>
          <cell r="C314" t="str">
            <v>GA</v>
          </cell>
        </row>
        <row r="315">
          <cell r="A315" t="str">
            <v>3/1005</v>
          </cell>
          <cell r="B315" t="str">
            <v>INK - PMS221MAROON</v>
          </cell>
          <cell r="C315" t="str">
            <v>GA</v>
          </cell>
        </row>
        <row r="316">
          <cell r="A316" t="str">
            <v>3/1006</v>
          </cell>
          <cell r="B316" t="str">
            <v>PLT272 #65 BLACK INK</v>
          </cell>
          <cell r="C316" t="str">
            <v>GA</v>
          </cell>
        </row>
        <row r="317">
          <cell r="A317" t="str">
            <v>3/1007</v>
          </cell>
          <cell r="B317" t="str">
            <v>PLTD RETARDER FOR 3/1006</v>
          </cell>
          <cell r="C317" t="str">
            <v>GA</v>
          </cell>
        </row>
        <row r="318">
          <cell r="A318" t="str">
            <v>3/1008</v>
          </cell>
          <cell r="B318" t="str">
            <v>PLTAL THINNER FOR 3/1006</v>
          </cell>
          <cell r="C318" t="str">
            <v>GA</v>
          </cell>
        </row>
        <row r="319">
          <cell r="A319" t="str">
            <v>3/1009</v>
          </cell>
          <cell r="B319" t="str">
            <v>GREEN DETERGENT-PALMOLIVE</v>
          </cell>
          <cell r="C319" t="str">
            <v>EA</v>
          </cell>
        </row>
        <row r="320">
          <cell r="A320" t="str">
            <v>3/1010</v>
          </cell>
          <cell r="B320" t="str">
            <v>PMS 2945 BLUE INK</v>
          </cell>
          <cell r="C320" t="str">
            <v>GA</v>
          </cell>
        </row>
        <row r="321">
          <cell r="A321" t="str">
            <v>3/1011</v>
          </cell>
          <cell r="B321" t="str">
            <v>PMS 3015 BLUE INK</v>
          </cell>
          <cell r="C321" t="str">
            <v>GA</v>
          </cell>
        </row>
        <row r="322">
          <cell r="A322" t="str">
            <v>3/1013</v>
          </cell>
          <cell r="B322" t="str">
            <v>BLACK INK</v>
          </cell>
          <cell r="C322" t="str">
            <v>GA</v>
          </cell>
        </row>
        <row r="323">
          <cell r="A323" t="str">
            <v>3/2000</v>
          </cell>
          <cell r="B323" t="str">
            <v>CLEANER</v>
          </cell>
          <cell r="C323" t="str">
            <v>LB</v>
          </cell>
        </row>
        <row r="324">
          <cell r="A324" t="str">
            <v>3/3000</v>
          </cell>
          <cell r="B324" t="str">
            <v>ISOPROPYL ALCOHOL</v>
          </cell>
          <cell r="C324" t="str">
            <v>LB</v>
          </cell>
        </row>
        <row r="325">
          <cell r="A325" t="str">
            <v>3/4060</v>
          </cell>
          <cell r="B325" t="str">
            <v>WHITE FOIL 2"</v>
          </cell>
          <cell r="C325" t="str">
            <v>SI</v>
          </cell>
          <cell r="D325" t="str">
            <v>AP1</v>
          </cell>
          <cell r="E325">
            <v>2112000</v>
          </cell>
        </row>
        <row r="326">
          <cell r="A326" t="str">
            <v>3/4070</v>
          </cell>
          <cell r="B326" t="str">
            <v>WHITE FOIL 3 7/16" WIDE</v>
          </cell>
          <cell r="C326" t="str">
            <v>SI</v>
          </cell>
          <cell r="D326" t="str">
            <v>AP1</v>
          </cell>
          <cell r="E326">
            <v>2268750</v>
          </cell>
        </row>
        <row r="327">
          <cell r="A327" t="str">
            <v>3/5000</v>
          </cell>
          <cell r="B327" t="str">
            <v>FOOD GRADE SILICONE</v>
          </cell>
          <cell r="C327" t="str">
            <v>LB</v>
          </cell>
        </row>
        <row r="328">
          <cell r="A328" t="str">
            <v>3/9324</v>
          </cell>
          <cell r="B328" t="str">
            <v>BLUE FOIL 3 7/16" WIDE</v>
          </cell>
          <cell r="C328" t="str">
            <v>SI</v>
          </cell>
          <cell r="D328" t="str">
            <v>AP1</v>
          </cell>
          <cell r="E328">
            <v>576080</v>
          </cell>
        </row>
        <row r="329">
          <cell r="A329" t="str">
            <v>3/9355</v>
          </cell>
          <cell r="B329" t="str">
            <v>BLUE FOIL 2" WIDE</v>
          </cell>
          <cell r="C329" t="str">
            <v>SI</v>
          </cell>
          <cell r="D329" t="str">
            <v>AP1</v>
          </cell>
          <cell r="E329">
            <v>633600</v>
          </cell>
        </row>
        <row r="330">
          <cell r="A330" t="str">
            <v>3003-1</v>
          </cell>
          <cell r="B330" t="str">
            <v>STYROFOAM TRAY</v>
          </cell>
          <cell r="C330" t="str">
            <v>EA</v>
          </cell>
          <cell r="D330">
            <v>8</v>
          </cell>
          <cell r="E330">
            <v>8561</v>
          </cell>
        </row>
        <row r="331">
          <cell r="A331" t="str">
            <v>3005A</v>
          </cell>
          <cell r="B331" t="str">
            <v>1"x4" Transpore Strip</v>
          </cell>
          <cell r="C331" t="str">
            <v>EA</v>
          </cell>
          <cell r="D331">
            <v>19</v>
          </cell>
          <cell r="E331">
            <v>35182</v>
          </cell>
        </row>
        <row r="332">
          <cell r="A332" t="str">
            <v>3016</v>
          </cell>
          <cell r="B332" t="str">
            <v>#1538 1"x18"Durapore Tape</v>
          </cell>
          <cell r="C332" t="str">
            <v>EA</v>
          </cell>
          <cell r="D332">
            <v>29</v>
          </cell>
          <cell r="E332">
            <v>4668</v>
          </cell>
        </row>
        <row r="333">
          <cell r="A333" t="str">
            <v>3064A</v>
          </cell>
          <cell r="B333" t="str">
            <v>BUSSE (TRAY#12 S/6.75X8X2</v>
          </cell>
          <cell r="C333" t="str">
            <v>EA</v>
          </cell>
          <cell r="D333">
            <v>74</v>
          </cell>
          <cell r="E333">
            <v>2329</v>
          </cell>
        </row>
        <row r="334">
          <cell r="A334" t="str">
            <v>3069A</v>
          </cell>
          <cell r="B334" t="str">
            <v>5.5X58" FLEX PROBE/COVER</v>
          </cell>
          <cell r="C334" t="str">
            <v>EA</v>
          </cell>
        </row>
        <row r="335">
          <cell r="A335" t="str">
            <v>3073A-1</v>
          </cell>
          <cell r="B335" t="str">
            <v>60"X76" THREE Q/DRAPE/SH</v>
          </cell>
          <cell r="C335" t="str">
            <v>EA</v>
          </cell>
          <cell r="D335">
            <v>31</v>
          </cell>
          <cell r="E335">
            <v>42</v>
          </cell>
        </row>
        <row r="336">
          <cell r="A336" t="str">
            <v>3073B</v>
          </cell>
          <cell r="B336" t="str">
            <v>SAFETY SCALPEL W/11 BLADE</v>
          </cell>
          <cell r="C336" t="str">
            <v>EA</v>
          </cell>
          <cell r="D336">
            <v>23</v>
          </cell>
          <cell r="E336">
            <v>2060</v>
          </cell>
        </row>
        <row r="337">
          <cell r="A337" t="str">
            <v>3079A</v>
          </cell>
          <cell r="B337" t="str">
            <v>22GX31/2"TUOHY N/W/F/WG</v>
          </cell>
          <cell r="C337" t="str">
            <v>EA</v>
          </cell>
          <cell r="D337" t="str">
            <v>N4</v>
          </cell>
          <cell r="E337">
            <v>368</v>
          </cell>
        </row>
        <row r="338">
          <cell r="A338" t="str">
            <v>3094B</v>
          </cell>
          <cell r="B338" t="str">
            <v>BUPIVAC LBL 1.75'X0.5</v>
          </cell>
          <cell r="C338" t="str">
            <v>EA</v>
          </cell>
        </row>
        <row r="339">
          <cell r="A339" t="str">
            <v>3104A</v>
          </cell>
          <cell r="B339" t="str">
            <v>LATEX P/F WAL/SURG GLV7.5</v>
          </cell>
          <cell r="C339" t="str">
            <v>PR</v>
          </cell>
          <cell r="D339">
            <v>15</v>
          </cell>
          <cell r="E339">
            <v>194</v>
          </cell>
        </row>
        <row r="340">
          <cell r="A340" t="str">
            <v>3104A-1</v>
          </cell>
          <cell r="B340" t="str">
            <v>P/F Walleted S/Gloves 7.5</v>
          </cell>
          <cell r="C340" t="str">
            <v>PR</v>
          </cell>
          <cell r="D340">
            <v>14</v>
          </cell>
          <cell r="E340">
            <v>552</v>
          </cell>
        </row>
        <row r="341">
          <cell r="A341" t="str">
            <v>3122C</v>
          </cell>
          <cell r="B341" t="str">
            <v>LIGHT HANDLE COVER,BULK</v>
          </cell>
          <cell r="C341" t="str">
            <v>EA</v>
          </cell>
          <cell r="D341">
            <v>24</v>
          </cell>
          <cell r="E341">
            <v>1831</v>
          </cell>
        </row>
        <row r="342">
          <cell r="A342" t="str">
            <v>3124B</v>
          </cell>
          <cell r="B342" t="str">
            <v>1/2"x4" Transpore Strips</v>
          </cell>
          <cell r="C342" t="str">
            <v>EA</v>
          </cell>
          <cell r="D342">
            <v>31</v>
          </cell>
          <cell r="E342">
            <v>26451</v>
          </cell>
        </row>
        <row r="343">
          <cell r="A343" t="str">
            <v>3138A</v>
          </cell>
          <cell r="B343" t="str">
            <v>10X17 TOWER TEAR BAG</v>
          </cell>
          <cell r="C343" t="str">
            <v>EA</v>
          </cell>
          <cell r="D343">
            <v>20</v>
          </cell>
          <cell r="E343">
            <v>88622</v>
          </cell>
        </row>
        <row r="344">
          <cell r="A344" t="str">
            <v>3138A-1</v>
          </cell>
          <cell r="B344" t="str">
            <v>10X17 X4 MIL HEADER BAG</v>
          </cell>
          <cell r="C344" t="str">
            <v>EA</v>
          </cell>
          <cell r="D344" t="str">
            <v>LIS</v>
          </cell>
          <cell r="E344">
            <v>83587</v>
          </cell>
        </row>
        <row r="345">
          <cell r="A345" t="str">
            <v>3138A-1</v>
          </cell>
          <cell r="B345" t="str">
            <v>10X17 X4 MIL HEADER BAG</v>
          </cell>
          <cell r="C345" t="str">
            <v>EA</v>
          </cell>
          <cell r="D345">
            <v>32</v>
          </cell>
          <cell r="E345">
            <v>49864</v>
          </cell>
        </row>
        <row r="346">
          <cell r="A346" t="str">
            <v>3141B</v>
          </cell>
          <cell r="B346" t="str">
            <v>20 COUNT NEEDLE COUNTER</v>
          </cell>
          <cell r="C346" t="str">
            <v>EA</v>
          </cell>
          <cell r="D346">
            <v>25</v>
          </cell>
          <cell r="E346">
            <v>18</v>
          </cell>
        </row>
        <row r="347">
          <cell r="A347" t="str">
            <v>3141J-1</v>
          </cell>
          <cell r="B347" t="str">
            <v>20.75 X 26.75 4MIL HDR BG</v>
          </cell>
          <cell r="C347" t="str">
            <v>EA</v>
          </cell>
          <cell r="D347">
            <v>22</v>
          </cell>
          <cell r="E347">
            <v>184</v>
          </cell>
        </row>
        <row r="348">
          <cell r="A348" t="str">
            <v>3157A</v>
          </cell>
          <cell r="B348" t="str">
            <v>18GX11/2"SAFETY GLIDE NDL</v>
          </cell>
          <cell r="C348" t="str">
            <v>EA</v>
          </cell>
          <cell r="D348" t="str">
            <v>N2</v>
          </cell>
          <cell r="E348">
            <v>314</v>
          </cell>
        </row>
        <row r="349">
          <cell r="A349" t="str">
            <v>3157B</v>
          </cell>
          <cell r="B349" t="str">
            <v>25GX1" SAFETY GLIDE NDLE</v>
          </cell>
          <cell r="C349" t="str">
            <v>EA</v>
          </cell>
          <cell r="D349" t="str">
            <v>N3</v>
          </cell>
          <cell r="E349">
            <v>580</v>
          </cell>
        </row>
        <row r="350">
          <cell r="A350" t="str">
            <v>3173</v>
          </cell>
          <cell r="B350" t="str">
            <v>12 1/2"x18" Polybag</v>
          </cell>
          <cell r="C350" t="str">
            <v>EA</v>
          </cell>
          <cell r="D350">
            <v>60</v>
          </cell>
          <cell r="E350">
            <v>4000</v>
          </cell>
        </row>
        <row r="351">
          <cell r="A351" t="str">
            <v>3201</v>
          </cell>
          <cell r="B351" t="str">
            <v>8MIL PLYLENE,364MM</v>
          </cell>
          <cell r="C351" t="str">
            <v>LB</v>
          </cell>
          <cell r="D351">
            <v>35</v>
          </cell>
          <cell r="E351">
            <v>1420</v>
          </cell>
        </row>
        <row r="352">
          <cell r="A352" t="str">
            <v>3205-2</v>
          </cell>
          <cell r="B352" t="str">
            <v>UNPRINTED CTN FOR 3220</v>
          </cell>
          <cell r="C352" t="str">
            <v>EA</v>
          </cell>
          <cell r="D352" t="str">
            <v>MZ1</v>
          </cell>
          <cell r="E352">
            <v>455</v>
          </cell>
        </row>
        <row r="353">
          <cell r="A353" t="str">
            <v>3208-2</v>
          </cell>
          <cell r="B353" t="str">
            <v>4"X4"12PLYGAUZE/PROCESS10</v>
          </cell>
          <cell r="C353" t="str">
            <v>EA</v>
          </cell>
          <cell r="D353">
            <v>25</v>
          </cell>
          <cell r="E353">
            <v>189148</v>
          </cell>
        </row>
        <row r="354">
          <cell r="A354" t="str">
            <v>3232-2</v>
          </cell>
          <cell r="B354" t="str">
            <v>UNPRINTED DISP FOR 3220</v>
          </cell>
          <cell r="C354" t="str">
            <v>EA</v>
          </cell>
          <cell r="D354" t="str">
            <v>MZ1</v>
          </cell>
          <cell r="E354">
            <v>2833</v>
          </cell>
        </row>
        <row r="355">
          <cell r="A355" t="str">
            <v>3253A</v>
          </cell>
          <cell r="B355" t="str">
            <v>STERILE 16 G X 1" NEEDLE</v>
          </cell>
          <cell r="C355" t="str">
            <v>EA</v>
          </cell>
        </row>
        <row r="356">
          <cell r="A356" t="str">
            <v>3273S</v>
          </cell>
          <cell r="B356" t="str">
            <v>UNPRINTED CTN.</v>
          </cell>
          <cell r="C356" t="str">
            <v>EA</v>
          </cell>
          <cell r="D356" t="str">
            <v>MZ2</v>
          </cell>
          <cell r="E356">
            <v>457</v>
          </cell>
        </row>
        <row r="357">
          <cell r="A357" t="str">
            <v>3281D</v>
          </cell>
          <cell r="B357" t="str">
            <v>3X4 TELFA N/ADH DRESSING</v>
          </cell>
          <cell r="C357" t="str">
            <v>EA</v>
          </cell>
          <cell r="D357">
            <v>14</v>
          </cell>
          <cell r="E357">
            <v>503</v>
          </cell>
        </row>
        <row r="358">
          <cell r="A358" t="str">
            <v>3283</v>
          </cell>
          <cell r="B358" t="str">
            <v>21" BLUE SPUNBOND/CAP 1EA</v>
          </cell>
          <cell r="C358" t="str">
            <v>EA</v>
          </cell>
          <cell r="D358">
            <v>30</v>
          </cell>
          <cell r="E358">
            <v>474</v>
          </cell>
        </row>
        <row r="359">
          <cell r="A359" t="str">
            <v>3285A</v>
          </cell>
          <cell r="B359" t="str">
            <v>22GX2" N-CORING/H/NEEDLE</v>
          </cell>
          <cell r="C359" t="str">
            <v>EA</v>
          </cell>
          <cell r="D359" t="str">
            <v>N9</v>
          </cell>
          <cell r="E359">
            <v>2369</v>
          </cell>
        </row>
        <row r="360">
          <cell r="A360" t="str">
            <v>3285C</v>
          </cell>
          <cell r="B360" t="str">
            <v>13"SM BORE EXT.SET/W/M&amp;F</v>
          </cell>
          <cell r="C360" t="str">
            <v>EA</v>
          </cell>
          <cell r="D360">
            <v>18</v>
          </cell>
          <cell r="E360">
            <v>5404</v>
          </cell>
        </row>
        <row r="361">
          <cell r="A361" t="str">
            <v>3292A</v>
          </cell>
          <cell r="B361" t="str">
            <v>51/2"MAYO STR.SCISSOR</v>
          </cell>
          <cell r="C361" t="str">
            <v>EA</v>
          </cell>
          <cell r="D361">
            <v>28</v>
          </cell>
          <cell r="E361">
            <v>101</v>
          </cell>
        </row>
        <row r="362">
          <cell r="A362" t="str">
            <v>3292B</v>
          </cell>
          <cell r="B362" t="str">
            <v>6" MAYO HEDGAR N/HOLDER</v>
          </cell>
          <cell r="C362" t="str">
            <v>EA</v>
          </cell>
          <cell r="D362">
            <v>38</v>
          </cell>
          <cell r="E362">
            <v>152</v>
          </cell>
        </row>
        <row r="363">
          <cell r="A363" t="str">
            <v>3292D-1</v>
          </cell>
          <cell r="B363" t="str">
            <v>SURGIKIT W/ PAPER BAND</v>
          </cell>
          <cell r="C363" t="str">
            <v>EA</v>
          </cell>
          <cell r="D363">
            <v>14</v>
          </cell>
          <cell r="E363">
            <v>43</v>
          </cell>
        </row>
        <row r="364">
          <cell r="A364" t="str">
            <v>3292G-1</v>
          </cell>
          <cell r="B364" t="str">
            <v>STER 26ML DURAPREP-1XSTER</v>
          </cell>
          <cell r="C364" t="str">
            <v>EA</v>
          </cell>
          <cell r="D364">
            <v>15</v>
          </cell>
          <cell r="E364">
            <v>29</v>
          </cell>
        </row>
        <row r="365">
          <cell r="A365" t="str">
            <v>3292H</v>
          </cell>
          <cell r="B365" t="str">
            <v>INSTRUCTION SHEET F/DURAP</v>
          </cell>
          <cell r="C365" t="str">
            <v>EA</v>
          </cell>
          <cell r="D365">
            <v>6</v>
          </cell>
          <cell r="E365">
            <v>334</v>
          </cell>
        </row>
        <row r="366">
          <cell r="A366" t="str">
            <v>3292I</v>
          </cell>
          <cell r="B366" t="str">
            <v>48 OZ LID (ONLY)</v>
          </cell>
          <cell r="C366" t="str">
            <v>EA</v>
          </cell>
          <cell r="D366">
            <v>29</v>
          </cell>
          <cell r="E366">
            <v>135</v>
          </cell>
        </row>
        <row r="367">
          <cell r="A367" t="str">
            <v>3292J</v>
          </cell>
          <cell r="B367" t="str">
            <v>10CC L/LOCK RED SYRINGE</v>
          </cell>
          <cell r="C367" t="str">
            <v>EA</v>
          </cell>
          <cell r="D367">
            <v>31</v>
          </cell>
          <cell r="E367">
            <v>90</v>
          </cell>
        </row>
        <row r="368">
          <cell r="A368" t="str">
            <v>3292K</v>
          </cell>
          <cell r="B368" t="str">
            <v>4 1/2 PLASTIC TWL CLAMP</v>
          </cell>
          <cell r="C368" t="str">
            <v>EA</v>
          </cell>
          <cell r="D368">
            <v>26</v>
          </cell>
          <cell r="E368">
            <v>192</v>
          </cell>
        </row>
        <row r="369">
          <cell r="A369" t="str">
            <v>3292L</v>
          </cell>
          <cell r="B369" t="str">
            <v>14.66X.16.29x1.04 L/B/Ty</v>
          </cell>
          <cell r="C369" t="str">
            <v>EA</v>
          </cell>
          <cell r="D369">
            <v>31</v>
          </cell>
          <cell r="E369">
            <v>46</v>
          </cell>
        </row>
        <row r="370">
          <cell r="A370" t="str">
            <v>3292M</v>
          </cell>
          <cell r="B370" t="str">
            <v>48 OZ (1500CC) BOWL</v>
          </cell>
          <cell r="C370" t="str">
            <v>EA</v>
          </cell>
          <cell r="D370">
            <v>18</v>
          </cell>
          <cell r="E370">
            <v>162</v>
          </cell>
        </row>
        <row r="371">
          <cell r="A371" t="str">
            <v>3292N</v>
          </cell>
          <cell r="B371" t="str">
            <v>27"X 48" BAND BAG W/TAPE</v>
          </cell>
          <cell r="C371" t="str">
            <v>EA</v>
          </cell>
          <cell r="D371">
            <v>18</v>
          </cell>
          <cell r="E371">
            <v>199</v>
          </cell>
        </row>
        <row r="372">
          <cell r="A372" t="str">
            <v>3292N</v>
          </cell>
          <cell r="B372" t="str">
            <v>27"X 48" BAND BAG W/TAPE</v>
          </cell>
          <cell r="C372" t="str">
            <v>EA</v>
          </cell>
          <cell r="D372">
            <v>33</v>
          </cell>
          <cell r="E372">
            <v>64</v>
          </cell>
        </row>
        <row r="373">
          <cell r="A373" t="str">
            <v>3292S</v>
          </cell>
          <cell r="B373" t="str">
            <v>SHIPPER CTN(ECT48/275DW</v>
          </cell>
          <cell r="C373" t="str">
            <v>EA</v>
          </cell>
          <cell r="D373" t="str">
            <v>MZ1</v>
          </cell>
          <cell r="E373">
            <v>258</v>
          </cell>
        </row>
        <row r="374">
          <cell r="A374" t="str">
            <v>3298D</v>
          </cell>
          <cell r="B374" t="str">
            <v>#15 BLADE-STAINLESS STEEL</v>
          </cell>
          <cell r="C374" t="str">
            <v>EA</v>
          </cell>
          <cell r="D374">
            <v>19</v>
          </cell>
          <cell r="E374">
            <v>90</v>
          </cell>
        </row>
        <row r="375">
          <cell r="A375" t="str">
            <v>3311</v>
          </cell>
          <cell r="B375" t="str">
            <v>24"Blue Spunb/Cap/1ea</v>
          </cell>
          <cell r="C375" t="str">
            <v>EA</v>
          </cell>
          <cell r="D375">
            <v>14</v>
          </cell>
          <cell r="E375">
            <v>260</v>
          </cell>
        </row>
        <row r="376">
          <cell r="A376" t="str">
            <v>3325A</v>
          </cell>
          <cell r="B376" t="str">
            <v>36X36" BAND BAG</v>
          </cell>
          <cell r="C376" t="str">
            <v>EA</v>
          </cell>
          <cell r="D376">
            <v>20</v>
          </cell>
          <cell r="E376">
            <v>800</v>
          </cell>
        </row>
        <row r="377">
          <cell r="A377" t="str">
            <v>3325B</v>
          </cell>
          <cell r="B377" t="str">
            <v>7"X1/8"CYAN B/A/RUBBER/B</v>
          </cell>
          <cell r="C377" t="str">
            <v>EA</v>
          </cell>
          <cell r="D377">
            <v>23</v>
          </cell>
          <cell r="E377">
            <v>202</v>
          </cell>
        </row>
        <row r="378">
          <cell r="A378" t="str">
            <v>3330A</v>
          </cell>
          <cell r="B378" t="str">
            <v>24" WHITE HAIR NET</v>
          </cell>
          <cell r="C378" t="str">
            <v>EA</v>
          </cell>
          <cell r="D378">
            <v>37</v>
          </cell>
          <cell r="E378">
            <v>5000</v>
          </cell>
        </row>
        <row r="379">
          <cell r="A379" t="str">
            <v>3351A</v>
          </cell>
          <cell r="B379" t="str">
            <v>1pc.SURGEONS CAP</v>
          </cell>
          <cell r="C379" t="str">
            <v>EA</v>
          </cell>
          <cell r="D379">
            <v>30</v>
          </cell>
          <cell r="E379">
            <v>248</v>
          </cell>
        </row>
        <row r="380">
          <cell r="A380" t="str">
            <v>3377-1</v>
          </cell>
          <cell r="B380" t="str">
            <v>WHITE SPUNBOND POLYPRO</v>
          </cell>
          <cell r="C380" t="str">
            <v>SY</v>
          </cell>
          <cell r="D380" t="str">
            <v>J</v>
          </cell>
          <cell r="E380">
            <v>7290</v>
          </cell>
        </row>
        <row r="381">
          <cell r="A381" t="str">
            <v>3377A</v>
          </cell>
          <cell r="B381" t="str">
            <v>Chin Strap/ Spunbonded PP</v>
          </cell>
          <cell r="C381" t="str">
            <v>EA</v>
          </cell>
          <cell r="D381">
            <v>60</v>
          </cell>
          <cell r="E381">
            <v>17000</v>
          </cell>
        </row>
        <row r="382">
          <cell r="A382" t="str">
            <v>3417A</v>
          </cell>
          <cell r="B382" t="str">
            <v>30ML 0.25% BUPIVACAINE /V</v>
          </cell>
          <cell r="C382" t="str">
            <v>EA</v>
          </cell>
        </row>
        <row r="383">
          <cell r="A383" t="str">
            <v>3417C</v>
          </cell>
          <cell r="B383" t="str">
            <v>20ML 1.5%LIDOCAINE AMPUL</v>
          </cell>
          <cell r="C383" t="str">
            <v>EA</v>
          </cell>
        </row>
        <row r="384">
          <cell r="A384" t="str">
            <v>3417F</v>
          </cell>
          <cell r="B384" t="str">
            <v>2/3ML LIDUID ADHESIVE</v>
          </cell>
          <cell r="C384" t="str">
            <v>EA</v>
          </cell>
        </row>
        <row r="385">
          <cell r="A385" t="str">
            <v>3431A</v>
          </cell>
          <cell r="B385" t="str">
            <v>VENTED F/L/L/SYRINGE CAP</v>
          </cell>
          <cell r="C385" t="str">
            <v>EA</v>
          </cell>
          <cell r="D385">
            <v>25</v>
          </cell>
          <cell r="E385">
            <v>5350</v>
          </cell>
        </row>
        <row r="386">
          <cell r="A386" t="str">
            <v>3454B</v>
          </cell>
          <cell r="B386" t="str">
            <v>BLOOD TRANSFER DEVICE W/L</v>
          </cell>
          <cell r="C386" t="str">
            <v>EA</v>
          </cell>
        </row>
        <row r="387">
          <cell r="A387" t="str">
            <v>3454H</v>
          </cell>
          <cell r="B387" t="str">
            <v>10ML SOD/CHLOR/PRE-FILLED</v>
          </cell>
          <cell r="C387" t="str">
            <v>EA</v>
          </cell>
        </row>
        <row r="388">
          <cell r="A388" t="str">
            <v>3454K</v>
          </cell>
          <cell r="B388" t="str">
            <v>10ML Heparin Pre -F/F/Syr</v>
          </cell>
          <cell r="C388" t="str">
            <v>EA</v>
          </cell>
        </row>
        <row r="389">
          <cell r="A389" t="str">
            <v>3461</v>
          </cell>
          <cell r="B389" t="str">
            <v>Non-Skid Shoe Covers</v>
          </cell>
          <cell r="C389" t="str">
            <v>EA</v>
          </cell>
          <cell r="D389">
            <v>18</v>
          </cell>
          <cell r="E389">
            <v>356</v>
          </cell>
        </row>
        <row r="390">
          <cell r="A390" t="str">
            <v>3485C</v>
          </cell>
          <cell r="B390" t="str">
            <v>2X4"PERIPHEAL C/LABEL</v>
          </cell>
          <cell r="C390" t="str">
            <v>EA</v>
          </cell>
          <cell r="D390">
            <v>28</v>
          </cell>
          <cell r="E390">
            <v>9974</v>
          </cell>
        </row>
        <row r="391">
          <cell r="A391" t="str">
            <v>3586A-1</v>
          </cell>
          <cell r="B391" t="str">
            <v>BACK TABLE COVER 44" X44"</v>
          </cell>
          <cell r="C391" t="str">
            <v>EA</v>
          </cell>
          <cell r="D391">
            <v>21</v>
          </cell>
          <cell r="E391">
            <v>662</v>
          </cell>
        </row>
        <row r="392">
          <cell r="A392" t="str">
            <v>3586B</v>
          </cell>
          <cell r="B392" t="str">
            <v>76"X124" MINOR P/F/DRAPE</v>
          </cell>
          <cell r="C392" t="str">
            <v>EA</v>
          </cell>
          <cell r="D392">
            <v>18</v>
          </cell>
          <cell r="E392">
            <v>450</v>
          </cell>
        </row>
        <row r="393">
          <cell r="A393" t="str">
            <v>3586C</v>
          </cell>
          <cell r="B393" t="str">
            <v>26ML CHLORAPREP UNTINTED</v>
          </cell>
          <cell r="C393" t="str">
            <v>EA</v>
          </cell>
          <cell r="D393">
            <v>14</v>
          </cell>
          <cell r="E393">
            <v>48</v>
          </cell>
        </row>
        <row r="394">
          <cell r="A394" t="str">
            <v>3586D</v>
          </cell>
          <cell r="B394" t="str">
            <v>INSERT F/26ML CHLORAPREP</v>
          </cell>
          <cell r="C394" t="str">
            <v>EA</v>
          </cell>
          <cell r="D394">
            <v>6</v>
          </cell>
          <cell r="E394">
            <v>39727</v>
          </cell>
        </row>
        <row r="395">
          <cell r="A395" t="str">
            <v>3586F</v>
          </cell>
          <cell r="B395" t="str">
            <v>TELFA I/DRESSING 2"X3.75"</v>
          </cell>
          <cell r="C395" t="str">
            <v>EA</v>
          </cell>
          <cell r="D395">
            <v>14</v>
          </cell>
          <cell r="E395">
            <v>165</v>
          </cell>
        </row>
        <row r="396">
          <cell r="A396" t="str">
            <v>3597H</v>
          </cell>
          <cell r="B396" t="str">
            <v>10.88X14.81"X1.06Ty</v>
          </cell>
          <cell r="C396" t="str">
            <v>EA</v>
          </cell>
          <cell r="D396">
            <v>21</v>
          </cell>
          <cell r="E396">
            <v>84</v>
          </cell>
        </row>
        <row r="397">
          <cell r="A397" t="str">
            <v>3632A</v>
          </cell>
          <cell r="B397" t="str">
            <v>30CC LUER SLIP SYRINGE</v>
          </cell>
          <cell r="C397" t="str">
            <v>EA</v>
          </cell>
          <cell r="D397">
            <v>26</v>
          </cell>
          <cell r="E397">
            <v>365</v>
          </cell>
        </row>
        <row r="398">
          <cell r="A398" t="str">
            <v>3632B</v>
          </cell>
          <cell r="B398" t="str">
            <v>STERILE 25GX5/8" NEEDLE</v>
          </cell>
          <cell r="C398" t="str">
            <v>EA</v>
          </cell>
          <cell r="D398" t="str">
            <v>N4</v>
          </cell>
          <cell r="E398">
            <v>577</v>
          </cell>
        </row>
        <row r="399">
          <cell r="A399" t="str">
            <v>3632C</v>
          </cell>
          <cell r="B399" t="str">
            <v>STERILE 27GX11/2" NEEDLE</v>
          </cell>
          <cell r="C399" t="str">
            <v>EA</v>
          </cell>
          <cell r="D399" t="str">
            <v>N4</v>
          </cell>
          <cell r="E399">
            <v>1588</v>
          </cell>
        </row>
        <row r="400">
          <cell r="A400" t="str">
            <v>3633A</v>
          </cell>
          <cell r="B400" t="str">
            <v>20G X3 1/2"HUSTEAD NEEDLE</v>
          </cell>
          <cell r="C400" t="str">
            <v>EA</v>
          </cell>
          <cell r="D400" t="str">
            <v>N5</v>
          </cell>
          <cell r="E400">
            <v>547</v>
          </cell>
        </row>
        <row r="401">
          <cell r="A401" t="str">
            <v>3658A</v>
          </cell>
          <cell r="B401" t="str">
            <v>3"X5" F/ORANGE T/O/LABEL</v>
          </cell>
          <cell r="C401" t="str">
            <v>EA</v>
          </cell>
          <cell r="D401">
            <v>5</v>
          </cell>
          <cell r="E401">
            <v>1164</v>
          </cell>
        </row>
        <row r="402">
          <cell r="A402" t="str">
            <v>3669A</v>
          </cell>
          <cell r="B402" t="str">
            <v>8"PROCTO SWAB</v>
          </cell>
          <cell r="C402" t="str">
            <v>EA</v>
          </cell>
        </row>
        <row r="403">
          <cell r="A403" t="str">
            <v>3669B</v>
          </cell>
          <cell r="B403" t="str">
            <v>5"X96" VIDEO C/D/W/P/TIP</v>
          </cell>
          <cell r="C403" t="str">
            <v>EA</v>
          </cell>
          <cell r="D403">
            <v>29</v>
          </cell>
          <cell r="E403">
            <v>85</v>
          </cell>
        </row>
        <row r="404">
          <cell r="A404" t="str">
            <v>3671</v>
          </cell>
          <cell r="B404" t="str">
            <v>5mlLidocaineAmp HSPIRA RX</v>
          </cell>
          <cell r="C404" t="str">
            <v>EA</v>
          </cell>
          <cell r="D404" t="str">
            <v>DRUGS</v>
          </cell>
          <cell r="E404">
            <v>10</v>
          </cell>
        </row>
        <row r="405">
          <cell r="A405" t="str">
            <v>3672B</v>
          </cell>
          <cell r="B405" t="str">
            <v>Foam Holder for Lidocaine</v>
          </cell>
          <cell r="C405" t="str">
            <v>EA</v>
          </cell>
          <cell r="D405">
            <v>31</v>
          </cell>
          <cell r="E405">
            <v>12864</v>
          </cell>
        </row>
        <row r="406">
          <cell r="A406" t="str">
            <v>3702S</v>
          </cell>
          <cell r="B406" t="str">
            <v>Unprtd Ctn/1000pk 370Mask</v>
          </cell>
          <cell r="C406" t="str">
            <v>EA</v>
          </cell>
          <cell r="D406" t="str">
            <v>MZ2</v>
          </cell>
          <cell r="E406">
            <v>980</v>
          </cell>
        </row>
        <row r="407">
          <cell r="A407" t="str">
            <v>3711</v>
          </cell>
          <cell r="B407" t="str">
            <v>Blue Proc Mask/Earloops</v>
          </cell>
          <cell r="C407" t="str">
            <v>EA</v>
          </cell>
        </row>
        <row r="408">
          <cell r="A408" t="str">
            <v>3711B-1</v>
          </cell>
          <cell r="B408" t="str">
            <v>FACE MASK FOLDED</v>
          </cell>
          <cell r="C408" t="str">
            <v>EA</v>
          </cell>
          <cell r="D408" t="str">
            <v>LIS</v>
          </cell>
          <cell r="E408">
            <v>126000</v>
          </cell>
        </row>
        <row r="409">
          <cell r="A409" t="str">
            <v>3711B-1</v>
          </cell>
          <cell r="B409" t="str">
            <v>FACE MASK FOLDED</v>
          </cell>
          <cell r="C409" t="str">
            <v>EA</v>
          </cell>
          <cell r="D409">
            <v>19</v>
          </cell>
          <cell r="E409">
            <v>50554</v>
          </cell>
        </row>
        <row r="410">
          <cell r="A410" t="str">
            <v>3712</v>
          </cell>
          <cell r="B410" t="str">
            <v>Yellow Iso mask w/loop</v>
          </cell>
          <cell r="C410" t="str">
            <v>EA</v>
          </cell>
          <cell r="D410">
            <v>34</v>
          </cell>
          <cell r="E410">
            <v>3764</v>
          </cell>
        </row>
        <row r="411">
          <cell r="A411" t="str">
            <v>3718A</v>
          </cell>
          <cell r="B411" t="str">
            <v>LATEX P/F WALLET G/SIZE 7</v>
          </cell>
          <cell r="C411" t="str">
            <v>PR</v>
          </cell>
          <cell r="D411">
            <v>14</v>
          </cell>
          <cell r="E411">
            <v>139</v>
          </cell>
        </row>
        <row r="412">
          <cell r="A412" t="str">
            <v>3718B</v>
          </cell>
          <cell r="B412" t="str">
            <v>LATEX P/F WALLET G/SIZE/8</v>
          </cell>
          <cell r="C412" t="str">
            <v>PR</v>
          </cell>
          <cell r="D412">
            <v>15</v>
          </cell>
          <cell r="E412">
            <v>69</v>
          </cell>
        </row>
        <row r="413">
          <cell r="A413" t="str">
            <v>3718C</v>
          </cell>
          <cell r="B413" t="str">
            <v>LATEX P/F WALLET G/SIZE6</v>
          </cell>
          <cell r="C413" t="str">
            <v>PR</v>
          </cell>
          <cell r="D413">
            <v>14</v>
          </cell>
          <cell r="E413">
            <v>156</v>
          </cell>
        </row>
        <row r="414">
          <cell r="A414" t="str">
            <v>3731</v>
          </cell>
          <cell r="B414" t="str">
            <v>Proc. Mask with Shield</v>
          </cell>
          <cell r="C414" t="str">
            <v>EA</v>
          </cell>
          <cell r="D414">
            <v>24</v>
          </cell>
          <cell r="E414">
            <v>943</v>
          </cell>
        </row>
        <row r="415">
          <cell r="A415" t="str">
            <v>3737SL-1</v>
          </cell>
          <cell r="B415" t="str">
            <v>MYDENT LABEL NO 1010</v>
          </cell>
          <cell r="C415" t="str">
            <v>EA</v>
          </cell>
        </row>
        <row r="416">
          <cell r="A416" t="str">
            <v>3741A</v>
          </cell>
          <cell r="B416" t="str">
            <v>GADDLINIUM L/1.75X0.5</v>
          </cell>
          <cell r="C416" t="str">
            <v>EA</v>
          </cell>
        </row>
        <row r="417">
          <cell r="A417" t="str">
            <v>3741C</v>
          </cell>
          <cell r="B417" t="str">
            <v>IODINA C/LBLD1.75X0.5</v>
          </cell>
          <cell r="C417" t="str">
            <v>EA</v>
          </cell>
        </row>
        <row r="418">
          <cell r="A418" t="str">
            <v>3840B-3</v>
          </cell>
          <cell r="B418" t="str">
            <v>UMBILICAL CORD CLAMP</v>
          </cell>
          <cell r="C418" t="str">
            <v>EA</v>
          </cell>
          <cell r="D418">
            <v>56</v>
          </cell>
          <cell r="E418">
            <v>41714</v>
          </cell>
        </row>
        <row r="419">
          <cell r="A419" t="str">
            <v>3840C</v>
          </cell>
          <cell r="B419" t="str">
            <v>UMBILICAL C/CLAMP CUTTER</v>
          </cell>
          <cell r="C419" t="str">
            <v>EA</v>
          </cell>
          <cell r="D419">
            <v>31</v>
          </cell>
          <cell r="E419">
            <v>660</v>
          </cell>
        </row>
        <row r="420">
          <cell r="A420" t="str">
            <v>3840S</v>
          </cell>
          <cell r="B420" t="str">
            <v>UNPRINTED SHIPPER CTN</v>
          </cell>
          <cell r="C420" t="str">
            <v>EA</v>
          </cell>
          <cell r="D420" t="str">
            <v>MZ4</v>
          </cell>
          <cell r="E420">
            <v>1895</v>
          </cell>
        </row>
        <row r="421">
          <cell r="A421" t="str">
            <v>3841A-2</v>
          </cell>
          <cell r="B421" t="str">
            <v>NYLON RESIN N6650TL.NAT</v>
          </cell>
          <cell r="C421" t="str">
            <v>LB</v>
          </cell>
          <cell r="D421">
            <v>145</v>
          </cell>
          <cell r="E421">
            <v>660</v>
          </cell>
        </row>
        <row r="422">
          <cell r="A422" t="str">
            <v>3841D-3</v>
          </cell>
          <cell r="B422" t="str">
            <v>UNPRINTED DISP BOX 384</v>
          </cell>
          <cell r="C422" t="str">
            <v>EA</v>
          </cell>
          <cell r="D422" t="str">
            <v>MZ4</v>
          </cell>
          <cell r="E422">
            <v>438</v>
          </cell>
        </row>
        <row r="423">
          <cell r="A423" t="str">
            <v>3841D-3</v>
          </cell>
          <cell r="B423" t="str">
            <v>UNPRINTED DISP BOX 384</v>
          </cell>
          <cell r="C423" t="str">
            <v>EA</v>
          </cell>
          <cell r="D423" t="str">
            <v>MZ7</v>
          </cell>
          <cell r="E423">
            <v>46</v>
          </cell>
        </row>
        <row r="424">
          <cell r="A424" t="str">
            <v>3841I-2</v>
          </cell>
          <cell r="B424" t="str">
            <v>Posi Grip Umbil/INS St</v>
          </cell>
          <cell r="C424" t="str">
            <v>EA</v>
          </cell>
          <cell r="D424">
            <v>6</v>
          </cell>
          <cell r="E424">
            <v>929</v>
          </cell>
        </row>
        <row r="425">
          <cell r="A425" t="str">
            <v>3860A</v>
          </cell>
          <cell r="B425" t="str">
            <v>18X16 B/W DRAPE W/5/8"FEN</v>
          </cell>
          <cell r="C425" t="str">
            <v>EA</v>
          </cell>
          <cell r="D425">
            <v>61</v>
          </cell>
          <cell r="E425">
            <v>2458</v>
          </cell>
        </row>
        <row r="426">
          <cell r="A426" t="str">
            <v>3870A</v>
          </cell>
          <cell r="B426" t="str">
            <v>AMNIO HOOK</v>
          </cell>
          <cell r="C426" t="str">
            <v>EA</v>
          </cell>
          <cell r="D426">
            <v>23</v>
          </cell>
          <cell r="E426">
            <v>9226</v>
          </cell>
        </row>
        <row r="427">
          <cell r="A427" t="str">
            <v>3880A</v>
          </cell>
          <cell r="B427" t="str">
            <v>48X36 DRAPE SHEET</v>
          </cell>
          <cell r="C427" t="str">
            <v>EA</v>
          </cell>
          <cell r="D427">
            <v>30</v>
          </cell>
          <cell r="E427">
            <v>3832</v>
          </cell>
        </row>
        <row r="428">
          <cell r="A428" t="str">
            <v>3880E</v>
          </cell>
          <cell r="B428" t="str">
            <v>STERILE NO 10 SCALPEL</v>
          </cell>
          <cell r="C428" t="str">
            <v>EA</v>
          </cell>
          <cell r="D428">
            <v>19</v>
          </cell>
          <cell r="E428">
            <v>2400</v>
          </cell>
        </row>
        <row r="429">
          <cell r="A429" t="str">
            <v>3880F-1</v>
          </cell>
          <cell r="B429" t="str">
            <v>STERILE MATERNITY PAD 11"</v>
          </cell>
          <cell r="C429" t="str">
            <v>EA</v>
          </cell>
          <cell r="D429">
            <v>21</v>
          </cell>
          <cell r="E429">
            <v>5034</v>
          </cell>
        </row>
        <row r="430">
          <cell r="A430" t="str">
            <v>3886A</v>
          </cell>
          <cell r="B430" t="str">
            <v>7.5SMALL BORE EXT/SET W/T</v>
          </cell>
          <cell r="C430" t="str">
            <v>EA</v>
          </cell>
          <cell r="D430">
            <v>26</v>
          </cell>
          <cell r="E430">
            <v>1451</v>
          </cell>
        </row>
        <row r="431">
          <cell r="A431" t="str">
            <v>3886C</v>
          </cell>
          <cell r="B431" t="str">
            <v>18X26 W/W TPT FEN/ADHTBS</v>
          </cell>
          <cell r="C431" t="str">
            <v>EA</v>
          </cell>
          <cell r="D431">
            <v>63</v>
          </cell>
          <cell r="E431">
            <v>4500</v>
          </cell>
        </row>
        <row r="432">
          <cell r="A432" t="str">
            <v>3890G</v>
          </cell>
          <cell r="B432" t="str">
            <v>STER EXAM P/F GLOVES MED</v>
          </cell>
          <cell r="C432" t="str">
            <v>PR</v>
          </cell>
          <cell r="D432">
            <v>19</v>
          </cell>
          <cell r="E432">
            <v>9200</v>
          </cell>
        </row>
        <row r="433">
          <cell r="A433" t="str">
            <v>3891D</v>
          </cell>
          <cell r="B433" t="str">
            <v>INNER CTN</v>
          </cell>
          <cell r="C433" t="str">
            <v>EA</v>
          </cell>
          <cell r="D433" t="str">
            <v>MZ7</v>
          </cell>
          <cell r="E433">
            <v>2190</v>
          </cell>
        </row>
        <row r="434">
          <cell r="A434" t="str">
            <v>3921D</v>
          </cell>
          <cell r="B434" t="str">
            <v>1/2X11/2"LIDOC LABEL/GRAY</v>
          </cell>
          <cell r="C434" t="str">
            <v>EA</v>
          </cell>
          <cell r="D434">
            <v>6</v>
          </cell>
          <cell r="E434">
            <v>1790</v>
          </cell>
        </row>
        <row r="435">
          <cell r="A435" t="str">
            <v>4/026</v>
          </cell>
          <cell r="B435" t="str">
            <v>INSERT FOR 16/35 BOWL</v>
          </cell>
          <cell r="C435" t="str">
            <v>EA</v>
          </cell>
        </row>
        <row r="436">
          <cell r="A436" t="str">
            <v>4/1005</v>
          </cell>
          <cell r="B436" t="str">
            <v>360 Medical Fluid 100CST</v>
          </cell>
          <cell r="C436" t="str">
            <v>GM</v>
          </cell>
        </row>
        <row r="437">
          <cell r="A437" t="str">
            <v>4000</v>
          </cell>
          <cell r="B437" t="str">
            <v>16oz Sponge Bowl</v>
          </cell>
          <cell r="C437" t="str">
            <v>EA</v>
          </cell>
          <cell r="D437">
            <v>144</v>
          </cell>
          <cell r="E437">
            <v>27278</v>
          </cell>
        </row>
        <row r="438">
          <cell r="A438" t="str">
            <v>4001A-1</v>
          </cell>
          <cell r="B438" t="str">
            <v>#36 COATED PAPER/C#400</v>
          </cell>
          <cell r="C438" t="str">
            <v>MI</v>
          </cell>
          <cell r="D438">
            <v>22</v>
          </cell>
          <cell r="E438">
            <v>2550</v>
          </cell>
        </row>
        <row r="439">
          <cell r="A439" t="str">
            <v>4001C</v>
          </cell>
          <cell r="B439" t="str">
            <v>8.5X11X4MIL HEADER BAG</v>
          </cell>
          <cell r="C439" t="str">
            <v>EA</v>
          </cell>
          <cell r="D439">
            <v>25</v>
          </cell>
          <cell r="E439">
            <v>26125</v>
          </cell>
        </row>
        <row r="440">
          <cell r="A440" t="str">
            <v>4002</v>
          </cell>
          <cell r="B440" t="str">
            <v>3.5 Mil Plastic -16ozBowl</v>
          </cell>
          <cell r="C440" t="str">
            <v>LB</v>
          </cell>
          <cell r="D440">
            <v>35</v>
          </cell>
          <cell r="E440">
            <v>540</v>
          </cell>
        </row>
        <row r="441">
          <cell r="A441" t="str">
            <v>4004</v>
          </cell>
          <cell r="B441" t="str">
            <v>Unprtd Ctn 16oz Bowl</v>
          </cell>
          <cell r="C441" t="str">
            <v>EA</v>
          </cell>
          <cell r="D441" t="str">
            <v>MZ2</v>
          </cell>
          <cell r="E441">
            <v>809</v>
          </cell>
        </row>
        <row r="442">
          <cell r="A442" t="str">
            <v>4007B</v>
          </cell>
          <cell r="B442" t="str">
            <v>Bl Color Concentrate/Bwls</v>
          </cell>
          <cell r="C442" t="str">
            <v>LB</v>
          </cell>
          <cell r="D442">
            <v>145</v>
          </cell>
          <cell r="E442">
            <v>750</v>
          </cell>
        </row>
        <row r="443">
          <cell r="A443" t="str">
            <v>4010C-1</v>
          </cell>
          <cell r="B443" t="str">
            <v>35OZ SPONGE BOWL</v>
          </cell>
          <cell r="C443" t="str">
            <v>EA</v>
          </cell>
          <cell r="D443">
            <v>49</v>
          </cell>
          <cell r="E443">
            <v>30277</v>
          </cell>
        </row>
        <row r="444">
          <cell r="A444" t="str">
            <v>4010C-1</v>
          </cell>
          <cell r="B444" t="str">
            <v>35OZ SPONGE BOWL</v>
          </cell>
          <cell r="C444" t="str">
            <v>EA</v>
          </cell>
          <cell r="D444" t="str">
            <v>LIS</v>
          </cell>
          <cell r="E444">
            <v>7200</v>
          </cell>
        </row>
        <row r="445">
          <cell r="A445" t="str">
            <v>4011A-1</v>
          </cell>
          <cell r="B445" t="str">
            <v>#36 COATED PAPER /C#401</v>
          </cell>
          <cell r="C445" t="str">
            <v>MI</v>
          </cell>
          <cell r="D445">
            <v>21</v>
          </cell>
          <cell r="E445">
            <v>425</v>
          </cell>
        </row>
        <row r="446">
          <cell r="A446" t="str">
            <v>4013</v>
          </cell>
          <cell r="B446" t="str">
            <v>Unprtd Ctn 35oz Bowl</v>
          </cell>
          <cell r="C446" t="str">
            <v>EA</v>
          </cell>
          <cell r="D446" t="str">
            <v>MZ2</v>
          </cell>
          <cell r="E446">
            <v>114</v>
          </cell>
        </row>
        <row r="447">
          <cell r="A447" t="str">
            <v>4013</v>
          </cell>
          <cell r="B447" t="str">
            <v>Unprtd Ctn 35oz Bowl</v>
          </cell>
          <cell r="C447" t="str">
            <v>EA</v>
          </cell>
          <cell r="D447" t="str">
            <v>MZ1</v>
          </cell>
          <cell r="E447">
            <v>96</v>
          </cell>
        </row>
        <row r="448">
          <cell r="A448" t="str">
            <v>4023</v>
          </cell>
          <cell r="B448" t="str">
            <v>Printed 16oz Bulk Ctn</v>
          </cell>
          <cell r="C448" t="str">
            <v>EA</v>
          </cell>
          <cell r="D448" t="str">
            <v>MZ2</v>
          </cell>
          <cell r="E448">
            <v>38</v>
          </cell>
        </row>
        <row r="449">
          <cell r="A449" t="str">
            <v>4031-1</v>
          </cell>
          <cell r="B449" t="str">
            <v>35X15"WCKED BAG W/FLAP</v>
          </cell>
          <cell r="C449" t="str">
            <v>EA</v>
          </cell>
          <cell r="D449">
            <v>62</v>
          </cell>
          <cell r="E449">
            <v>1335</v>
          </cell>
        </row>
        <row r="450">
          <cell r="A450" t="str">
            <v>4050C</v>
          </cell>
          <cell r="B450" t="str">
            <v>38/400 WHITE PP CAP</v>
          </cell>
          <cell r="C450" t="str">
            <v>EA</v>
          </cell>
          <cell r="D450">
            <v>18</v>
          </cell>
          <cell r="E450">
            <v>18821</v>
          </cell>
        </row>
        <row r="451">
          <cell r="A451" t="str">
            <v>4060AS</v>
          </cell>
          <cell r="B451" t="str">
            <v>SUB ASSEM 40CC MUCUS/TRAP</v>
          </cell>
          <cell r="C451" t="str">
            <v>EA</v>
          </cell>
          <cell r="D451" t="str">
            <v>J</v>
          </cell>
          <cell r="E451">
            <v>32512</v>
          </cell>
        </row>
        <row r="452">
          <cell r="A452" t="str">
            <v>4063PE-1</v>
          </cell>
          <cell r="B452" t="str">
            <v>PE TRAP CAP</v>
          </cell>
          <cell r="C452" t="str">
            <v>EA</v>
          </cell>
          <cell r="D452" t="str">
            <v>F16</v>
          </cell>
          <cell r="E452">
            <v>84507</v>
          </cell>
        </row>
        <row r="453">
          <cell r="A453" t="str">
            <v>4063PE-1</v>
          </cell>
          <cell r="B453" t="str">
            <v>PE TRAP CAP</v>
          </cell>
          <cell r="C453" t="str">
            <v>EA</v>
          </cell>
          <cell r="D453" t="str">
            <v>F15</v>
          </cell>
          <cell r="E453">
            <v>-100</v>
          </cell>
        </row>
        <row r="454">
          <cell r="A454" t="str">
            <v>4064</v>
          </cell>
          <cell r="B454" t="str">
            <v>Adpt(for 40cc &amp; 80ccVial)</v>
          </cell>
          <cell r="C454" t="str">
            <v>EA</v>
          </cell>
          <cell r="D454">
            <v>64</v>
          </cell>
          <cell r="E454">
            <v>52300</v>
          </cell>
        </row>
        <row r="455">
          <cell r="A455" t="str">
            <v>4066A</v>
          </cell>
          <cell r="B455" t="str">
            <v>Mold 40cc Vial(unprinted)</v>
          </cell>
          <cell r="C455" t="str">
            <v>EA</v>
          </cell>
          <cell r="D455">
            <v>55</v>
          </cell>
          <cell r="E455">
            <v>66500</v>
          </cell>
        </row>
        <row r="456">
          <cell r="A456" t="str">
            <v>4068A</v>
          </cell>
          <cell r="B456" t="str">
            <v>Unprinted Shipper Carton</v>
          </cell>
          <cell r="C456" t="str">
            <v>EA</v>
          </cell>
          <cell r="D456" t="str">
            <v>MZ7</v>
          </cell>
          <cell r="E456">
            <v>2851</v>
          </cell>
        </row>
        <row r="457">
          <cell r="A457" t="str">
            <v>4068AS</v>
          </cell>
          <cell r="B457" t="str">
            <v>SUB ASSEM 40cc VIAL &amp; CAP</v>
          </cell>
          <cell r="C457" t="str">
            <v>EA</v>
          </cell>
        </row>
        <row r="458">
          <cell r="A458" t="str">
            <v>4070AS</v>
          </cell>
          <cell r="B458" t="str">
            <v>SUB ASSEM 80CC MUCUS/TRAP</v>
          </cell>
          <cell r="C458" t="str">
            <v>EA</v>
          </cell>
          <cell r="D458" t="str">
            <v>J</v>
          </cell>
          <cell r="E458">
            <v>26680</v>
          </cell>
        </row>
        <row r="459">
          <cell r="A459" t="str">
            <v>4070AS</v>
          </cell>
          <cell r="B459" t="str">
            <v>SUB ASSEM 80CC MUCUS/TRAP</v>
          </cell>
          <cell r="C459" t="str">
            <v>EA</v>
          </cell>
          <cell r="D459">
            <v>144</v>
          </cell>
          <cell r="E459">
            <v>5779</v>
          </cell>
        </row>
        <row r="460">
          <cell r="A460" t="str">
            <v>4070M</v>
          </cell>
          <cell r="B460" t="str">
            <v>Mold 80ccVial for MucusTp</v>
          </cell>
          <cell r="C460" t="str">
            <v>EA</v>
          </cell>
          <cell r="D460">
            <v>54</v>
          </cell>
          <cell r="E460">
            <v>65400</v>
          </cell>
        </row>
        <row r="461">
          <cell r="A461" t="str">
            <v>4073B-3</v>
          </cell>
          <cell r="B461" t="str">
            <v>UNPTD BROWN DISP BOX 407</v>
          </cell>
          <cell r="C461" t="str">
            <v>EA</v>
          </cell>
          <cell r="D461" t="str">
            <v>MZ1</v>
          </cell>
          <cell r="E461">
            <v>671</v>
          </cell>
        </row>
        <row r="462">
          <cell r="A462" t="str">
            <v>4074S-1</v>
          </cell>
          <cell r="B462" t="str">
            <v>UNPTRD CTN FOR 407</v>
          </cell>
          <cell r="C462" t="str">
            <v>EA</v>
          </cell>
          <cell r="D462" t="str">
            <v>MZ4</v>
          </cell>
          <cell r="E462">
            <v>532</v>
          </cell>
        </row>
        <row r="463">
          <cell r="A463" t="str">
            <v>4100S</v>
          </cell>
          <cell r="B463" t="str">
            <v>UNPRINTED SHIPPER CARTON</v>
          </cell>
          <cell r="C463" t="str">
            <v>EA</v>
          </cell>
          <cell r="D463" t="str">
            <v>MZ7</v>
          </cell>
          <cell r="E463">
            <v>843</v>
          </cell>
        </row>
        <row r="464">
          <cell r="A464" t="str">
            <v>41065A</v>
          </cell>
          <cell r="B464" t="str">
            <v>2PC4.75"X4.75"DRESSWGUIDE</v>
          </cell>
          <cell r="C464" t="str">
            <v>EA</v>
          </cell>
          <cell r="D464">
            <v>15</v>
          </cell>
          <cell r="E464">
            <v>3779</v>
          </cell>
        </row>
        <row r="465">
          <cell r="A465" t="str">
            <v>41065B</v>
          </cell>
          <cell r="B465" t="str">
            <v>INST SHEET- DO NOT ORDER</v>
          </cell>
          <cell r="C465" t="str">
            <v>EA</v>
          </cell>
          <cell r="D465">
            <v>6</v>
          </cell>
          <cell r="E465">
            <v>7311</v>
          </cell>
        </row>
        <row r="466">
          <cell r="A466" t="str">
            <v>4106A</v>
          </cell>
          <cell r="B466" t="str">
            <v>20GAUGE X 1IN M/SAFETY/N</v>
          </cell>
          <cell r="C466" t="str">
            <v>EA</v>
          </cell>
          <cell r="D466" t="str">
            <v>N5</v>
          </cell>
          <cell r="E466">
            <v>814</v>
          </cell>
        </row>
        <row r="467">
          <cell r="A467" t="str">
            <v>4107A</v>
          </cell>
          <cell r="B467" t="str">
            <v>CRVD HARTMAN MOSQ.H31/2"</v>
          </cell>
          <cell r="C467" t="str">
            <v>EA</v>
          </cell>
          <cell r="D467">
            <v>29</v>
          </cell>
          <cell r="E467">
            <v>127</v>
          </cell>
        </row>
        <row r="468">
          <cell r="A468" t="str">
            <v>4107C</v>
          </cell>
          <cell r="B468" t="str">
            <v>BISHOP HARMON T/F/33/8"</v>
          </cell>
          <cell r="C468" t="str">
            <v>EA</v>
          </cell>
          <cell r="D468">
            <v>26</v>
          </cell>
          <cell r="E468">
            <v>2268</v>
          </cell>
        </row>
        <row r="469">
          <cell r="A469" t="str">
            <v>4132A</v>
          </cell>
          <cell r="B469" t="str">
            <v>VENIGARD JUNIOR DRESSING</v>
          </cell>
          <cell r="C469" t="str">
            <v>EA</v>
          </cell>
        </row>
        <row r="470">
          <cell r="A470" t="str">
            <v>4134A</v>
          </cell>
          <cell r="B470" t="str">
            <v>INSTRUCTION SHEET</v>
          </cell>
          <cell r="C470" t="str">
            <v>EA</v>
          </cell>
        </row>
        <row r="471">
          <cell r="A471" t="str">
            <v>4139A</v>
          </cell>
          <cell r="B471" t="str">
            <v>SKIN PROT.PREP PAD STERIL</v>
          </cell>
          <cell r="C471" t="str">
            <v>EA</v>
          </cell>
          <cell r="D471">
            <v>14</v>
          </cell>
          <cell r="E471">
            <v>4552</v>
          </cell>
        </row>
        <row r="472">
          <cell r="A472" t="str">
            <v>4156A</v>
          </cell>
          <cell r="B472" t="str">
            <v>Glassine Bag/Plain</v>
          </cell>
          <cell r="C472" t="str">
            <v>EA</v>
          </cell>
          <cell r="D472">
            <v>34</v>
          </cell>
          <cell r="E472">
            <v>3512</v>
          </cell>
        </row>
        <row r="473">
          <cell r="A473" t="str">
            <v>4182A</v>
          </cell>
          <cell r="B473" t="str">
            <v>4 OZ.SPECIMEN CONT/W/LID</v>
          </cell>
          <cell r="C473" t="str">
            <v>EA</v>
          </cell>
          <cell r="D473">
            <v>30</v>
          </cell>
          <cell r="E473">
            <v>783</v>
          </cell>
        </row>
        <row r="474">
          <cell r="A474" t="str">
            <v>4203-1</v>
          </cell>
          <cell r="B474" t="str">
            <v>SPECIMEN LID-WHITE</v>
          </cell>
          <cell r="C474" t="str">
            <v>EA</v>
          </cell>
          <cell r="D474">
            <v>145</v>
          </cell>
          <cell r="E474">
            <v>16150</v>
          </cell>
        </row>
        <row r="475">
          <cell r="A475" t="str">
            <v>4203-1</v>
          </cell>
          <cell r="B475" t="str">
            <v>SPECIMEN LID-WHITE</v>
          </cell>
          <cell r="C475" t="str">
            <v>EA</v>
          </cell>
          <cell r="D475">
            <v>5</v>
          </cell>
          <cell r="E475">
            <v>32</v>
          </cell>
        </row>
        <row r="476">
          <cell r="A476" t="str">
            <v>4204</v>
          </cell>
          <cell r="B476" t="str">
            <v>Specimen Cup Red</v>
          </cell>
          <cell r="C476" t="str">
            <v>EA</v>
          </cell>
          <cell r="D476">
            <v>5</v>
          </cell>
          <cell r="E476">
            <v>167</v>
          </cell>
        </row>
        <row r="477">
          <cell r="A477" t="str">
            <v>4246L</v>
          </cell>
          <cell r="B477" t="str">
            <v>WEBSTER NDL L/L SMOOTHBEV</v>
          </cell>
          <cell r="C477" t="str">
            <v>EA</v>
          </cell>
          <cell r="D477">
            <v>38</v>
          </cell>
          <cell r="E477">
            <v>1273</v>
          </cell>
        </row>
        <row r="478">
          <cell r="A478" t="str">
            <v>4255B</v>
          </cell>
          <cell r="B478" t="str">
            <v>VAGINAL SPECUL-GRAVES MED</v>
          </cell>
          <cell r="C478" t="str">
            <v>EA</v>
          </cell>
        </row>
        <row r="479">
          <cell r="A479" t="str">
            <v>4255D-2</v>
          </cell>
          <cell r="B479" t="str">
            <v>GLASS SLIDE PRECLEANED</v>
          </cell>
          <cell r="C479" t="str">
            <v>EA</v>
          </cell>
          <cell r="D479">
            <v>24</v>
          </cell>
          <cell r="E479">
            <v>1813</v>
          </cell>
        </row>
        <row r="480">
          <cell r="A480" t="str">
            <v>4259A</v>
          </cell>
          <cell r="B480" t="str">
            <v>STER 30 GAUGE X 1"NEEDLE</v>
          </cell>
          <cell r="C480" t="str">
            <v>EA</v>
          </cell>
          <cell r="D480" t="str">
            <v>N3</v>
          </cell>
          <cell r="E480">
            <v>1162</v>
          </cell>
        </row>
        <row r="481">
          <cell r="A481" t="str">
            <v>4331A</v>
          </cell>
          <cell r="B481" t="str">
            <v>3.35 x .72" IV GUARD</v>
          </cell>
          <cell r="C481" t="str">
            <v>EA</v>
          </cell>
          <cell r="D481">
            <v>34</v>
          </cell>
          <cell r="E481">
            <v>22179</v>
          </cell>
        </row>
        <row r="482">
          <cell r="A482" t="str">
            <v>4338A</v>
          </cell>
          <cell r="B482" t="str">
            <v>51/2" STRAIGHT CRILE M/F</v>
          </cell>
          <cell r="C482" t="str">
            <v>EA</v>
          </cell>
          <cell r="D482">
            <v>23</v>
          </cell>
          <cell r="E482">
            <v>453</v>
          </cell>
        </row>
        <row r="483">
          <cell r="A483" t="str">
            <v>4347A</v>
          </cell>
          <cell r="B483" t="str">
            <v>GLASSINE ENV/35/8"X25/16"</v>
          </cell>
          <cell r="C483" t="str">
            <v>EA</v>
          </cell>
          <cell r="D483">
            <v>20</v>
          </cell>
          <cell r="E483">
            <v>896</v>
          </cell>
        </row>
        <row r="484">
          <cell r="A484" t="str">
            <v>4347B</v>
          </cell>
          <cell r="B484" t="str">
            <v>LUER LOCK CAP RED</v>
          </cell>
          <cell r="C484" t="str">
            <v>EA</v>
          </cell>
          <cell r="D484">
            <v>27</v>
          </cell>
          <cell r="E484">
            <v>855</v>
          </cell>
        </row>
        <row r="485">
          <cell r="A485" t="str">
            <v>4352A</v>
          </cell>
          <cell r="B485" t="str">
            <v>10ML LIDOCAINE(HSPIRA) RX</v>
          </cell>
          <cell r="C485" t="str">
            <v>EA</v>
          </cell>
          <cell r="D485" t="str">
            <v>DRUGS</v>
          </cell>
          <cell r="E485">
            <v>27</v>
          </cell>
        </row>
        <row r="486">
          <cell r="A486" t="str">
            <v>4369A</v>
          </cell>
          <cell r="B486" t="str">
            <v>TEGADERM IV T/D 3.5'X4.5"</v>
          </cell>
          <cell r="C486" t="str">
            <v>EA</v>
          </cell>
          <cell r="D486">
            <v>14</v>
          </cell>
          <cell r="E486">
            <v>79</v>
          </cell>
        </row>
        <row r="487">
          <cell r="A487" t="str">
            <v>4383A-2</v>
          </cell>
          <cell r="B487" t="str">
            <v>6"SM BORE EXTSET M LL/CLP</v>
          </cell>
          <cell r="C487" t="str">
            <v>EA</v>
          </cell>
          <cell r="D487">
            <v>30</v>
          </cell>
          <cell r="E487">
            <v>26322</v>
          </cell>
        </row>
        <row r="488">
          <cell r="A488" t="str">
            <v>4383D</v>
          </cell>
          <cell r="B488" t="str">
            <v>1/2"X4"DURAPORE T/S/3/CD</v>
          </cell>
          <cell r="C488" t="str">
            <v>EA</v>
          </cell>
          <cell r="D488">
            <v>34</v>
          </cell>
          <cell r="E488">
            <v>5578</v>
          </cell>
        </row>
        <row r="489">
          <cell r="A489" t="str">
            <v>4387A</v>
          </cell>
          <cell r="B489" t="str">
            <v>6"SM BORE EXT W/ALARIS</v>
          </cell>
          <cell r="C489" t="str">
            <v>EA</v>
          </cell>
          <cell r="D489">
            <v>25</v>
          </cell>
          <cell r="E489">
            <v>4565</v>
          </cell>
        </row>
        <row r="490">
          <cell r="A490" t="str">
            <v>4456A</v>
          </cell>
          <cell r="B490" t="str">
            <v>FINE PT TISSUE FORCEP W/T</v>
          </cell>
          <cell r="C490" t="str">
            <v>EA</v>
          </cell>
          <cell r="D490">
            <v>5</v>
          </cell>
          <cell r="E490">
            <v>326</v>
          </cell>
        </row>
        <row r="491">
          <cell r="A491" t="str">
            <v>4515B</v>
          </cell>
          <cell r="B491" t="str">
            <v>N/S CHLORAPREP 3.0ML</v>
          </cell>
          <cell r="C491" t="str">
            <v>EA</v>
          </cell>
          <cell r="D491">
            <v>15</v>
          </cell>
          <cell r="E491">
            <v>5082</v>
          </cell>
        </row>
        <row r="492">
          <cell r="A492" t="str">
            <v>4522A</v>
          </cell>
          <cell r="B492" t="str">
            <v>MONOJECT SAFETY N/25"X5/8</v>
          </cell>
          <cell r="C492" t="str">
            <v>EA</v>
          </cell>
          <cell r="D492" t="str">
            <v>N5</v>
          </cell>
          <cell r="E492">
            <v>1099</v>
          </cell>
        </row>
        <row r="493">
          <cell r="A493" t="str">
            <v>4522B</v>
          </cell>
          <cell r="B493" t="str">
            <v>MONOJECT SAF/N/18GX11/2"</v>
          </cell>
          <cell r="C493" t="str">
            <v>EA</v>
          </cell>
          <cell r="D493" t="str">
            <v>N6</v>
          </cell>
          <cell r="E493">
            <v>1101</v>
          </cell>
        </row>
        <row r="494">
          <cell r="A494" t="str">
            <v>4557A</v>
          </cell>
          <cell r="B494" t="str">
            <v>TEGADERM W/B/2"3/8X2"3/4</v>
          </cell>
          <cell r="C494" t="str">
            <v>EA</v>
          </cell>
          <cell r="D494">
            <v>14</v>
          </cell>
          <cell r="E494">
            <v>1877</v>
          </cell>
        </row>
        <row r="495">
          <cell r="A495" t="str">
            <v>4557A</v>
          </cell>
          <cell r="B495" t="str">
            <v>TEGADERM W/B/2"3/8X2"3/4</v>
          </cell>
          <cell r="C495" t="str">
            <v>EA</v>
          </cell>
          <cell r="D495">
            <v>15</v>
          </cell>
          <cell r="E495">
            <v>182</v>
          </cell>
        </row>
        <row r="496">
          <cell r="A496" t="str">
            <v>4620A</v>
          </cell>
          <cell r="B496" t="str">
            <v>I V SITE LABEL 2"X3/4"</v>
          </cell>
          <cell r="C496" t="str">
            <v>EA</v>
          </cell>
          <cell r="D496">
            <v>30</v>
          </cell>
          <cell r="E496">
            <v>45420</v>
          </cell>
        </row>
        <row r="497">
          <cell r="A497" t="str">
            <v>4625A</v>
          </cell>
          <cell r="B497" t="str">
            <v>1/2"X 3"FOAM ADH.STRIP</v>
          </cell>
          <cell r="C497" t="str">
            <v>EA</v>
          </cell>
        </row>
        <row r="498">
          <cell r="A498" t="str">
            <v>4700A-1</v>
          </cell>
          <cell r="B498" t="str">
            <v>SURG GOWN LG W/TWL LEVEL3</v>
          </cell>
          <cell r="C498" t="str">
            <v>EA</v>
          </cell>
          <cell r="D498">
            <v>14</v>
          </cell>
          <cell r="E498">
            <v>637</v>
          </cell>
        </row>
        <row r="499">
          <cell r="A499" t="str">
            <v>4710A-1</v>
          </cell>
          <cell r="B499" t="str">
            <v>SURG GOWN,XL,W/TWL LVL3</v>
          </cell>
          <cell r="C499" t="str">
            <v>EA</v>
          </cell>
          <cell r="D499">
            <v>1</v>
          </cell>
          <cell r="E499">
            <v>4195</v>
          </cell>
        </row>
        <row r="500">
          <cell r="A500" t="str">
            <v>4902-1</v>
          </cell>
          <cell r="B500" t="str">
            <v>UNPRINTED CTN /420/490</v>
          </cell>
          <cell r="C500" t="str">
            <v>EA</v>
          </cell>
          <cell r="D500" t="str">
            <v>MZ3</v>
          </cell>
          <cell r="E500">
            <v>218</v>
          </cell>
        </row>
        <row r="501">
          <cell r="A501" t="str">
            <v>4903-1</v>
          </cell>
          <cell r="B501" t="str">
            <v>DENTURE LID- TRANSLUCENT</v>
          </cell>
          <cell r="C501" t="str">
            <v>EA</v>
          </cell>
          <cell r="D501">
            <v>5</v>
          </cell>
          <cell r="E501">
            <v>20</v>
          </cell>
        </row>
        <row r="502">
          <cell r="A502" t="str">
            <v>4904</v>
          </cell>
          <cell r="B502" t="str">
            <v>Denture Cup Aqua</v>
          </cell>
          <cell r="C502" t="str">
            <v>EA</v>
          </cell>
          <cell r="D502">
            <v>5</v>
          </cell>
          <cell r="E502">
            <v>56</v>
          </cell>
        </row>
        <row r="503">
          <cell r="A503" t="str">
            <v>5/1000</v>
          </cell>
          <cell r="B503" t="str">
            <v>CLEAR TAPE 2.1MIL ACYRLIC</v>
          </cell>
          <cell r="C503" t="str">
            <v>RL</v>
          </cell>
        </row>
        <row r="504">
          <cell r="A504" t="str">
            <v>5/3000</v>
          </cell>
          <cell r="B504" t="str">
            <v>CLEAR TAPE 2.1miL HNDDIS</v>
          </cell>
          <cell r="C504" t="str">
            <v>RL</v>
          </cell>
        </row>
        <row r="505">
          <cell r="A505" t="str">
            <v>5010B</v>
          </cell>
          <cell r="B505" t="str">
            <v>5 in 1 Connector</v>
          </cell>
          <cell r="C505" t="str">
            <v>EA</v>
          </cell>
          <cell r="D505">
            <v>62</v>
          </cell>
          <cell r="E505">
            <v>84660</v>
          </cell>
        </row>
        <row r="506">
          <cell r="A506" t="str">
            <v>5010D</v>
          </cell>
          <cell r="B506" t="str">
            <v>UNPRINTED INNER CTN</v>
          </cell>
          <cell r="C506" t="str">
            <v>EA</v>
          </cell>
          <cell r="D506" t="str">
            <v>MZ5</v>
          </cell>
          <cell r="E506">
            <v>1483</v>
          </cell>
        </row>
        <row r="507">
          <cell r="A507" t="str">
            <v>5011M-1</v>
          </cell>
          <cell r="B507" t="str">
            <v>SHIPPER CTN</v>
          </cell>
          <cell r="C507" t="str">
            <v>EA</v>
          </cell>
          <cell r="D507" t="str">
            <v>MZ2</v>
          </cell>
          <cell r="E507">
            <v>508</v>
          </cell>
        </row>
        <row r="508">
          <cell r="A508" t="str">
            <v>5020B</v>
          </cell>
          <cell r="B508" t="str">
            <v>Simms Conn/Irrigat/Nozzle</v>
          </cell>
          <cell r="C508" t="str">
            <v>EA</v>
          </cell>
          <cell r="D508">
            <v>62</v>
          </cell>
          <cell r="E508">
            <v>14400</v>
          </cell>
        </row>
        <row r="509">
          <cell r="A509" t="str">
            <v>5030B</v>
          </cell>
          <cell r="B509" t="str">
            <v>"T"-Connector</v>
          </cell>
          <cell r="C509" t="str">
            <v>EA</v>
          </cell>
          <cell r="D509">
            <v>61</v>
          </cell>
          <cell r="E509">
            <v>3572</v>
          </cell>
        </row>
        <row r="510">
          <cell r="A510" t="str">
            <v>5030T</v>
          </cell>
          <cell r="B510" t="str">
            <v>"T" Connector Section</v>
          </cell>
          <cell r="C510" t="str">
            <v>EA</v>
          </cell>
          <cell r="D510">
            <v>56</v>
          </cell>
          <cell r="E510">
            <v>14447</v>
          </cell>
        </row>
        <row r="511">
          <cell r="A511" t="str">
            <v>5031D</v>
          </cell>
          <cell r="B511" t="str">
            <v>Unprtd Inner Shipper Ctn</v>
          </cell>
          <cell r="C511" t="str">
            <v>EA</v>
          </cell>
          <cell r="D511" t="str">
            <v>MZ5</v>
          </cell>
          <cell r="E511">
            <v>514</v>
          </cell>
        </row>
        <row r="512">
          <cell r="A512" t="str">
            <v>5031M</v>
          </cell>
          <cell r="B512" t="str">
            <v>Unprtd Master Shipper Ctn</v>
          </cell>
          <cell r="C512" t="str">
            <v>EA</v>
          </cell>
          <cell r="D512" t="str">
            <v>MZ5</v>
          </cell>
          <cell r="E512">
            <v>333</v>
          </cell>
        </row>
        <row r="513">
          <cell r="A513" t="str">
            <v>5032A</v>
          </cell>
          <cell r="B513" t="str">
            <v>16Gx1" Non-Coring Needle</v>
          </cell>
          <cell r="C513" t="str">
            <v>EA</v>
          </cell>
          <cell r="D513" t="str">
            <v>N3</v>
          </cell>
          <cell r="E513">
            <v>173</v>
          </cell>
        </row>
        <row r="514">
          <cell r="A514" t="str">
            <v>5039A</v>
          </cell>
          <cell r="B514" t="str">
            <v>18G X11/2' FILTER NEEDLE</v>
          </cell>
          <cell r="C514" t="str">
            <v>EA</v>
          </cell>
          <cell r="D514" t="str">
            <v>N9</v>
          </cell>
          <cell r="E514">
            <v>686</v>
          </cell>
        </row>
        <row r="515">
          <cell r="A515" t="str">
            <v>5040B</v>
          </cell>
          <cell r="B515" t="str">
            <v>1/4" Straight Connector</v>
          </cell>
          <cell r="C515" t="str">
            <v>EA</v>
          </cell>
          <cell r="D515">
            <v>61</v>
          </cell>
          <cell r="E515">
            <v>105120</v>
          </cell>
        </row>
        <row r="516">
          <cell r="A516" t="str">
            <v>5050B</v>
          </cell>
          <cell r="B516" t="str">
            <v>5/16" Straight Connector</v>
          </cell>
          <cell r="C516" t="str">
            <v>EA</v>
          </cell>
          <cell r="D516">
            <v>59</v>
          </cell>
          <cell r="E516">
            <v>41472</v>
          </cell>
        </row>
        <row r="517">
          <cell r="A517" t="str">
            <v>5060B</v>
          </cell>
          <cell r="B517" t="str">
            <v>3/8" Straight Connector</v>
          </cell>
          <cell r="C517" t="str">
            <v>EA</v>
          </cell>
          <cell r="D517">
            <v>56</v>
          </cell>
          <cell r="E517">
            <v>9470</v>
          </cell>
        </row>
        <row r="518">
          <cell r="A518" t="str">
            <v>5061A</v>
          </cell>
          <cell r="B518" t="str">
            <v>SPOT BANDAGE -COVIDIEN</v>
          </cell>
          <cell r="C518" t="str">
            <v>EA</v>
          </cell>
          <cell r="D518">
            <v>38</v>
          </cell>
          <cell r="E518">
            <v>1162</v>
          </cell>
        </row>
        <row r="519">
          <cell r="A519" t="str">
            <v>5070B</v>
          </cell>
          <cell r="B519" t="str">
            <v>1/4" Y-Connector</v>
          </cell>
          <cell r="C519" t="str">
            <v>EA</v>
          </cell>
          <cell r="D519">
            <v>56</v>
          </cell>
          <cell r="E519">
            <v>10665</v>
          </cell>
        </row>
        <row r="520">
          <cell r="A520" t="str">
            <v>5080B</v>
          </cell>
          <cell r="B520" t="str">
            <v>3/8 Y-Connector</v>
          </cell>
          <cell r="C520" t="str">
            <v>EA</v>
          </cell>
          <cell r="D520">
            <v>56</v>
          </cell>
          <cell r="E520">
            <v>46112</v>
          </cell>
        </row>
        <row r="521">
          <cell r="A521" t="str">
            <v>5084A</v>
          </cell>
          <cell r="B521" t="str">
            <v>15.5X25'B/SMS/DRAPE W/A/S</v>
          </cell>
          <cell r="C521" t="str">
            <v>EA</v>
          </cell>
          <cell r="D521">
            <v>69</v>
          </cell>
          <cell r="E521">
            <v>10000</v>
          </cell>
        </row>
        <row r="522">
          <cell r="A522" t="str">
            <v>5090B</v>
          </cell>
          <cell r="B522" t="str">
            <v>6-in-1 Y-Connector</v>
          </cell>
          <cell r="C522" t="str">
            <v>EA</v>
          </cell>
          <cell r="D522">
            <v>59</v>
          </cell>
          <cell r="E522">
            <v>4894</v>
          </cell>
        </row>
        <row r="523">
          <cell r="A523" t="str">
            <v>5100CP</v>
          </cell>
          <cell r="B523" t="str">
            <v>Catheter Plug</v>
          </cell>
          <cell r="C523" t="str">
            <v>EA</v>
          </cell>
          <cell r="D523">
            <v>50</v>
          </cell>
          <cell r="E523">
            <v>17721</v>
          </cell>
        </row>
        <row r="524">
          <cell r="A524" t="str">
            <v>5100DC</v>
          </cell>
          <cell r="B524" t="str">
            <v>Drainage Tube Cover</v>
          </cell>
          <cell r="C524" t="str">
            <v>EA</v>
          </cell>
          <cell r="D524">
            <v>50</v>
          </cell>
          <cell r="E524">
            <v>18749</v>
          </cell>
        </row>
        <row r="525">
          <cell r="A525" t="str">
            <v>5106</v>
          </cell>
          <cell r="B525" t="str">
            <v>EmbTwlWhite10x13fold</v>
          </cell>
          <cell r="C525" t="str">
            <v>EA</v>
          </cell>
        </row>
        <row r="526">
          <cell r="A526" t="str">
            <v>5116A-1</v>
          </cell>
          <cell r="B526" t="str">
            <v>17# RECYCLD WHT TISSUE18"</v>
          </cell>
          <cell r="C526" t="str">
            <v>LB</v>
          </cell>
        </row>
        <row r="527">
          <cell r="A527" t="str">
            <v>5117</v>
          </cell>
          <cell r="B527" t="str">
            <v>18X26" W/W Fenestr. Drape</v>
          </cell>
          <cell r="C527" t="str">
            <v>EA</v>
          </cell>
          <cell r="D527">
            <v>68</v>
          </cell>
          <cell r="E527">
            <v>57169</v>
          </cell>
        </row>
        <row r="528">
          <cell r="A528" t="str">
            <v>5121D</v>
          </cell>
          <cell r="B528" t="str">
            <v>Unptd Inner Ctn/Clean Con</v>
          </cell>
          <cell r="C528" t="str">
            <v>EA</v>
          </cell>
          <cell r="D528" t="str">
            <v>MZ6</v>
          </cell>
          <cell r="E528">
            <v>645</v>
          </cell>
        </row>
        <row r="529">
          <cell r="A529" t="str">
            <v>5121M</v>
          </cell>
          <cell r="B529" t="str">
            <v>Unptd Shipr Ctn/Clean Con</v>
          </cell>
          <cell r="C529" t="str">
            <v>EA</v>
          </cell>
          <cell r="D529" t="str">
            <v>MZ4</v>
          </cell>
          <cell r="E529">
            <v>159</v>
          </cell>
        </row>
        <row r="530">
          <cell r="A530" t="str">
            <v>5122-1</v>
          </cell>
          <cell r="B530" t="str">
            <v>Blue Foam Strip for Trach</v>
          </cell>
          <cell r="C530" t="str">
            <v>EA</v>
          </cell>
          <cell r="D530">
            <v>17</v>
          </cell>
          <cell r="E530">
            <v>8697</v>
          </cell>
        </row>
        <row r="531">
          <cell r="A531" t="str">
            <v>5158TS</v>
          </cell>
          <cell r="B531" t="str">
            <v>TRANSLA/INSRT DO NOT ORDE</v>
          </cell>
          <cell r="C531" t="str">
            <v>EA</v>
          </cell>
        </row>
        <row r="532">
          <cell r="A532" t="str">
            <v>5235A</v>
          </cell>
          <cell r="B532" t="str">
            <v>5 PORT NEEDLE S/S/DEVICE</v>
          </cell>
          <cell r="C532" t="str">
            <v>EA</v>
          </cell>
          <cell r="D532">
            <v>21</v>
          </cell>
          <cell r="E532">
            <v>1044</v>
          </cell>
        </row>
        <row r="533">
          <cell r="A533" t="str">
            <v>5235B</v>
          </cell>
          <cell r="B533" t="str">
            <v>INST/SHEET/NDLE S/DEVICE</v>
          </cell>
          <cell r="C533" t="str">
            <v>EA</v>
          </cell>
          <cell r="D533">
            <v>6</v>
          </cell>
          <cell r="E533">
            <v>999</v>
          </cell>
        </row>
        <row r="534">
          <cell r="A534" t="str">
            <v>5304A</v>
          </cell>
          <cell r="B534" t="str">
            <v>2COMP/TRAY 4.63X9.56X1.81</v>
          </cell>
          <cell r="C534" t="str">
            <v>EA</v>
          </cell>
          <cell r="D534">
            <v>23</v>
          </cell>
          <cell r="E534">
            <v>99</v>
          </cell>
        </row>
        <row r="535">
          <cell r="A535" t="str">
            <v>5317L-1</v>
          </cell>
          <cell r="B535" t="str">
            <v>4.5"IRIS LG LOOP/TIP PROT</v>
          </cell>
          <cell r="C535" t="str">
            <v>EA</v>
          </cell>
          <cell r="D535">
            <v>45</v>
          </cell>
          <cell r="E535">
            <v>26201</v>
          </cell>
        </row>
        <row r="536">
          <cell r="A536" t="str">
            <v>5317N</v>
          </cell>
          <cell r="B536" t="str">
            <v>4.5"Iris Scissor Straight</v>
          </cell>
          <cell r="C536" t="str">
            <v>EA</v>
          </cell>
          <cell r="D536">
            <v>46</v>
          </cell>
          <cell r="E536">
            <v>86832</v>
          </cell>
        </row>
        <row r="537">
          <cell r="A537" t="str">
            <v>5340A</v>
          </cell>
          <cell r="B537" t="str">
            <v>9 1/2"PLASTIC SPONGE FCEP</v>
          </cell>
          <cell r="C537" t="str">
            <v>EA</v>
          </cell>
          <cell r="D537">
            <v>29</v>
          </cell>
          <cell r="E537">
            <v>160</v>
          </cell>
        </row>
        <row r="538">
          <cell r="A538" t="str">
            <v>5340B</v>
          </cell>
          <cell r="B538" t="str">
            <v>13"SM BORE EXT SET W/M/F</v>
          </cell>
          <cell r="C538" t="str">
            <v>EA</v>
          </cell>
          <cell r="D538">
            <v>31</v>
          </cell>
          <cell r="E538">
            <v>890</v>
          </cell>
        </row>
        <row r="539">
          <cell r="A539" t="str">
            <v>5359A</v>
          </cell>
          <cell r="B539" t="str">
            <v>1.75 X0.5 PRE-PRINT L/6S</v>
          </cell>
          <cell r="C539" t="str">
            <v>EA</v>
          </cell>
        </row>
        <row r="540">
          <cell r="A540" t="str">
            <v>5375A</v>
          </cell>
          <cell r="B540" t="str">
            <v>Ster 27Gx1/2" Safety Need</v>
          </cell>
          <cell r="C540" t="str">
            <v>EA</v>
          </cell>
          <cell r="D540" t="str">
            <v>N1</v>
          </cell>
          <cell r="E540">
            <v>1989</v>
          </cell>
        </row>
        <row r="541">
          <cell r="A541" t="str">
            <v>5398B</v>
          </cell>
          <cell r="B541" t="str">
            <v>5ML SPECIMEN TUBE EDTA/S</v>
          </cell>
          <cell r="C541" t="str">
            <v>EA</v>
          </cell>
        </row>
        <row r="542">
          <cell r="A542" t="str">
            <v>5398C</v>
          </cell>
          <cell r="B542" t="str">
            <v>8.5ML VACUTAINER P/S/TUBE</v>
          </cell>
          <cell r="C542" t="str">
            <v>EA</v>
          </cell>
        </row>
        <row r="543">
          <cell r="A543" t="str">
            <v>5398D</v>
          </cell>
          <cell r="B543" t="str">
            <v>INSTR/SHEET DO NOT ORDER</v>
          </cell>
          <cell r="C543" t="str">
            <v>EA</v>
          </cell>
        </row>
        <row r="544">
          <cell r="A544" t="str">
            <v>5406C</v>
          </cell>
          <cell r="B544" t="str">
            <v>104"X76"X120" FEN/LAP/D</v>
          </cell>
          <cell r="C544" t="str">
            <v>EA</v>
          </cell>
          <cell r="D544">
            <v>24</v>
          </cell>
          <cell r="E544">
            <v>10</v>
          </cell>
        </row>
        <row r="545">
          <cell r="A545" t="str">
            <v>5406C-1</v>
          </cell>
          <cell r="B545" t="str">
            <v>106'X77X120"LAPAROTOMY/D</v>
          </cell>
          <cell r="C545" t="str">
            <v>EA</v>
          </cell>
          <cell r="D545">
            <v>25</v>
          </cell>
          <cell r="E545">
            <v>29</v>
          </cell>
        </row>
        <row r="546">
          <cell r="A546" t="str">
            <v>5406D</v>
          </cell>
          <cell r="B546" t="str">
            <v>INSTRUCTS DO NOT ORDER</v>
          </cell>
          <cell r="C546" t="str">
            <v>EA</v>
          </cell>
        </row>
        <row r="547">
          <cell r="A547" t="str">
            <v>5412-1</v>
          </cell>
          <cell r="B547" t="str">
            <v>1530 1X54" MICROPORE TAPE</v>
          </cell>
          <cell r="C547" t="str">
            <v>EA</v>
          </cell>
          <cell r="D547">
            <v>20</v>
          </cell>
          <cell r="E547">
            <v>1074</v>
          </cell>
        </row>
        <row r="548">
          <cell r="A548" t="str">
            <v>5423-2</v>
          </cell>
          <cell r="B548" t="str">
            <v>3"X3" 12PLY G/PROCESSED</v>
          </cell>
          <cell r="C548" t="str">
            <v>EA</v>
          </cell>
          <cell r="D548">
            <v>31</v>
          </cell>
          <cell r="E548">
            <v>95842</v>
          </cell>
        </row>
        <row r="549">
          <cell r="A549" t="str">
            <v>5446-1</v>
          </cell>
          <cell r="B549" t="str">
            <v>6CC LUER LOCK SYRINGE L/F</v>
          </cell>
          <cell r="C549" t="str">
            <v>EA</v>
          </cell>
          <cell r="D549">
            <v>18</v>
          </cell>
          <cell r="E549">
            <v>1899</v>
          </cell>
        </row>
        <row r="550">
          <cell r="A550" t="str">
            <v>5446-2</v>
          </cell>
          <cell r="B550" t="str">
            <v>BD 5ML LUER LOCK SYRINGE</v>
          </cell>
          <cell r="C550" t="str">
            <v>EA</v>
          </cell>
          <cell r="D550">
            <v>7</v>
          </cell>
          <cell r="E550">
            <v>37199</v>
          </cell>
        </row>
        <row r="551">
          <cell r="A551" t="str">
            <v>5456N</v>
          </cell>
          <cell r="B551" t="str">
            <v>Iris Scissor Cvd 4.5"</v>
          </cell>
          <cell r="C551" t="str">
            <v>EA</v>
          </cell>
          <cell r="D551">
            <v>38</v>
          </cell>
          <cell r="E551">
            <v>3355</v>
          </cell>
        </row>
        <row r="552">
          <cell r="A552" t="str">
            <v>5458A</v>
          </cell>
          <cell r="B552" t="str">
            <v>23G X 11/2"NEEDLE STERILE</v>
          </cell>
          <cell r="C552" t="str">
            <v>EA</v>
          </cell>
          <cell r="D552" t="str">
            <v>N1</v>
          </cell>
          <cell r="E552">
            <v>340</v>
          </cell>
        </row>
        <row r="553">
          <cell r="A553" t="str">
            <v>5517</v>
          </cell>
          <cell r="B553" t="str">
            <v>Clr Polybag 12x6x18Gusset</v>
          </cell>
          <cell r="C553" t="str">
            <v>EA</v>
          </cell>
          <cell r="D553">
            <v>32</v>
          </cell>
          <cell r="E553">
            <v>13588</v>
          </cell>
        </row>
        <row r="554">
          <cell r="A554" t="str">
            <v>5563-2</v>
          </cell>
          <cell r="B554" t="str">
            <v>2X212PLYGZE/PROCSSD</v>
          </cell>
          <cell r="C554" t="str">
            <v>EA</v>
          </cell>
          <cell r="D554">
            <v>20</v>
          </cell>
          <cell r="E554">
            <v>100499</v>
          </cell>
        </row>
        <row r="555">
          <cell r="A555" t="str">
            <v>5565A-1</v>
          </cell>
          <cell r="B555" t="str">
            <v>#15 SCALPEL W/T/PROTECTOR</v>
          </cell>
          <cell r="C555" t="str">
            <v>EA</v>
          </cell>
          <cell r="D555">
            <v>20</v>
          </cell>
          <cell r="E555">
            <v>6614</v>
          </cell>
        </row>
        <row r="556">
          <cell r="A556" t="str">
            <v>5576A</v>
          </cell>
          <cell r="B556" t="str">
            <v>25G X 21/2QUINCKE N/STER</v>
          </cell>
          <cell r="C556" t="str">
            <v>EA</v>
          </cell>
        </row>
        <row r="557">
          <cell r="A557" t="str">
            <v>5600A</v>
          </cell>
          <cell r="B557" t="str">
            <v>18GX3.5" QUINCKE NEEDLE</v>
          </cell>
          <cell r="C557" t="str">
            <v>EA</v>
          </cell>
          <cell r="D557" t="str">
            <v>N6</v>
          </cell>
          <cell r="E557">
            <v>7043</v>
          </cell>
        </row>
        <row r="558">
          <cell r="A558" t="str">
            <v>5600D</v>
          </cell>
          <cell r="B558" t="str">
            <v>NEEDLE DISP BOX 25 PK CE</v>
          </cell>
          <cell r="C558" t="str">
            <v>EA</v>
          </cell>
          <cell r="D558" t="str">
            <v>MZ6</v>
          </cell>
          <cell r="E558">
            <v>99</v>
          </cell>
        </row>
        <row r="559">
          <cell r="A559" t="str">
            <v>5600S</v>
          </cell>
          <cell r="B559" t="str">
            <v>UNPRINTED SHIPPER CTN</v>
          </cell>
          <cell r="C559" t="str">
            <v>EA</v>
          </cell>
          <cell r="D559" t="str">
            <v>MZ3</v>
          </cell>
          <cell r="E559">
            <v>102</v>
          </cell>
        </row>
        <row r="560">
          <cell r="A560" t="str">
            <v>5610A</v>
          </cell>
          <cell r="B560" t="str">
            <v>20GX3.5" QUINCKE NEEDLE</v>
          </cell>
          <cell r="C560" t="str">
            <v>EA</v>
          </cell>
          <cell r="D560" t="str">
            <v>N2</v>
          </cell>
          <cell r="E560">
            <v>18919</v>
          </cell>
        </row>
        <row r="561">
          <cell r="A561" t="str">
            <v>5620A</v>
          </cell>
          <cell r="B561" t="str">
            <v>22GX3.5" QUINCKE NEEDLE</v>
          </cell>
          <cell r="C561" t="str">
            <v>EA</v>
          </cell>
          <cell r="D561" t="str">
            <v>N5</v>
          </cell>
          <cell r="E561">
            <v>43502</v>
          </cell>
        </row>
        <row r="562">
          <cell r="A562" t="str">
            <v>5630A</v>
          </cell>
          <cell r="B562" t="str">
            <v>25GX3.5" QUINCKE NEEDLE</v>
          </cell>
          <cell r="C562" t="str">
            <v>EA</v>
          </cell>
          <cell r="D562" t="str">
            <v>N6</v>
          </cell>
          <cell r="E562">
            <v>13332</v>
          </cell>
        </row>
        <row r="563">
          <cell r="A563" t="str">
            <v>5640A</v>
          </cell>
          <cell r="B563" t="str">
            <v>22GX1.5" QUINCKE NEEDLE</v>
          </cell>
          <cell r="C563" t="str">
            <v>EA</v>
          </cell>
          <cell r="D563" t="str">
            <v>N4</v>
          </cell>
          <cell r="E563">
            <v>7630</v>
          </cell>
        </row>
        <row r="564">
          <cell r="A564" t="str">
            <v>5650A</v>
          </cell>
          <cell r="B564" t="str">
            <v>22GX5" QUINCKE SPINAL NDL</v>
          </cell>
          <cell r="C564" t="str">
            <v>EA</v>
          </cell>
          <cell r="D564" t="str">
            <v>N2</v>
          </cell>
          <cell r="E564">
            <v>10303</v>
          </cell>
        </row>
        <row r="565">
          <cell r="A565" t="str">
            <v>5651A</v>
          </cell>
          <cell r="B565" t="str">
            <v>DECANTER VIAL</v>
          </cell>
          <cell r="C565" t="str">
            <v>EA</v>
          </cell>
          <cell r="D565">
            <v>5</v>
          </cell>
          <cell r="E565">
            <v>87</v>
          </cell>
        </row>
        <row r="566">
          <cell r="A566" t="str">
            <v>5651C</v>
          </cell>
          <cell r="B566" t="str">
            <v>6 NON-COATED ELECTR/B</v>
          </cell>
          <cell r="C566" t="str">
            <v>EA</v>
          </cell>
          <cell r="D566">
            <v>14</v>
          </cell>
          <cell r="E566">
            <v>22</v>
          </cell>
        </row>
        <row r="567">
          <cell r="A567" t="str">
            <v>5660A</v>
          </cell>
          <cell r="B567" t="str">
            <v>22GX7"QUINCKE SPINAL NDLE</v>
          </cell>
          <cell r="C567" t="str">
            <v>EA</v>
          </cell>
          <cell r="D567" t="str">
            <v>N4</v>
          </cell>
          <cell r="E567">
            <v>4446</v>
          </cell>
        </row>
        <row r="568">
          <cell r="A568" t="str">
            <v>5670A</v>
          </cell>
          <cell r="B568" t="str">
            <v>25GX3.5"WHITACRE NEEDLE</v>
          </cell>
          <cell r="C568" t="str">
            <v>EA</v>
          </cell>
          <cell r="D568" t="str">
            <v>N9</v>
          </cell>
          <cell r="E568">
            <v>4134</v>
          </cell>
        </row>
        <row r="569">
          <cell r="A569" t="str">
            <v>5689A</v>
          </cell>
          <cell r="B569" t="str">
            <v>14" DOME BAG</v>
          </cell>
          <cell r="C569" t="str">
            <v>EA</v>
          </cell>
          <cell r="D569">
            <v>25</v>
          </cell>
          <cell r="E569">
            <v>123</v>
          </cell>
        </row>
        <row r="570">
          <cell r="A570" t="str">
            <v>5689B</v>
          </cell>
          <cell r="B570" t="str">
            <v>6" STANDARD BORE EXT.SET</v>
          </cell>
          <cell r="C570" t="str">
            <v>EA</v>
          </cell>
          <cell r="D570">
            <v>20</v>
          </cell>
          <cell r="E570">
            <v>2194</v>
          </cell>
        </row>
        <row r="571">
          <cell r="A571" t="str">
            <v>5689C</v>
          </cell>
          <cell r="B571" t="str">
            <v>GAD LABEL 0.5 X 1.75</v>
          </cell>
          <cell r="C571" t="str">
            <v>EA</v>
          </cell>
          <cell r="D571">
            <v>20</v>
          </cell>
          <cell r="E571">
            <v>1398</v>
          </cell>
        </row>
        <row r="572">
          <cell r="A572" t="str">
            <v>5689D</v>
          </cell>
          <cell r="B572" t="str">
            <v>LIDO/EPI LABEL .5 X 1.75</v>
          </cell>
          <cell r="C572" t="str">
            <v>EA</v>
          </cell>
          <cell r="D572">
            <v>21</v>
          </cell>
          <cell r="E572">
            <v>12</v>
          </cell>
        </row>
        <row r="573">
          <cell r="A573" t="str">
            <v>5711</v>
          </cell>
          <cell r="B573" t="str">
            <v>Unprtd Shipper for 845</v>
          </cell>
          <cell r="C573" t="str">
            <v>EA</v>
          </cell>
          <cell r="D573" t="str">
            <v>MZ2</v>
          </cell>
          <cell r="E573">
            <v>382</v>
          </cell>
        </row>
        <row r="574">
          <cell r="A574" t="str">
            <v>5717</v>
          </cell>
          <cell r="B574" t="str">
            <v>Unp Ship #5718 H.Schein</v>
          </cell>
          <cell r="C574" t="str">
            <v>EA</v>
          </cell>
          <cell r="D574" t="str">
            <v>MZ3</v>
          </cell>
          <cell r="E574">
            <v>400</v>
          </cell>
        </row>
        <row r="575">
          <cell r="A575" t="str">
            <v>5723-2</v>
          </cell>
          <cell r="B575" t="str">
            <v>CTN FOR 847</v>
          </cell>
          <cell r="C575" t="str">
            <v>EA</v>
          </cell>
          <cell r="D575" t="str">
            <v>MZ5</v>
          </cell>
          <cell r="E575">
            <v>372</v>
          </cell>
        </row>
        <row r="576">
          <cell r="A576" t="str">
            <v>5729</v>
          </cell>
          <cell r="B576" t="str">
            <v>Unp Ship #5730 H.Schein</v>
          </cell>
          <cell r="C576" t="str">
            <v>EA</v>
          </cell>
          <cell r="D576" t="str">
            <v>MZ6</v>
          </cell>
          <cell r="E576">
            <v>1079</v>
          </cell>
        </row>
        <row r="577">
          <cell r="A577" t="str">
            <v>5732</v>
          </cell>
          <cell r="B577" t="str">
            <v>Unp Ship #5736 H.Schein</v>
          </cell>
          <cell r="C577" t="str">
            <v>EA</v>
          </cell>
          <cell r="D577" t="str">
            <v>MZ2</v>
          </cell>
          <cell r="E577">
            <v>490</v>
          </cell>
        </row>
        <row r="578">
          <cell r="A578" t="str">
            <v>5896C</v>
          </cell>
          <cell r="B578" t="str">
            <v>Foam Adh Str 3/C2.25x2.75</v>
          </cell>
          <cell r="C578" t="str">
            <v>EA</v>
          </cell>
          <cell r="D578">
            <v>22</v>
          </cell>
          <cell r="E578">
            <v>3452</v>
          </cell>
        </row>
        <row r="579">
          <cell r="A579" t="str">
            <v>5908-1</v>
          </cell>
          <cell r="B579" t="str">
            <v>STERILE ALCOHOL PREP PAD</v>
          </cell>
          <cell r="C579" t="str">
            <v>EA</v>
          </cell>
          <cell r="D579">
            <v>15</v>
          </cell>
          <cell r="E579">
            <v>19402</v>
          </cell>
        </row>
        <row r="580">
          <cell r="A580" t="str">
            <v>5920A</v>
          </cell>
          <cell r="B580" t="str">
            <v>5ML GLASS LOR W/GLASS/LS</v>
          </cell>
          <cell r="C580" t="str">
            <v>EA</v>
          </cell>
          <cell r="D580">
            <v>32</v>
          </cell>
          <cell r="E580">
            <v>983</v>
          </cell>
        </row>
        <row r="581">
          <cell r="A581" t="str">
            <v>5925A</v>
          </cell>
          <cell r="B581" t="str">
            <v>5ML-10ML AMPULE CRACKER</v>
          </cell>
          <cell r="C581" t="str">
            <v>EA</v>
          </cell>
          <cell r="D581">
            <v>25</v>
          </cell>
          <cell r="E581">
            <v>569</v>
          </cell>
        </row>
        <row r="582">
          <cell r="A582" t="str">
            <v>5930A-1</v>
          </cell>
          <cell r="B582" t="str">
            <v>5ML GLASS LOR METAL TP LS</v>
          </cell>
          <cell r="C582" t="str">
            <v>EA</v>
          </cell>
          <cell r="D582">
            <v>19</v>
          </cell>
          <cell r="E582">
            <v>1739</v>
          </cell>
        </row>
        <row r="583">
          <cell r="A583" t="str">
            <v>5930C-1</v>
          </cell>
          <cell r="B583" t="str">
            <v>SILICONE STOPPER FOR LOR</v>
          </cell>
          <cell r="C583" t="str">
            <v>EA</v>
          </cell>
          <cell r="D583">
            <v>24</v>
          </cell>
          <cell r="E583">
            <v>11141</v>
          </cell>
        </row>
        <row r="584">
          <cell r="A584" t="str">
            <v>5940A-1</v>
          </cell>
          <cell r="B584" t="str">
            <v>5ML GLASS LOR METAL TP LL</v>
          </cell>
          <cell r="C584" t="str">
            <v>EA</v>
          </cell>
          <cell r="D584">
            <v>26</v>
          </cell>
          <cell r="E584">
            <v>1750</v>
          </cell>
        </row>
        <row r="585">
          <cell r="A585" t="str">
            <v>5950A-1</v>
          </cell>
          <cell r="B585" t="str">
            <v>10ML LOR L/L SYRINGE</v>
          </cell>
          <cell r="C585" t="str">
            <v>EA</v>
          </cell>
          <cell r="D585">
            <v>60</v>
          </cell>
          <cell r="E585">
            <v>36063</v>
          </cell>
        </row>
        <row r="586">
          <cell r="A586" t="str">
            <v>5950B-2</v>
          </cell>
          <cell r="B586" t="str">
            <v>10 ML/LOR/B/W/L/L/T-ENHAN</v>
          </cell>
          <cell r="C586" t="str">
            <v>EA</v>
          </cell>
          <cell r="D586">
            <v>64</v>
          </cell>
          <cell r="E586">
            <v>7000</v>
          </cell>
        </row>
        <row r="587">
          <cell r="A587" t="str">
            <v>5950D-2</v>
          </cell>
          <cell r="B587" t="str">
            <v>DISP BOX FOR 595/596</v>
          </cell>
          <cell r="C587" t="str">
            <v>EA</v>
          </cell>
          <cell r="D587" t="str">
            <v>MZ7</v>
          </cell>
          <cell r="E587">
            <v>275</v>
          </cell>
        </row>
        <row r="588">
          <cell r="A588" t="str">
            <v>5950G-1</v>
          </cell>
          <cell r="B588" t="str">
            <v>LUBRICATD BARREL ASSM L/L</v>
          </cell>
          <cell r="C588" t="str">
            <v>EA</v>
          </cell>
        </row>
        <row r="589">
          <cell r="A589" t="str">
            <v>5950P</v>
          </cell>
          <cell r="B589" t="str">
            <v>PLUNGER FOR 10ml SYRINGE</v>
          </cell>
          <cell r="C589" t="str">
            <v>EA</v>
          </cell>
          <cell r="D589">
            <v>62</v>
          </cell>
          <cell r="E589">
            <v>4500</v>
          </cell>
        </row>
        <row r="590">
          <cell r="A590" t="str">
            <v>5950S-2</v>
          </cell>
          <cell r="B590" t="str">
            <v>SHIPPER CTN</v>
          </cell>
          <cell r="C590" t="str">
            <v>EA</v>
          </cell>
          <cell r="D590" t="str">
            <v>MZ3</v>
          </cell>
          <cell r="E590">
            <v>515</v>
          </cell>
        </row>
        <row r="591">
          <cell r="A591" t="str">
            <v>5950T</v>
          </cell>
          <cell r="B591" t="str">
            <v>PISTON 10ml LOR SYRINGE</v>
          </cell>
          <cell r="C591" t="str">
            <v>EA</v>
          </cell>
        </row>
        <row r="592">
          <cell r="A592" t="str">
            <v>5952A</v>
          </cell>
          <cell r="B592" t="str">
            <v>8281-55 MED SANTOPRENE</v>
          </cell>
          <cell r="C592" t="str">
            <v>LB</v>
          </cell>
          <cell r="D592">
            <v>145</v>
          </cell>
          <cell r="E592">
            <v>275</v>
          </cell>
        </row>
        <row r="593">
          <cell r="A593" t="str">
            <v>5960A-1</v>
          </cell>
          <cell r="B593" t="str">
            <v>10ML LOR L/S SYRINGE</v>
          </cell>
          <cell r="C593" t="str">
            <v>EA</v>
          </cell>
          <cell r="D593">
            <v>32</v>
          </cell>
          <cell r="E593">
            <v>32018</v>
          </cell>
        </row>
        <row r="594">
          <cell r="A594" t="str">
            <v>5960B-2</v>
          </cell>
          <cell r="B594" t="str">
            <v>10ML LOR B/W/L/S/TIP-ENH</v>
          </cell>
          <cell r="C594" t="str">
            <v>EA</v>
          </cell>
        </row>
        <row r="595">
          <cell r="A595" t="str">
            <v>5960G-1</v>
          </cell>
          <cell r="B595" t="str">
            <v>LUBRICATD BARREL ASSM L/S</v>
          </cell>
          <cell r="C595" t="str">
            <v>EA</v>
          </cell>
        </row>
        <row r="596">
          <cell r="A596" t="str">
            <v>5980A</v>
          </cell>
          <cell r="B596" t="str">
            <v>SAF-T-CUBE</v>
          </cell>
          <cell r="C596" t="str">
            <v>EA</v>
          </cell>
          <cell r="D596">
            <v>24</v>
          </cell>
          <cell r="E596">
            <v>141626</v>
          </cell>
        </row>
        <row r="597">
          <cell r="A597" t="str">
            <v>5985A</v>
          </cell>
          <cell r="B597" t="str">
            <v>22GX2"HUBERN/C/NEEDLE W/H</v>
          </cell>
          <cell r="C597" t="str">
            <v>EA</v>
          </cell>
        </row>
        <row r="598">
          <cell r="A598" t="str">
            <v>5985B</v>
          </cell>
          <cell r="B598" t="str">
            <v>3'ROUND P/TEMP/W/1/2"HOLE</v>
          </cell>
          <cell r="C598" t="str">
            <v>EA</v>
          </cell>
        </row>
        <row r="599">
          <cell r="A599" t="str">
            <v>6/667</v>
          </cell>
          <cell r="B599" t="str">
            <v>HM#1097 Glue</v>
          </cell>
          <cell r="C599" t="str">
            <v>LB</v>
          </cell>
          <cell r="D599">
            <v>62</v>
          </cell>
          <cell r="E599">
            <v>125</v>
          </cell>
        </row>
        <row r="600">
          <cell r="A600" t="str">
            <v>6/9324</v>
          </cell>
          <cell r="B600" t="str">
            <v>LOCTITE GRADE 4061</v>
          </cell>
          <cell r="C600" t="str">
            <v>GM</v>
          </cell>
        </row>
        <row r="601">
          <cell r="A601" t="str">
            <v>6020B</v>
          </cell>
          <cell r="B601" t="str">
            <v>26G X 1-1/2" NEEDLE</v>
          </cell>
          <cell r="C601" t="str">
            <v>EA</v>
          </cell>
          <cell r="D601" t="str">
            <v>N9</v>
          </cell>
          <cell r="E601">
            <v>962</v>
          </cell>
        </row>
        <row r="602">
          <cell r="A602" t="str">
            <v>6020C</v>
          </cell>
          <cell r="B602" t="str">
            <v>1.75X0.5 PRE/P/LABEL(3SH)</v>
          </cell>
          <cell r="C602" t="str">
            <v>EA</v>
          </cell>
        </row>
        <row r="603">
          <cell r="A603" t="str">
            <v>6020D</v>
          </cell>
          <cell r="B603" t="str">
            <v>1.75X0.5 PRE-PRINT/L/6/CD</v>
          </cell>
          <cell r="C603" t="str">
            <v>EA</v>
          </cell>
        </row>
        <row r="604">
          <cell r="A604" t="str">
            <v>6056A</v>
          </cell>
          <cell r="B604" t="str">
            <v>26"X30"B/SMS STER/FIELD</v>
          </cell>
          <cell r="C604" t="str">
            <v>EA</v>
          </cell>
          <cell r="D604">
            <v>69</v>
          </cell>
          <cell r="E604">
            <v>9645</v>
          </cell>
        </row>
        <row r="605">
          <cell r="A605" t="str">
            <v>6056B-1</v>
          </cell>
          <cell r="B605" t="str">
            <v>22X28 DRAPE/3X5FEN/4TABS</v>
          </cell>
          <cell r="C605" t="str">
            <v>EA</v>
          </cell>
          <cell r="D605">
            <v>25</v>
          </cell>
          <cell r="E605">
            <v>416</v>
          </cell>
        </row>
        <row r="606">
          <cell r="A606" t="str">
            <v>6056C-1</v>
          </cell>
          <cell r="B606" t="str">
            <v>MEDICATION LABELSHEET</v>
          </cell>
          <cell r="C606" t="str">
            <v>EA</v>
          </cell>
          <cell r="D606">
            <v>31</v>
          </cell>
          <cell r="E606">
            <v>469</v>
          </cell>
        </row>
        <row r="607">
          <cell r="A607" t="str">
            <v>6097A</v>
          </cell>
          <cell r="B607" t="str">
            <v>14"X 48"IMPERV/STOCKINETT</v>
          </cell>
          <cell r="C607" t="str">
            <v>EA</v>
          </cell>
        </row>
        <row r="608">
          <cell r="A608" t="str">
            <v>6100S-1</v>
          </cell>
          <cell r="B608" t="str">
            <v>UNPTD SHIPPER CTN</v>
          </cell>
          <cell r="C608" t="str">
            <v>EA</v>
          </cell>
          <cell r="D608" t="str">
            <v>MZ5</v>
          </cell>
          <cell r="E608">
            <v>475</v>
          </cell>
        </row>
        <row r="609">
          <cell r="A609" t="str">
            <v>6138D</v>
          </cell>
          <cell r="B609" t="str">
            <v>PICC LINE DRAPE</v>
          </cell>
          <cell r="C609" t="str">
            <v>EA</v>
          </cell>
        </row>
        <row r="610">
          <cell r="A610" t="str">
            <v>6154D</v>
          </cell>
          <cell r="B610" t="str">
            <v>Antimicrobial Wipes</v>
          </cell>
          <cell r="C610" t="str">
            <v>EA</v>
          </cell>
        </row>
        <row r="611">
          <cell r="A611" t="str">
            <v>6225A</v>
          </cell>
          <cell r="B611" t="str">
            <v>SOAP LABEL 1.75 X 0.5</v>
          </cell>
          <cell r="C611" t="str">
            <v>EA</v>
          </cell>
        </row>
        <row r="612">
          <cell r="A612" t="str">
            <v>6250B</v>
          </cell>
          <cell r="B612" t="str">
            <v>GUIDEWIRE BOWL</v>
          </cell>
          <cell r="C612" t="str">
            <v>EA</v>
          </cell>
        </row>
        <row r="613">
          <cell r="A613" t="str">
            <v>6280A</v>
          </cell>
          <cell r="B613" t="str">
            <v>SNARE-IT J-NEEDLE 11GX4"</v>
          </cell>
          <cell r="C613" t="str">
            <v>EA</v>
          </cell>
          <cell r="D613">
            <v>28</v>
          </cell>
          <cell r="E613">
            <v>1312</v>
          </cell>
        </row>
        <row r="614">
          <cell r="A614" t="str">
            <v>6280B</v>
          </cell>
          <cell r="B614" t="str">
            <v>SNARE-IT CANNULA FOR6280A</v>
          </cell>
          <cell r="C614" t="str">
            <v>EA</v>
          </cell>
          <cell r="D614">
            <v>32</v>
          </cell>
          <cell r="E614">
            <v>1313</v>
          </cell>
        </row>
        <row r="615">
          <cell r="A615" t="str">
            <v>6280C</v>
          </cell>
          <cell r="B615" t="str">
            <v>EXTRA CAP FOR 6280A</v>
          </cell>
          <cell r="C615" t="str">
            <v>EA</v>
          </cell>
          <cell r="D615">
            <v>20</v>
          </cell>
          <cell r="E615">
            <v>1445</v>
          </cell>
        </row>
        <row r="616">
          <cell r="A616" t="str">
            <v>6280D</v>
          </cell>
          <cell r="B616" t="str">
            <v>VERIFICAT/EJECTOR ROD/W/G</v>
          </cell>
          <cell r="C616" t="str">
            <v>EA</v>
          </cell>
          <cell r="D616">
            <v>27</v>
          </cell>
          <cell r="E616">
            <v>1378</v>
          </cell>
        </row>
        <row r="617">
          <cell r="A617" t="str">
            <v>6280ISREVA</v>
          </cell>
          <cell r="B617" t="str">
            <v>INSTRUCTION SHEET 6280</v>
          </cell>
          <cell r="C617" t="str">
            <v>EA</v>
          </cell>
        </row>
        <row r="618">
          <cell r="A618" t="str">
            <v>6300S</v>
          </cell>
          <cell r="B618" t="str">
            <v>UNPRINTED SHIPPER CARTON</v>
          </cell>
          <cell r="C618" t="str">
            <v>EA</v>
          </cell>
          <cell r="D618" t="str">
            <v>MZ6</v>
          </cell>
          <cell r="E618">
            <v>893</v>
          </cell>
        </row>
        <row r="619">
          <cell r="A619" t="str">
            <v>6307A</v>
          </cell>
          <cell r="B619" t="str">
            <v>LATEX P/WALLET GLOVE S/8</v>
          </cell>
          <cell r="C619" t="str">
            <v>PR</v>
          </cell>
        </row>
        <row r="620">
          <cell r="A620" t="str">
            <v>6311S</v>
          </cell>
          <cell r="B620" t="str">
            <v>UNPRINTED SHIPPER CTN</v>
          </cell>
          <cell r="C620" t="str">
            <v>EA</v>
          </cell>
          <cell r="D620" t="str">
            <v>MZ6</v>
          </cell>
          <cell r="E620">
            <v>1167</v>
          </cell>
        </row>
        <row r="621">
          <cell r="A621" t="str">
            <v>6320A</v>
          </cell>
          <cell r="B621" t="str">
            <v>I-STYLE NEEDLE W/T-HANDLE</v>
          </cell>
          <cell r="C621" t="str">
            <v>EA</v>
          </cell>
          <cell r="D621">
            <v>32</v>
          </cell>
          <cell r="E621">
            <v>1140</v>
          </cell>
        </row>
        <row r="622">
          <cell r="A622" t="str">
            <v>6320C</v>
          </cell>
          <cell r="B622" t="str">
            <v>EXTRA CAP 6320A</v>
          </cell>
          <cell r="C622" t="str">
            <v>EA</v>
          </cell>
          <cell r="D622">
            <v>24</v>
          </cell>
          <cell r="E622">
            <v>1198</v>
          </cell>
        </row>
        <row r="623">
          <cell r="A623" t="str">
            <v>6335A</v>
          </cell>
          <cell r="B623" t="str">
            <v>12"SM/Bore w/rot m/f /l/l</v>
          </cell>
          <cell r="C623" t="str">
            <v>EA</v>
          </cell>
          <cell r="D623">
            <v>27</v>
          </cell>
          <cell r="E623">
            <v>911</v>
          </cell>
        </row>
        <row r="624">
          <cell r="A624" t="str">
            <v>6335B</v>
          </cell>
          <cell r="B624" t="str">
            <v>22GX11/2" N/C/HUBER/N/STR</v>
          </cell>
          <cell r="C624" t="str">
            <v>EA</v>
          </cell>
          <cell r="D624" t="str">
            <v>N2</v>
          </cell>
          <cell r="E624">
            <v>1959</v>
          </cell>
        </row>
        <row r="625">
          <cell r="A625" t="str">
            <v>6335B</v>
          </cell>
          <cell r="B625" t="str">
            <v>22GX11/2" N/C/HUBER/N/STR</v>
          </cell>
          <cell r="C625" t="str">
            <v>EA</v>
          </cell>
          <cell r="D625" t="str">
            <v>N3</v>
          </cell>
          <cell r="E625">
            <v>32</v>
          </cell>
        </row>
        <row r="626">
          <cell r="A626" t="str">
            <v>6340C</v>
          </cell>
          <cell r="B626" t="str">
            <v>21" X 36" N/S CLR DRAPE</v>
          </cell>
          <cell r="C626" t="str">
            <v>EA</v>
          </cell>
          <cell r="D626">
            <v>61</v>
          </cell>
          <cell r="E626">
            <v>1151</v>
          </cell>
        </row>
        <row r="627">
          <cell r="A627" t="str">
            <v>6340S</v>
          </cell>
          <cell r="B627" t="str">
            <v>Unprinted Ctn</v>
          </cell>
          <cell r="C627" t="str">
            <v>EA</v>
          </cell>
          <cell r="D627" t="str">
            <v>MZ6</v>
          </cell>
          <cell r="E627">
            <v>1038</v>
          </cell>
        </row>
        <row r="628">
          <cell r="A628" t="str">
            <v>6341</v>
          </cell>
          <cell r="B628" t="str">
            <v>3"SCRIM REINFORCED MATL</v>
          </cell>
          <cell r="C628" t="str">
            <v>SY</v>
          </cell>
          <cell r="D628" t="str">
            <v>J</v>
          </cell>
          <cell r="E628">
            <v>16137</v>
          </cell>
        </row>
        <row r="629">
          <cell r="A629" t="str">
            <v>6341A-1</v>
          </cell>
          <cell r="B629" t="str">
            <v>62.0" BLUE SRM FOR 6340</v>
          </cell>
          <cell r="C629" t="str">
            <v>SY</v>
          </cell>
        </row>
        <row r="630">
          <cell r="A630" t="str">
            <v>6342-1</v>
          </cell>
          <cell r="B630" t="str">
            <v>.0025 Clr POLY,21"WIDE</v>
          </cell>
          <cell r="C630" t="str">
            <v>LB</v>
          </cell>
          <cell r="D630" t="str">
            <v>J</v>
          </cell>
          <cell r="E630">
            <v>2211</v>
          </cell>
        </row>
        <row r="631">
          <cell r="A631" t="str">
            <v>6386A</v>
          </cell>
          <cell r="B631" t="str">
            <v>25Gx3 1/2" Quincke S/Need</v>
          </cell>
          <cell r="C631" t="str">
            <v>EA</v>
          </cell>
          <cell r="D631" t="str">
            <v>N3</v>
          </cell>
          <cell r="E631">
            <v>350</v>
          </cell>
        </row>
        <row r="632">
          <cell r="A632" t="str">
            <v>6400B</v>
          </cell>
          <cell r="B632" t="str">
            <v>BLUE ONE COMPARTMENT TRAY</v>
          </cell>
          <cell r="C632" t="str">
            <v>EA</v>
          </cell>
          <cell r="D632">
            <v>25</v>
          </cell>
          <cell r="E632">
            <v>27</v>
          </cell>
        </row>
        <row r="633">
          <cell r="A633" t="str">
            <v>6402A</v>
          </cell>
          <cell r="B633" t="str">
            <v>22GX11/2"HUBER NDLE/S/M/H</v>
          </cell>
          <cell r="C633" t="str">
            <v>EA</v>
          </cell>
          <cell r="D633" t="str">
            <v>N3</v>
          </cell>
          <cell r="E633">
            <v>425</v>
          </cell>
        </row>
        <row r="634">
          <cell r="A634" t="str">
            <v>6417A-1</v>
          </cell>
          <cell r="B634" t="str">
            <v>I-STYLE NEEDLE 15GX50MM</v>
          </cell>
          <cell r="C634" t="str">
            <v>EA</v>
          </cell>
          <cell r="D634">
            <v>32</v>
          </cell>
          <cell r="E634">
            <v>2000</v>
          </cell>
        </row>
        <row r="635">
          <cell r="A635" t="str">
            <v>6440DB</v>
          </cell>
          <cell r="B635" t="str">
            <v>DISP BOXES</v>
          </cell>
          <cell r="C635" t="str">
            <v>EA</v>
          </cell>
        </row>
        <row r="636">
          <cell r="A636" t="str">
            <v>6440TS</v>
          </cell>
          <cell r="B636" t="str">
            <v>TRANSLATION INSERT/644</v>
          </cell>
          <cell r="C636" t="str">
            <v>EA</v>
          </cell>
        </row>
        <row r="637">
          <cell r="A637" t="str">
            <v>6450A-1</v>
          </cell>
          <cell r="B637" t="str">
            <v>21GX2.5" QUINCKE NEEDLE</v>
          </cell>
          <cell r="C637" t="str">
            <v>EA</v>
          </cell>
          <cell r="D637" t="str">
            <v>N6</v>
          </cell>
          <cell r="E637">
            <v>5033</v>
          </cell>
        </row>
        <row r="638">
          <cell r="A638" t="str">
            <v>6450B-1</v>
          </cell>
          <cell r="B638" t="str">
            <v>BUSSE 24MIL LUMBAR TRAY</v>
          </cell>
          <cell r="C638" t="str">
            <v>EA</v>
          </cell>
          <cell r="D638">
            <v>35</v>
          </cell>
          <cell r="E638">
            <v>10957</v>
          </cell>
        </row>
        <row r="639">
          <cell r="A639" t="str">
            <v>6450E</v>
          </cell>
          <cell r="B639" t="str">
            <v>13" X 13" 1PP1 W/TAPE/FEN</v>
          </cell>
          <cell r="C639" t="str">
            <v>EA</v>
          </cell>
          <cell r="D639">
            <v>20</v>
          </cell>
          <cell r="E639">
            <v>13505</v>
          </cell>
        </row>
        <row r="640">
          <cell r="A640" t="str">
            <v>6450E-1</v>
          </cell>
          <cell r="B640" t="str">
            <v>18X16 WHITE DRAPE FEN ADH</v>
          </cell>
          <cell r="C640" t="str">
            <v>EA</v>
          </cell>
        </row>
        <row r="641">
          <cell r="A641" t="str">
            <v>6450P</v>
          </cell>
          <cell r="B641" t="str">
            <v>LARGE MANOMETER T/PRINTED</v>
          </cell>
          <cell r="C641" t="str">
            <v>EA</v>
          </cell>
          <cell r="D641">
            <v>56</v>
          </cell>
          <cell r="E641">
            <v>16310</v>
          </cell>
        </row>
        <row r="642">
          <cell r="A642" t="str">
            <v>6450P</v>
          </cell>
          <cell r="B642" t="str">
            <v>LARGE MANOMETER T/PRINTED</v>
          </cell>
          <cell r="C642" t="str">
            <v>EA</v>
          </cell>
          <cell r="D642" t="str">
            <v>149PKG</v>
          </cell>
          <cell r="E642">
            <v>3215</v>
          </cell>
        </row>
        <row r="643">
          <cell r="A643" t="str">
            <v>6450PC</v>
          </cell>
          <cell r="B643" t="str">
            <v>LARGE MAMOMETER T/W/CONN</v>
          </cell>
          <cell r="C643" t="str">
            <v>EA</v>
          </cell>
        </row>
        <row r="644">
          <cell r="A644" t="str">
            <v>6450T</v>
          </cell>
          <cell r="B644" t="str">
            <v>LG/MANOMETER T/TAPE/W/O/F</v>
          </cell>
          <cell r="C644" t="str">
            <v>EA</v>
          </cell>
        </row>
        <row r="645">
          <cell r="A645" t="str">
            <v>6450TB</v>
          </cell>
          <cell r="B645" t="str">
            <v>LARGE MANOMETER T/BEVELED</v>
          </cell>
          <cell r="C645" t="str">
            <v>EA</v>
          </cell>
        </row>
        <row r="646">
          <cell r="A646" t="str">
            <v>6450TS-2</v>
          </cell>
          <cell r="B646" t="str">
            <v>TRANSLATION INSERT</v>
          </cell>
          <cell r="C646" t="str">
            <v>EA</v>
          </cell>
        </row>
        <row r="647">
          <cell r="A647" t="str">
            <v>6452C</v>
          </cell>
          <cell r="B647" t="str">
            <v>14.30" TUBE FOR MANOMETER</v>
          </cell>
          <cell r="C647" t="str">
            <v>EA</v>
          </cell>
          <cell r="D647">
            <v>144</v>
          </cell>
          <cell r="E647">
            <v>199187</v>
          </cell>
        </row>
        <row r="648">
          <cell r="A648" t="str">
            <v>6455A-1</v>
          </cell>
          <cell r="B648" t="str">
            <v>#5 10ML CLEAR VIAL PE CAP</v>
          </cell>
          <cell r="C648" t="str">
            <v>EA</v>
          </cell>
          <cell r="D648">
            <v>25</v>
          </cell>
          <cell r="E648">
            <v>6965</v>
          </cell>
        </row>
        <row r="649">
          <cell r="A649" t="str">
            <v>6460B</v>
          </cell>
          <cell r="B649" t="str">
            <v>30X30 POLYBCKD CSR</v>
          </cell>
          <cell r="C649" t="str">
            <v>EA</v>
          </cell>
          <cell r="D649">
            <v>28</v>
          </cell>
          <cell r="E649">
            <v>956</v>
          </cell>
        </row>
        <row r="650">
          <cell r="A650" t="str">
            <v>6480B-1</v>
          </cell>
          <cell r="B650" t="str">
            <v>3-WAY STOPCOCK</v>
          </cell>
          <cell r="C650" t="str">
            <v>EA</v>
          </cell>
          <cell r="D650">
            <v>19</v>
          </cell>
          <cell r="E650">
            <v>16052</v>
          </cell>
        </row>
        <row r="651">
          <cell r="A651" t="str">
            <v>6480C</v>
          </cell>
          <cell r="B651" t="str">
            <v>17.5"X27" 1PP1 W/TAPE/FEN</v>
          </cell>
          <cell r="C651" t="str">
            <v>EA</v>
          </cell>
          <cell r="D651">
            <v>24</v>
          </cell>
          <cell r="E651">
            <v>390</v>
          </cell>
        </row>
        <row r="652">
          <cell r="A652" t="str">
            <v>6480C-1</v>
          </cell>
          <cell r="B652" t="str">
            <v>24X18 BLUE TPT 4"FEN STRP</v>
          </cell>
          <cell r="C652" t="str">
            <v>EA</v>
          </cell>
          <cell r="D652">
            <v>67</v>
          </cell>
          <cell r="E652">
            <v>49103</v>
          </cell>
        </row>
        <row r="653">
          <cell r="A653" t="str">
            <v>6480D</v>
          </cell>
          <cell r="B653" t="str">
            <v>2ml LdocaineAmp HSPIRA RX</v>
          </cell>
          <cell r="C653" t="str">
            <v>EA</v>
          </cell>
          <cell r="D653" t="str">
            <v>DRUGS</v>
          </cell>
          <cell r="E653">
            <v>985</v>
          </cell>
        </row>
        <row r="654">
          <cell r="A654" t="str">
            <v>6480E-1</v>
          </cell>
          <cell r="B654" t="str">
            <v>6"STANDRD BORE EXT SET</v>
          </cell>
          <cell r="C654" t="str">
            <v>EA</v>
          </cell>
          <cell r="D654">
            <v>31</v>
          </cell>
          <cell r="E654">
            <v>36128</v>
          </cell>
        </row>
        <row r="655">
          <cell r="A655" t="str">
            <v>6480H</v>
          </cell>
          <cell r="B655" t="str">
            <v>5ML 1% LIDOCAINE AMP/RX</v>
          </cell>
          <cell r="C655" t="str">
            <v>EA</v>
          </cell>
          <cell r="D655" t="str">
            <v>DRUGS</v>
          </cell>
          <cell r="E655">
            <v>17594</v>
          </cell>
        </row>
        <row r="656">
          <cell r="A656" t="str">
            <v>6480I</v>
          </cell>
          <cell r="B656" t="str">
            <v>INSTRUCTION FOR USE/6480H</v>
          </cell>
          <cell r="C656" t="str">
            <v>EA</v>
          </cell>
          <cell r="D656">
            <v>6</v>
          </cell>
          <cell r="E656">
            <v>13097</v>
          </cell>
        </row>
        <row r="657">
          <cell r="A657" t="str">
            <v>6482C</v>
          </cell>
          <cell r="B657" t="str">
            <v>7.925" TUBE FOR MANOMETER</v>
          </cell>
          <cell r="C657" t="str">
            <v>EA</v>
          </cell>
          <cell r="D657">
            <v>144</v>
          </cell>
          <cell r="E657">
            <v>149987</v>
          </cell>
        </row>
        <row r="658">
          <cell r="A658" t="str">
            <v>6483P</v>
          </cell>
          <cell r="B658" t="str">
            <v>SMALL MANOMETER T/PRINTED</v>
          </cell>
          <cell r="C658" t="str">
            <v>EA</v>
          </cell>
          <cell r="D658">
            <v>58</v>
          </cell>
          <cell r="E658">
            <v>395</v>
          </cell>
        </row>
        <row r="659">
          <cell r="A659" t="str">
            <v>6483PC</v>
          </cell>
          <cell r="B659" t="str">
            <v>SMALL MANOMETER T/W/CONN</v>
          </cell>
          <cell r="C659" t="str">
            <v>EA</v>
          </cell>
          <cell r="D659">
            <v>63</v>
          </cell>
          <cell r="E659">
            <v>19687</v>
          </cell>
        </row>
        <row r="660">
          <cell r="A660" t="str">
            <v>6483PC</v>
          </cell>
          <cell r="B660" t="str">
            <v>SMALL MANOMETER T/W/CONN</v>
          </cell>
          <cell r="C660" t="str">
            <v>EA</v>
          </cell>
          <cell r="D660" t="str">
            <v>149PKG</v>
          </cell>
          <cell r="E660">
            <v>10250</v>
          </cell>
        </row>
        <row r="661">
          <cell r="A661" t="str">
            <v>6490C-1</v>
          </cell>
          <cell r="B661" t="str">
            <v>28" X 28" wrap</v>
          </cell>
          <cell r="C661" t="str">
            <v>EA</v>
          </cell>
          <cell r="D661">
            <v>7</v>
          </cell>
          <cell r="E661">
            <v>3626</v>
          </cell>
        </row>
        <row r="662">
          <cell r="A662" t="str">
            <v>6500A-2</v>
          </cell>
          <cell r="B662" t="str">
            <v>BUSSEAMNIO/ARTHRO24MILTRY</v>
          </cell>
          <cell r="C662" t="str">
            <v>EA</v>
          </cell>
          <cell r="D662">
            <v>35</v>
          </cell>
          <cell r="E662">
            <v>4109</v>
          </cell>
        </row>
        <row r="663">
          <cell r="A663" t="str">
            <v>6500G-4</v>
          </cell>
          <cell r="B663" t="str">
            <v>ANGLED SPONGE STICK/BLUE</v>
          </cell>
          <cell r="C663" t="str">
            <v>EA</v>
          </cell>
          <cell r="D663">
            <v>2</v>
          </cell>
          <cell r="E663">
            <v>109012</v>
          </cell>
        </row>
        <row r="664">
          <cell r="A664" t="str">
            <v>6500G-4</v>
          </cell>
          <cell r="B664" t="str">
            <v>ANGLED SPONGE STICK/BLUE</v>
          </cell>
          <cell r="C664" t="str">
            <v>EA</v>
          </cell>
          <cell r="D664">
            <v>4</v>
          </cell>
          <cell r="E664">
            <v>105853</v>
          </cell>
        </row>
        <row r="665">
          <cell r="A665" t="str">
            <v>6500G-4</v>
          </cell>
          <cell r="B665" t="str">
            <v>ANGLED SPONGE STICK/BLUE</v>
          </cell>
          <cell r="C665" t="str">
            <v>EA</v>
          </cell>
          <cell r="D665">
            <v>5</v>
          </cell>
          <cell r="E665">
            <v>56000</v>
          </cell>
        </row>
        <row r="666">
          <cell r="A666" t="str">
            <v>6500G-4</v>
          </cell>
          <cell r="B666" t="str">
            <v>ANGLED SPONGE STICK/BLUE</v>
          </cell>
          <cell r="C666" t="str">
            <v>EA</v>
          </cell>
          <cell r="D666">
            <v>3</v>
          </cell>
          <cell r="E666">
            <v>-36089</v>
          </cell>
        </row>
        <row r="667">
          <cell r="A667" t="str">
            <v>6501A-2</v>
          </cell>
          <cell r="B667" t="str">
            <v>#1 AMBER VIAL W/PP CAP</v>
          </cell>
          <cell r="C667" t="str">
            <v>EA</v>
          </cell>
        </row>
        <row r="668">
          <cell r="A668" t="str">
            <v>6501A-3</v>
          </cell>
          <cell r="B668" t="str">
            <v>#1 AMBER VIAL W/PE CAP</v>
          </cell>
          <cell r="C668" t="str">
            <v>EA</v>
          </cell>
          <cell r="D668">
            <v>60</v>
          </cell>
          <cell r="E668">
            <v>5440</v>
          </cell>
        </row>
        <row r="669">
          <cell r="A669" t="str">
            <v>6502A-3</v>
          </cell>
          <cell r="B669" t="str">
            <v>#2 AMBER VIAL W/ PE CAP</v>
          </cell>
          <cell r="C669" t="str">
            <v>EA</v>
          </cell>
          <cell r="D669">
            <v>18</v>
          </cell>
          <cell r="E669">
            <v>3926</v>
          </cell>
        </row>
        <row r="670">
          <cell r="A670" t="str">
            <v>6502A-3</v>
          </cell>
          <cell r="B670" t="str">
            <v>#2 AMBER VIAL W/ PE CAP</v>
          </cell>
          <cell r="C670" t="str">
            <v>EA</v>
          </cell>
          <cell r="D670" t="str">
            <v>149PKG</v>
          </cell>
          <cell r="E670">
            <v>695</v>
          </cell>
        </row>
        <row r="671">
          <cell r="A671" t="str">
            <v>6503A-3</v>
          </cell>
          <cell r="B671" t="str">
            <v>#3 AMBER VIAL W/PE CAP</v>
          </cell>
          <cell r="C671" t="str">
            <v>EA</v>
          </cell>
          <cell r="D671">
            <v>60</v>
          </cell>
          <cell r="E671">
            <v>14910</v>
          </cell>
        </row>
        <row r="672">
          <cell r="A672" t="str">
            <v>6510A-1</v>
          </cell>
          <cell r="B672" t="str">
            <v>BUSSE 24MIL BASIC BIOPTRY</v>
          </cell>
          <cell r="C672" t="str">
            <v>EA</v>
          </cell>
          <cell r="D672">
            <v>35</v>
          </cell>
          <cell r="E672">
            <v>2092</v>
          </cell>
        </row>
        <row r="673">
          <cell r="A673" t="str">
            <v>6510D</v>
          </cell>
          <cell r="B673" t="str">
            <v>6" RULER</v>
          </cell>
          <cell r="C673" t="str">
            <v>EA</v>
          </cell>
          <cell r="D673">
            <v>30</v>
          </cell>
          <cell r="E673">
            <v>6452</v>
          </cell>
        </row>
        <row r="674">
          <cell r="A674" t="str">
            <v>6510E</v>
          </cell>
          <cell r="B674" t="str">
            <v>22 GAUGE X 1 1/2" NEEDLE</v>
          </cell>
          <cell r="C674" t="str">
            <v>EA</v>
          </cell>
          <cell r="D674" t="str">
            <v>N8</v>
          </cell>
          <cell r="E674">
            <v>13079</v>
          </cell>
        </row>
        <row r="675">
          <cell r="A675" t="str">
            <v>6510FS</v>
          </cell>
          <cell r="B675" t="str">
            <v>2FS TYVEK UNCOATED 14"</v>
          </cell>
          <cell r="C675" t="str">
            <v>MI</v>
          </cell>
          <cell r="D675">
            <v>35</v>
          </cell>
          <cell r="E675">
            <v>6048</v>
          </cell>
        </row>
        <row r="676">
          <cell r="A676" t="str">
            <v>6510L</v>
          </cell>
          <cell r="B676" t="str">
            <v>PATIENT ID LABEL</v>
          </cell>
          <cell r="C676" t="str">
            <v>EA</v>
          </cell>
          <cell r="D676">
            <v>31</v>
          </cell>
          <cell r="E676">
            <v>112429</v>
          </cell>
        </row>
        <row r="677">
          <cell r="A677" t="str">
            <v>6510S</v>
          </cell>
          <cell r="B677" t="str">
            <v>UNPRINTED SHIPPER CTN</v>
          </cell>
          <cell r="C677" t="str">
            <v>EA</v>
          </cell>
          <cell r="D677" t="str">
            <v>MZ4</v>
          </cell>
          <cell r="E677">
            <v>1747</v>
          </cell>
        </row>
        <row r="678">
          <cell r="A678" t="str">
            <v>6510T</v>
          </cell>
          <cell r="B678" t="str">
            <v>UNCOTD TYVEK 1059B 14"W</v>
          </cell>
          <cell r="C678" t="str">
            <v>MI</v>
          </cell>
        </row>
        <row r="679">
          <cell r="A679" t="str">
            <v>6520A-1</v>
          </cell>
          <cell r="B679" t="str">
            <v>24MIL BONEMARROWTRAY/TOP</v>
          </cell>
          <cell r="C679" t="str">
            <v>EA</v>
          </cell>
          <cell r="D679">
            <v>35</v>
          </cell>
          <cell r="E679">
            <v>2400</v>
          </cell>
        </row>
        <row r="680">
          <cell r="A680" t="str">
            <v>6520B-1</v>
          </cell>
          <cell r="B680" t="str">
            <v>24MIL BoneMarrowTray/Botm</v>
          </cell>
          <cell r="C680" t="str">
            <v>EA</v>
          </cell>
          <cell r="D680">
            <v>35</v>
          </cell>
          <cell r="E680">
            <v>3509</v>
          </cell>
        </row>
        <row r="681">
          <cell r="A681" t="str">
            <v>6520C-1</v>
          </cell>
          <cell r="B681" t="str">
            <v>11GX100MM J-STYLE NEEDLE</v>
          </cell>
          <cell r="C681" t="str">
            <v>EA</v>
          </cell>
          <cell r="D681">
            <v>19</v>
          </cell>
          <cell r="E681">
            <v>5506</v>
          </cell>
        </row>
        <row r="682">
          <cell r="A682" t="str">
            <v>6520D-1</v>
          </cell>
          <cell r="B682" t="str">
            <v>I-STYLE NEEDLE 15GX45MM</v>
          </cell>
          <cell r="C682" t="str">
            <v>EA</v>
          </cell>
          <cell r="D682">
            <v>20</v>
          </cell>
          <cell r="E682">
            <v>2257</v>
          </cell>
        </row>
        <row r="683">
          <cell r="A683" t="str">
            <v>6520F-1</v>
          </cell>
          <cell r="B683" t="str">
            <v>STER SPECIMEN VIAL W/EDTA</v>
          </cell>
          <cell r="C683" t="str">
            <v>EA</v>
          </cell>
          <cell r="D683">
            <v>14</v>
          </cell>
          <cell r="E683">
            <v>126</v>
          </cell>
        </row>
        <row r="684">
          <cell r="A684" t="str">
            <v>6520G-1</v>
          </cell>
          <cell r="B684" t="str">
            <v>AMBER VIAL WITH SNAP CAP</v>
          </cell>
          <cell r="C684" t="str">
            <v>EA</v>
          </cell>
          <cell r="D684">
            <v>29</v>
          </cell>
          <cell r="E684">
            <v>509</v>
          </cell>
        </row>
        <row r="685">
          <cell r="A685" t="str">
            <v>6520H</v>
          </cell>
          <cell r="B685" t="str">
            <v>STIRRING ROD</v>
          </cell>
          <cell r="C685" t="str">
            <v>EA</v>
          </cell>
          <cell r="D685">
            <v>24</v>
          </cell>
          <cell r="E685">
            <v>146</v>
          </cell>
        </row>
        <row r="686">
          <cell r="A686" t="str">
            <v>6520J</v>
          </cell>
          <cell r="B686" t="str">
            <v>FEMALE LUER LOCK ADAPTOR</v>
          </cell>
          <cell r="C686" t="str">
            <v>EA</v>
          </cell>
          <cell r="D686">
            <v>24</v>
          </cell>
          <cell r="E686">
            <v>4343</v>
          </cell>
        </row>
        <row r="687">
          <cell r="A687" t="str">
            <v>6520S</v>
          </cell>
          <cell r="B687" t="str">
            <v>UNPRINTED SHIPPER CARTON</v>
          </cell>
          <cell r="C687" t="str">
            <v>EA</v>
          </cell>
          <cell r="D687" t="str">
            <v>MZ2</v>
          </cell>
          <cell r="E687">
            <v>57</v>
          </cell>
        </row>
        <row r="688">
          <cell r="A688" t="str">
            <v>6530C</v>
          </cell>
          <cell r="B688" t="str">
            <v>21 GAUGE X 1 1/2" NEEDLE</v>
          </cell>
          <cell r="C688" t="str">
            <v>EA</v>
          </cell>
          <cell r="D688" t="str">
            <v>N7</v>
          </cell>
          <cell r="E688">
            <v>4038</v>
          </cell>
        </row>
        <row r="689">
          <cell r="A689" t="str">
            <v>6530E</v>
          </cell>
          <cell r="B689" t="str">
            <v>MINI SCALPEL W#11/B/S/TIP</v>
          </cell>
          <cell r="C689" t="str">
            <v>EA</v>
          </cell>
          <cell r="D689">
            <v>24</v>
          </cell>
          <cell r="E689">
            <v>-28</v>
          </cell>
        </row>
        <row r="690">
          <cell r="A690" t="str">
            <v>6531A-3</v>
          </cell>
          <cell r="B690" t="str">
            <v>#1 10ML CLEAR VIAL PE CAP</v>
          </cell>
          <cell r="C690" t="str">
            <v>EA</v>
          </cell>
          <cell r="D690">
            <v>46</v>
          </cell>
          <cell r="E690">
            <v>169558</v>
          </cell>
        </row>
        <row r="691">
          <cell r="A691" t="str">
            <v>6531A-3</v>
          </cell>
          <cell r="B691" t="str">
            <v>#1 10ML CLEAR VIAL PE CAP</v>
          </cell>
          <cell r="C691" t="str">
            <v>EA</v>
          </cell>
          <cell r="D691" t="str">
            <v>LIS</v>
          </cell>
          <cell r="E691">
            <v>144974</v>
          </cell>
        </row>
        <row r="692">
          <cell r="A692" t="str">
            <v>6531A-3</v>
          </cell>
          <cell r="B692" t="str">
            <v>#1 10ML CLEAR VIAL PE CAP</v>
          </cell>
          <cell r="C692" t="str">
            <v>EA</v>
          </cell>
          <cell r="D692" t="str">
            <v>149PKG</v>
          </cell>
          <cell r="E692">
            <v>12</v>
          </cell>
        </row>
        <row r="693">
          <cell r="A693" t="str">
            <v>6532A-3</v>
          </cell>
          <cell r="B693" t="str">
            <v>#2 10ML CLEAR VIAL PE CAP</v>
          </cell>
          <cell r="C693" t="str">
            <v>EA</v>
          </cell>
          <cell r="D693" t="str">
            <v>LIS</v>
          </cell>
          <cell r="E693">
            <v>224974</v>
          </cell>
        </row>
        <row r="694">
          <cell r="A694" t="str">
            <v>6532A-3</v>
          </cell>
          <cell r="B694" t="str">
            <v>#2 10ML CLEAR VIAL PE CAP</v>
          </cell>
          <cell r="C694" t="str">
            <v>EA</v>
          </cell>
          <cell r="D694">
            <v>44</v>
          </cell>
          <cell r="E694">
            <v>107142</v>
          </cell>
        </row>
        <row r="695">
          <cell r="A695" t="str">
            <v>6533A-3</v>
          </cell>
          <cell r="B695" t="str">
            <v>#3 10ML CLEAR VIAL PE CAP</v>
          </cell>
          <cell r="C695" t="str">
            <v>EA</v>
          </cell>
          <cell r="D695">
            <v>45</v>
          </cell>
          <cell r="E695">
            <v>153231</v>
          </cell>
        </row>
        <row r="696">
          <cell r="A696" t="str">
            <v>6533A-3</v>
          </cell>
          <cell r="B696" t="str">
            <v>#3 10ML CLEAR VIAL PE CAP</v>
          </cell>
          <cell r="C696" t="str">
            <v>EA</v>
          </cell>
          <cell r="D696" t="str">
            <v>LIS</v>
          </cell>
          <cell r="E696">
            <v>54974</v>
          </cell>
        </row>
        <row r="697">
          <cell r="A697" t="str">
            <v>6533A-3</v>
          </cell>
          <cell r="B697" t="str">
            <v>#3 10ML CLEAR VIAL PE CAP</v>
          </cell>
          <cell r="C697" t="str">
            <v>EA</v>
          </cell>
          <cell r="D697" t="str">
            <v>149PKG</v>
          </cell>
          <cell r="E697">
            <v>500</v>
          </cell>
        </row>
        <row r="698">
          <cell r="A698" t="str">
            <v>6534A-3</v>
          </cell>
          <cell r="B698" t="str">
            <v>#4 10ML CLEAR VIAL PE CAP</v>
          </cell>
          <cell r="C698" t="str">
            <v>EA</v>
          </cell>
          <cell r="D698">
            <v>47</v>
          </cell>
          <cell r="E698">
            <v>151171</v>
          </cell>
        </row>
        <row r="699">
          <cell r="A699" t="str">
            <v>6534A-3</v>
          </cell>
          <cell r="B699" t="str">
            <v>#4 10ML CLEAR VIAL PE CAP</v>
          </cell>
          <cell r="C699" t="str">
            <v>EA</v>
          </cell>
          <cell r="D699" t="str">
            <v>149PKG</v>
          </cell>
          <cell r="E699">
            <v>250</v>
          </cell>
        </row>
        <row r="700">
          <cell r="A700" t="str">
            <v>6540C-1</v>
          </cell>
          <cell r="B700" t="str">
            <v>EXTRA CAP</v>
          </cell>
          <cell r="C700" t="str">
            <v>EA</v>
          </cell>
          <cell r="D700">
            <v>26</v>
          </cell>
          <cell r="E700">
            <v>5494</v>
          </cell>
        </row>
        <row r="701">
          <cell r="A701" t="str">
            <v>6540F</v>
          </cell>
          <cell r="B701" t="str">
            <v>VERIFICATION/EXTRACTOR</v>
          </cell>
          <cell r="C701" t="str">
            <v>EA</v>
          </cell>
          <cell r="D701">
            <v>23</v>
          </cell>
          <cell r="E701">
            <v>5480</v>
          </cell>
        </row>
        <row r="702">
          <cell r="A702" t="str">
            <v>6540G</v>
          </cell>
          <cell r="B702" t="str">
            <v>SAFETY GUIDE</v>
          </cell>
          <cell r="C702" t="str">
            <v>EA</v>
          </cell>
          <cell r="D702">
            <v>27</v>
          </cell>
          <cell r="E702">
            <v>6179</v>
          </cell>
        </row>
        <row r="703">
          <cell r="A703" t="str">
            <v>6540H</v>
          </cell>
          <cell r="B703" t="str">
            <v>MALE L/L CLOSED CAP</v>
          </cell>
          <cell r="C703" t="str">
            <v>EA</v>
          </cell>
          <cell r="D703">
            <v>30</v>
          </cell>
          <cell r="E703">
            <v>9228</v>
          </cell>
        </row>
        <row r="704">
          <cell r="A704" t="str">
            <v>6560A-2</v>
          </cell>
          <cell r="B704" t="str">
            <v>20"STD EXTSET M L/S F L/L</v>
          </cell>
          <cell r="C704" t="str">
            <v>EA</v>
          </cell>
          <cell r="D704">
            <v>18</v>
          </cell>
          <cell r="E704">
            <v>14717</v>
          </cell>
        </row>
        <row r="705">
          <cell r="A705" t="str">
            <v>6588A</v>
          </cell>
          <cell r="B705" t="str">
            <v>36"SM BORE SET W/M&amp;F L/L</v>
          </cell>
          <cell r="C705" t="str">
            <v>EA</v>
          </cell>
          <cell r="D705">
            <v>26</v>
          </cell>
          <cell r="E705">
            <v>2585</v>
          </cell>
        </row>
        <row r="706">
          <cell r="A706" t="str">
            <v>6600B</v>
          </cell>
          <cell r="B706" t="str">
            <v>.5MIL PE FILM ,23.5"WIDE</v>
          </cell>
          <cell r="C706" t="str">
            <v>LB</v>
          </cell>
          <cell r="D706" t="str">
            <v>J</v>
          </cell>
          <cell r="E706">
            <v>134</v>
          </cell>
        </row>
        <row r="707">
          <cell r="A707" t="str">
            <v>6600C</v>
          </cell>
          <cell r="B707" t="str">
            <v>24X36 WHITEDRAPE4"FENPTCH</v>
          </cell>
          <cell r="C707" t="str">
            <v>EA</v>
          </cell>
          <cell r="D707">
            <v>57</v>
          </cell>
          <cell r="E707">
            <v>14067</v>
          </cell>
        </row>
        <row r="708">
          <cell r="A708" t="str">
            <v>6600CR</v>
          </cell>
          <cell r="B708" t="str">
            <v>24x36" DRAPE-NOT FOR ARP</v>
          </cell>
          <cell r="C708" t="str">
            <v>EA</v>
          </cell>
          <cell r="D708">
            <v>63</v>
          </cell>
          <cell r="E708">
            <v>4555</v>
          </cell>
        </row>
        <row r="709">
          <cell r="A709" t="str">
            <v>6605A</v>
          </cell>
          <cell r="B709" t="str">
            <v>17.5#WHITEVIRGINTISSUE24"</v>
          </cell>
          <cell r="C709" t="str">
            <v>LB</v>
          </cell>
          <cell r="D709" t="str">
            <v>J</v>
          </cell>
          <cell r="E709">
            <v>4526</v>
          </cell>
        </row>
        <row r="710">
          <cell r="A710" t="str">
            <v>6610A-1</v>
          </cell>
          <cell r="B710" t="str">
            <v>18# BLUE TISSUE 24"WIDE</v>
          </cell>
          <cell r="C710" t="str">
            <v>LB</v>
          </cell>
          <cell r="D710" t="str">
            <v>J</v>
          </cell>
          <cell r="E710">
            <v>4395</v>
          </cell>
        </row>
        <row r="711">
          <cell r="A711" t="str">
            <v>6640C</v>
          </cell>
          <cell r="B711" t="str">
            <v>24X18 BLUE DRAPE</v>
          </cell>
          <cell r="C711" t="str">
            <v>EA</v>
          </cell>
          <cell r="D711">
            <v>60</v>
          </cell>
          <cell r="E711">
            <v>1161</v>
          </cell>
        </row>
        <row r="712">
          <cell r="A712" t="str">
            <v>6669</v>
          </cell>
          <cell r="B712" t="str">
            <v>Unprinted Carton</v>
          </cell>
          <cell r="C712" t="str">
            <v>EA</v>
          </cell>
          <cell r="D712" t="str">
            <v>MZ2</v>
          </cell>
          <cell r="E712">
            <v>698</v>
          </cell>
        </row>
        <row r="713">
          <cell r="A713" t="str">
            <v>6700A-1</v>
          </cell>
          <cell r="B713" t="str">
            <v>24 MIL NRVBLK TRAY TOP</v>
          </cell>
          <cell r="C713" t="str">
            <v>EA</v>
          </cell>
          <cell r="D713">
            <v>35</v>
          </cell>
          <cell r="E713">
            <v>1281</v>
          </cell>
        </row>
        <row r="714">
          <cell r="A714" t="str">
            <v>6700A-2</v>
          </cell>
          <cell r="B714" t="str">
            <v>24 MIL THERMOF/B/TRAY/TOP</v>
          </cell>
          <cell r="C714" t="str">
            <v>EA</v>
          </cell>
          <cell r="D714">
            <v>74</v>
          </cell>
          <cell r="E714">
            <v>293</v>
          </cell>
        </row>
        <row r="715">
          <cell r="A715" t="str">
            <v>6700B-1</v>
          </cell>
          <cell r="B715" t="str">
            <v>24MIL NrvBlk Tray Bottom</v>
          </cell>
          <cell r="C715" t="str">
            <v>EA</v>
          </cell>
          <cell r="D715">
            <v>35</v>
          </cell>
          <cell r="E715">
            <v>1886</v>
          </cell>
        </row>
        <row r="716">
          <cell r="A716" t="str">
            <v>6700C</v>
          </cell>
          <cell r="B716" t="str">
            <v>24X30CLR FEN DRAPE W/STRP</v>
          </cell>
          <cell r="C716" t="str">
            <v>EA</v>
          </cell>
          <cell r="D716">
            <v>64</v>
          </cell>
          <cell r="E716">
            <v>18451</v>
          </cell>
        </row>
        <row r="717">
          <cell r="A717" t="str">
            <v>6700E</v>
          </cell>
          <cell r="B717" t="str">
            <v>12MIL EVA/SURLYN/EVA FILM</v>
          </cell>
          <cell r="C717" t="str">
            <v>LB</v>
          </cell>
          <cell r="D717">
            <v>35</v>
          </cell>
          <cell r="E717">
            <v>2518</v>
          </cell>
        </row>
        <row r="718">
          <cell r="A718" t="str">
            <v>6700G</v>
          </cell>
          <cell r="B718" t="str">
            <v>18Gx3.5"Touhy w/fx wings</v>
          </cell>
          <cell r="C718" t="str">
            <v>EA</v>
          </cell>
          <cell r="D718" t="str">
            <v>N4</v>
          </cell>
          <cell r="E718">
            <v>911</v>
          </cell>
        </row>
        <row r="719">
          <cell r="A719" t="str">
            <v>6700H</v>
          </cell>
          <cell r="B719" t="str">
            <v>20GX31/2" TUOHY N/W/F/WG</v>
          </cell>
          <cell r="C719" t="str">
            <v>EA</v>
          </cell>
          <cell r="D719" t="str">
            <v>N2</v>
          </cell>
          <cell r="E719">
            <v>1772</v>
          </cell>
        </row>
        <row r="720">
          <cell r="A720" t="str">
            <v>6700R</v>
          </cell>
          <cell r="B720" t="str">
            <v>3/4" RELEASE LINER</v>
          </cell>
          <cell r="C720" t="str">
            <v>MF</v>
          </cell>
        </row>
        <row r="721">
          <cell r="A721" t="str">
            <v>6700S</v>
          </cell>
          <cell r="B721" t="str">
            <v>UNPRINTED CARTON</v>
          </cell>
          <cell r="C721" t="str">
            <v>EA</v>
          </cell>
          <cell r="D721" t="str">
            <v>MZ4</v>
          </cell>
          <cell r="E721">
            <v>562</v>
          </cell>
        </row>
        <row r="722">
          <cell r="A722" t="str">
            <v>6701A</v>
          </cell>
          <cell r="B722" t="str">
            <v>SKIN MARKER</v>
          </cell>
          <cell r="C722" t="str">
            <v>EA</v>
          </cell>
          <cell r="D722">
            <v>21</v>
          </cell>
          <cell r="E722">
            <v>6613</v>
          </cell>
        </row>
        <row r="723">
          <cell r="A723" t="str">
            <v>6701B</v>
          </cell>
          <cell r="B723" t="str">
            <v>20CC CONTROL SYRINGE</v>
          </cell>
          <cell r="C723" t="str">
            <v>EA</v>
          </cell>
          <cell r="D723">
            <v>19</v>
          </cell>
          <cell r="E723">
            <v>260</v>
          </cell>
        </row>
        <row r="724">
          <cell r="A724" t="str">
            <v>6701C</v>
          </cell>
          <cell r="B724" t="str">
            <v>25 GAUGE X 1.5" NEEDLE</v>
          </cell>
          <cell r="C724" t="str">
            <v>EA</v>
          </cell>
          <cell r="D724" t="str">
            <v>N8</v>
          </cell>
          <cell r="E724">
            <v>49218</v>
          </cell>
        </row>
        <row r="725">
          <cell r="A725" t="str">
            <v>6701D</v>
          </cell>
          <cell r="B725" t="str">
            <v>18 G X 1.5" FILTER NEEDLE</v>
          </cell>
          <cell r="C725" t="str">
            <v>EA</v>
          </cell>
          <cell r="D725" t="str">
            <v>N4</v>
          </cell>
          <cell r="E725">
            <v>3854</v>
          </cell>
        </row>
        <row r="726">
          <cell r="A726" t="str">
            <v>6705A</v>
          </cell>
          <cell r="B726" t="str">
            <v>P/F TRILON GLOVE MED</v>
          </cell>
          <cell r="C726" t="str">
            <v>EA</v>
          </cell>
          <cell r="D726">
            <v>26</v>
          </cell>
          <cell r="E726">
            <v>3690</v>
          </cell>
        </row>
        <row r="727">
          <cell r="A727" t="str">
            <v>6710A-3</v>
          </cell>
          <cell r="B727" t="str">
            <v>2.0 MIL PE FILM 30" WIDE</v>
          </cell>
          <cell r="C727" t="str">
            <v>LB</v>
          </cell>
          <cell r="D727" t="str">
            <v>J</v>
          </cell>
          <cell r="E727">
            <v>6784</v>
          </cell>
        </row>
        <row r="728">
          <cell r="A728" t="str">
            <v>6710E</v>
          </cell>
          <cell r="B728" t="str">
            <v>.75 PVP SOLUTION, STERILE</v>
          </cell>
          <cell r="C728" t="str">
            <v>EA</v>
          </cell>
          <cell r="D728">
            <v>15</v>
          </cell>
          <cell r="E728">
            <v>1850</v>
          </cell>
        </row>
        <row r="729">
          <cell r="A729" t="str">
            <v>6710FS</v>
          </cell>
          <cell r="B729" t="str">
            <v>2FS TYVEK, COATED,14"</v>
          </cell>
          <cell r="C729" t="str">
            <v>MI</v>
          </cell>
          <cell r="D729">
            <v>35</v>
          </cell>
          <cell r="E729">
            <v>1008</v>
          </cell>
        </row>
        <row r="730">
          <cell r="A730" t="str">
            <v>6711B</v>
          </cell>
          <cell r="B730" t="str">
            <v>.9%SODIUM CHLOR AMPULE/RX</v>
          </cell>
          <cell r="C730" t="str">
            <v>EA</v>
          </cell>
          <cell r="D730" t="str">
            <v>DRUGS</v>
          </cell>
          <cell r="E730">
            <v>9285</v>
          </cell>
        </row>
        <row r="731">
          <cell r="A731" t="str">
            <v>6711D</v>
          </cell>
          <cell r="B731" t="str">
            <v>18GX3.5" TUOHY NDL W/ FX</v>
          </cell>
          <cell r="C731" t="str">
            <v>EA</v>
          </cell>
          <cell r="D731" t="str">
            <v>N3</v>
          </cell>
          <cell r="E731">
            <v>288</v>
          </cell>
        </row>
        <row r="732">
          <cell r="A732" t="str">
            <v>6711E-1</v>
          </cell>
          <cell r="B732" t="str">
            <v>20GX100CM EPI CATH W/ADPT</v>
          </cell>
          <cell r="C732" t="str">
            <v>EA</v>
          </cell>
          <cell r="D732">
            <v>28</v>
          </cell>
          <cell r="E732">
            <v>3282</v>
          </cell>
        </row>
        <row r="733">
          <cell r="A733" t="str">
            <v>6711G</v>
          </cell>
          <cell r="B733" t="str">
            <v>3"X4.5"POLYWITH PERF</v>
          </cell>
          <cell r="C733" t="str">
            <v>EA</v>
          </cell>
        </row>
        <row r="734">
          <cell r="A734" t="str">
            <v>6711H</v>
          </cell>
          <cell r="B734" t="str">
            <v>INSTRUCTION FOR USE/6711B</v>
          </cell>
          <cell r="C734" t="str">
            <v>EA</v>
          </cell>
          <cell r="D734">
            <v>6</v>
          </cell>
          <cell r="E734">
            <v>20326</v>
          </cell>
        </row>
        <row r="735">
          <cell r="A735" t="str">
            <v>6711L</v>
          </cell>
          <cell r="B735" t="str">
            <v>YELLOW CATHETER LABEL</v>
          </cell>
          <cell r="C735" t="str">
            <v>EA</v>
          </cell>
          <cell r="D735">
            <v>26</v>
          </cell>
          <cell r="E735">
            <v>1453</v>
          </cell>
        </row>
        <row r="736">
          <cell r="A736" t="str">
            <v>6711U</v>
          </cell>
          <cell r="B736" t="str">
            <v>EPID. CATHETER INST SHT</v>
          </cell>
          <cell r="C736" t="str">
            <v>EA</v>
          </cell>
          <cell r="D736">
            <v>6</v>
          </cell>
          <cell r="E736">
            <v>1475</v>
          </cell>
        </row>
        <row r="737">
          <cell r="A737" t="str">
            <v>6715A</v>
          </cell>
          <cell r="B737" t="str">
            <v>2.5MIL TRANSLCNT FILM 30"</v>
          </cell>
          <cell r="C737" t="str">
            <v>LB</v>
          </cell>
          <cell r="D737" t="str">
            <v>J</v>
          </cell>
          <cell r="E737">
            <v>271</v>
          </cell>
        </row>
        <row r="738">
          <cell r="A738" t="str">
            <v>6715C</v>
          </cell>
          <cell r="B738" t="str">
            <v>30X24"TRANSFENDRAPEW/STRP</v>
          </cell>
          <cell r="C738" t="str">
            <v>EA</v>
          </cell>
          <cell r="D738">
            <v>60</v>
          </cell>
          <cell r="E738">
            <v>2205</v>
          </cell>
        </row>
        <row r="739">
          <cell r="A739" t="str">
            <v>6720A</v>
          </cell>
          <cell r="B739" t="str">
            <v>CATHETER PAD</v>
          </cell>
          <cell r="C739" t="str">
            <v>EA</v>
          </cell>
          <cell r="D739">
            <v>27</v>
          </cell>
          <cell r="E739">
            <v>274</v>
          </cell>
        </row>
        <row r="740">
          <cell r="A740" t="str">
            <v>6720F</v>
          </cell>
          <cell r="B740" t="str">
            <v>5ML LIDOCAINE W/EPINEPHR</v>
          </cell>
          <cell r="C740" t="str">
            <v>EA</v>
          </cell>
          <cell r="D740" t="str">
            <v>DRUGS</v>
          </cell>
          <cell r="E740">
            <v>490</v>
          </cell>
        </row>
        <row r="741">
          <cell r="A741" t="str">
            <v>6720G</v>
          </cell>
          <cell r="B741" t="str">
            <v>EN-2440 W/EPINE INSRT</v>
          </cell>
          <cell r="C741" t="str">
            <v>EA</v>
          </cell>
          <cell r="D741">
            <v>6</v>
          </cell>
          <cell r="E741">
            <v>3061</v>
          </cell>
        </row>
        <row r="742">
          <cell r="A742" t="str">
            <v>6720J</v>
          </cell>
          <cell r="B742" t="str">
            <v>EN-0690 EPINEPHRINE INSRT</v>
          </cell>
          <cell r="C742" t="str">
            <v>EA</v>
          </cell>
          <cell r="D742">
            <v>6</v>
          </cell>
          <cell r="E742">
            <v>2922</v>
          </cell>
        </row>
        <row r="743">
          <cell r="A743" t="str">
            <v>6720S-1</v>
          </cell>
          <cell r="B743" t="str">
            <v>SHIP CTN HEAVYWALL 44ECT</v>
          </cell>
          <cell r="C743" t="str">
            <v>EA</v>
          </cell>
          <cell r="D743" t="str">
            <v>MZ1</v>
          </cell>
          <cell r="E743">
            <v>3051</v>
          </cell>
        </row>
        <row r="744">
          <cell r="A744" t="str">
            <v>6720T</v>
          </cell>
          <cell r="B744" t="str">
            <v>BUSSE SM PAINMGMT TRY TOP</v>
          </cell>
          <cell r="C744" t="str">
            <v>EA</v>
          </cell>
          <cell r="D744">
            <v>35</v>
          </cell>
          <cell r="E744">
            <v>22978</v>
          </cell>
        </row>
        <row r="745">
          <cell r="A745" t="str">
            <v>6730B</v>
          </cell>
          <cell r="B745" t="str">
            <v>BUSSE LOW PROFILE BTM TRY</v>
          </cell>
          <cell r="C745" t="str">
            <v>EA</v>
          </cell>
          <cell r="D745">
            <v>35</v>
          </cell>
          <cell r="E745">
            <v>9805</v>
          </cell>
        </row>
        <row r="746">
          <cell r="A746" t="str">
            <v>6760B-1</v>
          </cell>
          <cell r="B746" t="str">
            <v>2.0MIL CLEAR PE FILM,24"</v>
          </cell>
          <cell r="C746" t="str">
            <v>LB</v>
          </cell>
          <cell r="D746" t="str">
            <v>J</v>
          </cell>
          <cell r="E746">
            <v>988</v>
          </cell>
        </row>
        <row r="747">
          <cell r="A747" t="str">
            <v>6795A</v>
          </cell>
          <cell r="B747" t="str">
            <v>SAFELINE INJECTION SITE</v>
          </cell>
          <cell r="C747" t="str">
            <v>EA</v>
          </cell>
          <cell r="D747">
            <v>25</v>
          </cell>
          <cell r="E747">
            <v>189</v>
          </cell>
        </row>
        <row r="748">
          <cell r="A748" t="str">
            <v>6795B</v>
          </cell>
          <cell r="B748" t="str">
            <v>5.25"MIRCOBORE EXT/S/W/TC</v>
          </cell>
          <cell r="C748" t="str">
            <v>EA</v>
          </cell>
        </row>
        <row r="749">
          <cell r="A749" t="str">
            <v>6795C</v>
          </cell>
          <cell r="B749" t="str">
            <v>1-3/4 X1-3/4" TEGAD/DRESS</v>
          </cell>
          <cell r="C749" t="str">
            <v>EA</v>
          </cell>
          <cell r="D749">
            <v>14</v>
          </cell>
          <cell r="E749">
            <v>387</v>
          </cell>
        </row>
        <row r="750">
          <cell r="A750" t="str">
            <v>6795F</v>
          </cell>
          <cell r="B750" t="str">
            <v>INSTR/S/INJEC/ NOT ORDER</v>
          </cell>
          <cell r="C750" t="str">
            <v>EA</v>
          </cell>
        </row>
        <row r="751">
          <cell r="A751" t="str">
            <v>6795G</v>
          </cell>
          <cell r="B751" t="str">
            <v>INST/5.25" M/EXT NOT ORDE</v>
          </cell>
          <cell r="C751" t="str">
            <v>EA</v>
          </cell>
        </row>
        <row r="752">
          <cell r="A752" t="str">
            <v>6800A-2</v>
          </cell>
          <cell r="B752" t="str">
            <v>45GSM SMS BLUE 15.5"WIDE</v>
          </cell>
          <cell r="C752" t="str">
            <v>SY</v>
          </cell>
          <cell r="D752" t="str">
            <v>LIS</v>
          </cell>
          <cell r="E752">
            <v>64656</v>
          </cell>
        </row>
        <row r="753">
          <cell r="A753" t="str">
            <v>6800A-2</v>
          </cell>
          <cell r="B753" t="str">
            <v>45GSM SMS BLUE 15.5"WIDE</v>
          </cell>
          <cell r="C753" t="str">
            <v>SY</v>
          </cell>
          <cell r="D753" t="str">
            <v>J</v>
          </cell>
          <cell r="E753">
            <v>21552</v>
          </cell>
        </row>
        <row r="754">
          <cell r="A754" t="str">
            <v>6802A</v>
          </cell>
          <cell r="B754" t="str">
            <v>15.5X25"BLUESMS W/ 2" FLD</v>
          </cell>
          <cell r="C754" t="str">
            <v>EA</v>
          </cell>
          <cell r="D754">
            <v>72</v>
          </cell>
          <cell r="E754">
            <v>96802</v>
          </cell>
        </row>
        <row r="755">
          <cell r="A755" t="str">
            <v>6818A</v>
          </cell>
          <cell r="B755" t="str">
            <v>B.D.10CCSYR.W/ECCENTRIC/T</v>
          </cell>
          <cell r="C755" t="str">
            <v>EA</v>
          </cell>
        </row>
        <row r="756">
          <cell r="A756" t="str">
            <v>6821A</v>
          </cell>
          <cell r="B756" t="str">
            <v>19 1/2"X23" BLUE KAYCEL/T</v>
          </cell>
          <cell r="C756" t="str">
            <v>EA</v>
          </cell>
          <cell r="D756">
            <v>62</v>
          </cell>
          <cell r="E756">
            <v>24133</v>
          </cell>
        </row>
        <row r="757">
          <cell r="A757" t="str">
            <v>6822</v>
          </cell>
          <cell r="B757" t="str">
            <v>19.5x23 Blue Absorb Twl</v>
          </cell>
          <cell r="C757" t="str">
            <v>EA</v>
          </cell>
          <cell r="D757">
            <v>65</v>
          </cell>
          <cell r="E757">
            <v>101523</v>
          </cell>
        </row>
        <row r="758">
          <cell r="A758" t="str">
            <v>6825A-2</v>
          </cell>
          <cell r="B758" t="str">
            <v>45GSM BLUE SMS MATL 26"W</v>
          </cell>
          <cell r="C758" t="str">
            <v>SY</v>
          </cell>
          <cell r="D758" t="str">
            <v>LIS</v>
          </cell>
          <cell r="E758">
            <v>58578</v>
          </cell>
        </row>
        <row r="759">
          <cell r="A759" t="str">
            <v>6825A-2</v>
          </cell>
          <cell r="B759" t="str">
            <v>45GSM BLUE SMS MATL 26"W</v>
          </cell>
          <cell r="C759" t="str">
            <v>SY</v>
          </cell>
          <cell r="D759" t="str">
            <v>J</v>
          </cell>
          <cell r="E759">
            <v>11771</v>
          </cell>
        </row>
        <row r="760">
          <cell r="A760" t="str">
            <v>6825C</v>
          </cell>
          <cell r="B760" t="str">
            <v>26X22SMSDRAPE4X4FENADHPAT</v>
          </cell>
          <cell r="C760" t="str">
            <v>EA</v>
          </cell>
          <cell r="D760">
            <v>62</v>
          </cell>
          <cell r="E760">
            <v>2275</v>
          </cell>
        </row>
        <row r="761">
          <cell r="A761" t="str">
            <v>6826A</v>
          </cell>
          <cell r="B761" t="str">
            <v>26X26"B/SMS DRAPE W/5"FEN</v>
          </cell>
          <cell r="C761" t="str">
            <v>EA</v>
          </cell>
          <cell r="D761">
            <v>61</v>
          </cell>
          <cell r="E761">
            <v>695</v>
          </cell>
        </row>
        <row r="762">
          <cell r="A762" t="str">
            <v>6827A-1</v>
          </cell>
          <cell r="B762" t="str">
            <v>26"X22"BLUE SMS DRAPE W/S</v>
          </cell>
          <cell r="C762" t="str">
            <v>EA</v>
          </cell>
          <cell r="D762">
            <v>63</v>
          </cell>
          <cell r="E762">
            <v>4424</v>
          </cell>
        </row>
        <row r="763">
          <cell r="A763" t="str">
            <v>6829C</v>
          </cell>
          <cell r="B763" t="str">
            <v>26X22BL SMS DRAP4X8FE</v>
          </cell>
          <cell r="C763" t="str">
            <v>EA</v>
          </cell>
          <cell r="D763">
            <v>61</v>
          </cell>
          <cell r="E763">
            <v>3303</v>
          </cell>
        </row>
        <row r="764">
          <cell r="A764" t="str">
            <v>6830A-1</v>
          </cell>
          <cell r="B764" t="str">
            <v>11" X 17" TRANS DRAPE</v>
          </cell>
          <cell r="C764" t="str">
            <v>EA</v>
          </cell>
          <cell r="D764">
            <v>30</v>
          </cell>
          <cell r="E764">
            <v>1</v>
          </cell>
        </row>
        <row r="765">
          <cell r="A765" t="str">
            <v>6840A-1</v>
          </cell>
          <cell r="B765" t="str">
            <v>17" X 23" Trans Drape</v>
          </cell>
          <cell r="C765" t="str">
            <v>EA</v>
          </cell>
          <cell r="D765">
            <v>34</v>
          </cell>
          <cell r="E765">
            <v>217</v>
          </cell>
        </row>
        <row r="766">
          <cell r="A766" t="str">
            <v>6841C-1</v>
          </cell>
          <cell r="B766" t="str">
            <v>ADH.PATCH 4.5"x 5.25</v>
          </cell>
          <cell r="C766" t="str">
            <v>EA</v>
          </cell>
        </row>
        <row r="767">
          <cell r="A767" t="str">
            <v>6850DW</v>
          </cell>
          <cell r="B767" t="str">
            <v>UNPTD.SHIPPER CTN</v>
          </cell>
          <cell r="C767" t="str">
            <v>EA</v>
          </cell>
          <cell r="D767" t="str">
            <v>MZ1</v>
          </cell>
          <cell r="E767">
            <v>380</v>
          </cell>
        </row>
        <row r="768">
          <cell r="A768" t="str">
            <v>6850S</v>
          </cell>
          <cell r="B768" t="str">
            <v>UNPTD.SHIPPER CTN</v>
          </cell>
          <cell r="C768" t="str">
            <v>EA</v>
          </cell>
          <cell r="D768" t="str">
            <v>MZ4</v>
          </cell>
          <cell r="E768">
            <v>389</v>
          </cell>
        </row>
        <row r="769">
          <cell r="A769" t="str">
            <v>6870S</v>
          </cell>
          <cell r="B769" t="str">
            <v>UNPRINTED CTN</v>
          </cell>
          <cell r="C769" t="str">
            <v>EA</v>
          </cell>
          <cell r="D769" t="str">
            <v>MZ3</v>
          </cell>
          <cell r="E769">
            <v>901</v>
          </cell>
        </row>
        <row r="770">
          <cell r="A770" t="str">
            <v>6880S</v>
          </cell>
          <cell r="B770" t="str">
            <v>UNPTD SHIPPER CTN FOR 688</v>
          </cell>
          <cell r="C770" t="str">
            <v>EA</v>
          </cell>
          <cell r="D770" t="str">
            <v>MZ4</v>
          </cell>
          <cell r="E770">
            <v>929</v>
          </cell>
        </row>
        <row r="771">
          <cell r="A771" t="str">
            <v>6890S</v>
          </cell>
          <cell r="B771" t="str">
            <v>UNPTD SHIPPER CTN FOR 689</v>
          </cell>
          <cell r="C771" t="str">
            <v>EA</v>
          </cell>
          <cell r="D771" t="str">
            <v>MZ3</v>
          </cell>
          <cell r="E771">
            <v>546</v>
          </cell>
        </row>
        <row r="772">
          <cell r="A772" t="str">
            <v>6900C</v>
          </cell>
          <cell r="B772" t="str">
            <v>NS30X24ClearDrape4x8F/Ad</v>
          </cell>
          <cell r="C772" t="str">
            <v>EA</v>
          </cell>
          <cell r="D772">
            <v>60</v>
          </cell>
          <cell r="E772">
            <v>12593</v>
          </cell>
        </row>
        <row r="773">
          <cell r="A773" t="str">
            <v>6910C</v>
          </cell>
          <cell r="B773" t="str">
            <v>N/S 24X30 C/Drape W/4"/P</v>
          </cell>
          <cell r="C773" t="str">
            <v>EA</v>
          </cell>
          <cell r="D773">
            <v>60</v>
          </cell>
          <cell r="E773">
            <v>3980</v>
          </cell>
        </row>
        <row r="774">
          <cell r="A774" t="str">
            <v>6912C</v>
          </cell>
          <cell r="B774" t="str">
            <v>1.75"X.5" P/PLabels/12SHT</v>
          </cell>
          <cell r="C774" t="str">
            <v>EA</v>
          </cell>
        </row>
        <row r="775">
          <cell r="A775" t="str">
            <v>6915-2</v>
          </cell>
          <cell r="B775" t="str">
            <v>Unprinted Disp for Towels</v>
          </cell>
          <cell r="C775" t="str">
            <v>EA</v>
          </cell>
          <cell r="D775" t="str">
            <v>CIR</v>
          </cell>
          <cell r="E775">
            <v>5199</v>
          </cell>
        </row>
        <row r="776">
          <cell r="A776" t="str">
            <v>6915-2</v>
          </cell>
          <cell r="B776" t="str">
            <v>Unprinted Disp for Towels</v>
          </cell>
          <cell r="C776" t="str">
            <v>EA</v>
          </cell>
          <cell r="D776" t="str">
            <v>MZ1</v>
          </cell>
          <cell r="E776">
            <v>273</v>
          </cell>
        </row>
        <row r="777">
          <cell r="A777" t="str">
            <v>6916-1</v>
          </cell>
          <cell r="B777" t="str">
            <v>UNPRINTED SHIPPER CARTON.</v>
          </cell>
          <cell r="C777" t="str">
            <v>EA</v>
          </cell>
          <cell r="D777" t="str">
            <v>MZ1</v>
          </cell>
          <cell r="E777">
            <v>3864</v>
          </cell>
        </row>
        <row r="778">
          <cell r="A778" t="str">
            <v>6916-1</v>
          </cell>
          <cell r="B778" t="str">
            <v>UNPRINTED SHIPPER CARTON.</v>
          </cell>
          <cell r="C778" t="str">
            <v>EA</v>
          </cell>
          <cell r="D778" t="str">
            <v>CIR</v>
          </cell>
          <cell r="E778">
            <v>864</v>
          </cell>
        </row>
        <row r="779">
          <cell r="A779" t="str">
            <v>6930A</v>
          </cell>
          <cell r="B779" t="str">
            <v>19.5"Blue SRM</v>
          </cell>
          <cell r="C779" t="str">
            <v>SY</v>
          </cell>
          <cell r="D779" t="str">
            <v>J</v>
          </cell>
          <cell r="E779">
            <v>30453</v>
          </cell>
        </row>
        <row r="780">
          <cell r="A780" t="str">
            <v>6932A-1</v>
          </cell>
          <cell r="B780" t="str">
            <v>UNPRINTED CTN./695/9598</v>
          </cell>
          <cell r="C780" t="str">
            <v>EA</v>
          </cell>
          <cell r="D780" t="str">
            <v>MZ2</v>
          </cell>
          <cell r="E780">
            <v>1414</v>
          </cell>
        </row>
        <row r="781">
          <cell r="A781" t="str">
            <v>6934</v>
          </cell>
          <cell r="B781" t="str">
            <v>Polybag/1.5Mil(28x18x39)</v>
          </cell>
          <cell r="C781" t="str">
            <v>EA</v>
          </cell>
          <cell r="D781">
            <v>64</v>
          </cell>
          <cell r="E781">
            <v>8592</v>
          </cell>
        </row>
        <row r="782">
          <cell r="A782" t="str">
            <v>6935S</v>
          </cell>
          <cell r="B782" t="str">
            <v>UNPRINTED CTN</v>
          </cell>
          <cell r="C782" t="str">
            <v>EA</v>
          </cell>
          <cell r="D782" t="str">
            <v>MZ3</v>
          </cell>
          <cell r="E782">
            <v>1102</v>
          </cell>
        </row>
        <row r="783">
          <cell r="A783" t="str">
            <v>6950F</v>
          </cell>
          <cell r="B783" t="str">
            <v>17.5" Blue Polypropylene</v>
          </cell>
          <cell r="C783" t="str">
            <v>LB</v>
          </cell>
          <cell r="D783" t="str">
            <v>J</v>
          </cell>
          <cell r="E783">
            <v>939</v>
          </cell>
        </row>
        <row r="784">
          <cell r="A784" t="str">
            <v>6961-1</v>
          </cell>
          <cell r="B784" t="str">
            <v>17.5#WHITEVIRGINTISSUE18"</v>
          </cell>
          <cell r="C784" t="str">
            <v>LB</v>
          </cell>
          <cell r="D784" t="str">
            <v>J</v>
          </cell>
          <cell r="E784">
            <v>23026</v>
          </cell>
        </row>
        <row r="785">
          <cell r="A785" t="str">
            <v>6962</v>
          </cell>
          <cell r="B785" t="str">
            <v>18"WIDE BLUE 1PLY/TISSUE</v>
          </cell>
          <cell r="C785" t="str">
            <v>LB</v>
          </cell>
        </row>
        <row r="786">
          <cell r="A786" t="str">
            <v>6962-1</v>
          </cell>
          <cell r="B786" t="str">
            <v>17.5#BLUE TISSUE 18" WIDE</v>
          </cell>
          <cell r="C786" t="str">
            <v>LB</v>
          </cell>
          <cell r="D786" t="str">
            <v>J</v>
          </cell>
          <cell r="E786">
            <v>16824</v>
          </cell>
        </row>
        <row r="787">
          <cell r="A787" t="str">
            <v>6967A</v>
          </cell>
          <cell r="B787" t="str">
            <v>8 PER PRINTED LABEL</v>
          </cell>
          <cell r="C787" t="str">
            <v>EA</v>
          </cell>
        </row>
        <row r="788">
          <cell r="A788" t="str">
            <v>6972-1</v>
          </cell>
          <cell r="B788" t="str">
            <v>9.5"WIDE 42# COATED PAPER</v>
          </cell>
          <cell r="C788" t="str">
            <v>MI</v>
          </cell>
          <cell r="D788" t="str">
            <v>J</v>
          </cell>
          <cell r="E788">
            <v>9632</v>
          </cell>
        </row>
        <row r="789">
          <cell r="A789" t="str">
            <v>6982A</v>
          </cell>
          <cell r="B789" t="str">
            <v>COATED PAPER FOR 698</v>
          </cell>
          <cell r="C789" t="str">
            <v>MI</v>
          </cell>
          <cell r="D789" t="str">
            <v>J</v>
          </cell>
          <cell r="E789">
            <v>4396</v>
          </cell>
        </row>
        <row r="790">
          <cell r="A790" t="str">
            <v>6988</v>
          </cell>
          <cell r="B790" t="str">
            <v>18X26 T/P/T Drpe/Adh Ptch</v>
          </cell>
          <cell r="C790" t="str">
            <v>EA</v>
          </cell>
          <cell r="D790">
            <v>70</v>
          </cell>
          <cell r="E790">
            <v>72056</v>
          </cell>
        </row>
        <row r="791">
          <cell r="A791" t="str">
            <v>6988DB-1</v>
          </cell>
          <cell r="B791" t="str">
            <v>UNPRINTED KRAFT DISP BOX</v>
          </cell>
          <cell r="C791" t="str">
            <v>EA</v>
          </cell>
          <cell r="D791" t="str">
            <v>MZ2</v>
          </cell>
          <cell r="E791">
            <v>391</v>
          </cell>
        </row>
        <row r="792">
          <cell r="A792" t="str">
            <v>6988S</v>
          </cell>
          <cell r="B792" t="str">
            <v>Unprinted Shipper for 698</v>
          </cell>
          <cell r="C792" t="str">
            <v>EA</v>
          </cell>
          <cell r="D792" t="str">
            <v>MZ2</v>
          </cell>
          <cell r="E792">
            <v>932</v>
          </cell>
        </row>
        <row r="793">
          <cell r="A793" t="str">
            <v>70006F</v>
          </cell>
          <cell r="B793" t="str">
            <v>CATHETER ACCESS P/PLASTIC</v>
          </cell>
          <cell r="C793" t="str">
            <v>EA</v>
          </cell>
        </row>
        <row r="794">
          <cell r="A794" t="str">
            <v>70007A</v>
          </cell>
          <cell r="B794" t="str">
            <v>REFILL PLASTIC TEMP/W/H</v>
          </cell>
          <cell r="C794" t="str">
            <v>EA</v>
          </cell>
        </row>
        <row r="795">
          <cell r="A795" t="str">
            <v>7001</v>
          </cell>
          <cell r="B795" t="str">
            <v>Unptd 10Pk Shipper Ctn</v>
          </cell>
          <cell r="C795" t="str">
            <v>EA</v>
          </cell>
          <cell r="D795" t="str">
            <v>MZ2</v>
          </cell>
          <cell r="E795">
            <v>250</v>
          </cell>
        </row>
        <row r="796">
          <cell r="A796" t="str">
            <v>7003A</v>
          </cell>
          <cell r="B796" t="str">
            <v>Blue Underpad</v>
          </cell>
          <cell r="C796" t="str">
            <v>EA</v>
          </cell>
          <cell r="D796">
            <v>48</v>
          </cell>
          <cell r="E796">
            <v>75372</v>
          </cell>
        </row>
        <row r="797">
          <cell r="A797" t="str">
            <v>7003A</v>
          </cell>
          <cell r="B797" t="str">
            <v>Blue Underpad</v>
          </cell>
          <cell r="C797" t="str">
            <v>EA</v>
          </cell>
          <cell r="D797" t="str">
            <v>LIS</v>
          </cell>
          <cell r="E797">
            <v>50087</v>
          </cell>
        </row>
        <row r="798">
          <cell r="A798" t="str">
            <v>7030-1</v>
          </cell>
          <cell r="B798" t="str">
            <v>14 FR CATHETER</v>
          </cell>
          <cell r="C798" t="str">
            <v>EA</v>
          </cell>
          <cell r="D798">
            <v>22</v>
          </cell>
          <cell r="E798">
            <v>3660</v>
          </cell>
        </row>
        <row r="799">
          <cell r="A799" t="str">
            <v>7030P</v>
          </cell>
          <cell r="B799" t="str">
            <v>TRACH SET PACK#1 703</v>
          </cell>
          <cell r="C799" t="str">
            <v>EA</v>
          </cell>
          <cell r="D799">
            <v>8</v>
          </cell>
          <cell r="E799">
            <v>1494</v>
          </cell>
        </row>
        <row r="800">
          <cell r="A800" t="str">
            <v>7032-2</v>
          </cell>
          <cell r="B800" t="str">
            <v>4"X4"8PLYGAUZE/PROCESSED</v>
          </cell>
          <cell r="C800" t="str">
            <v>EA</v>
          </cell>
          <cell r="D800">
            <v>21</v>
          </cell>
          <cell r="E800">
            <v>126585</v>
          </cell>
        </row>
        <row r="801">
          <cell r="A801" t="str">
            <v>7032A-2</v>
          </cell>
          <cell r="B801" t="str">
            <v>4"X4"8PLYGAUZE/PROC/5'S</v>
          </cell>
          <cell r="C801" t="str">
            <v>EA</v>
          </cell>
          <cell r="D801">
            <v>8</v>
          </cell>
          <cell r="E801">
            <v>481128</v>
          </cell>
        </row>
        <row r="802">
          <cell r="A802" t="str">
            <v>7035V-1</v>
          </cell>
          <cell r="B802" t="str">
            <v>Vinyl Gloves, powder-free</v>
          </cell>
          <cell r="C802" t="str">
            <v>EA</v>
          </cell>
          <cell r="D802">
            <v>33</v>
          </cell>
          <cell r="E802">
            <v>28268</v>
          </cell>
        </row>
        <row r="803">
          <cell r="A803" t="str">
            <v>7049A</v>
          </cell>
          <cell r="B803" t="str">
            <v>12"S/BORE EXT.SET W/M&amp;F</v>
          </cell>
          <cell r="C803" t="str">
            <v>EA</v>
          </cell>
          <cell r="D803">
            <v>31</v>
          </cell>
          <cell r="E803">
            <v>1064</v>
          </cell>
        </row>
        <row r="804">
          <cell r="A804" t="str">
            <v>7049B</v>
          </cell>
          <cell r="B804" t="str">
            <v>22GX3.5 Q/SPINAL NEEDLE</v>
          </cell>
          <cell r="C804" t="str">
            <v>EA</v>
          </cell>
          <cell r="D804" t="str">
            <v>N9</v>
          </cell>
          <cell r="E804">
            <v>92</v>
          </cell>
        </row>
        <row r="805">
          <cell r="A805" t="str">
            <v>7051-1</v>
          </cell>
          <cell r="B805" t="str">
            <v>REMOVABLE BASIN</v>
          </cell>
          <cell r="C805" t="str">
            <v>EA</v>
          </cell>
          <cell r="D805">
            <v>35</v>
          </cell>
          <cell r="E805">
            <v>9783</v>
          </cell>
        </row>
        <row r="806">
          <cell r="A806" t="str">
            <v>7053</v>
          </cell>
          <cell r="B806" t="str">
            <v>Unprinted Shipper Ctn</v>
          </cell>
          <cell r="C806" t="str">
            <v>EA</v>
          </cell>
          <cell r="D806" t="str">
            <v>MZ1</v>
          </cell>
          <cell r="E806">
            <v>774</v>
          </cell>
        </row>
        <row r="807">
          <cell r="A807" t="str">
            <v>7054</v>
          </cell>
          <cell r="B807" t="str">
            <v>4"Cotton Tip AplicatorP/H</v>
          </cell>
          <cell r="C807" t="str">
            <v>EA</v>
          </cell>
          <cell r="D807">
            <v>14</v>
          </cell>
          <cell r="E807">
            <v>36539</v>
          </cell>
        </row>
        <row r="808">
          <cell r="A808" t="str">
            <v>7060P</v>
          </cell>
          <cell r="B808" t="str">
            <v>TRACH SET PACK#4 706</v>
          </cell>
          <cell r="C808" t="str">
            <v>EA</v>
          </cell>
          <cell r="D808">
            <v>28</v>
          </cell>
          <cell r="E808">
            <v>6174</v>
          </cell>
        </row>
        <row r="809">
          <cell r="A809" t="str">
            <v>7073S-1</v>
          </cell>
          <cell r="B809" t="str">
            <v>UNPRINTED SHIPPER CARTON</v>
          </cell>
          <cell r="C809" t="str">
            <v>EA</v>
          </cell>
          <cell r="D809" t="str">
            <v>MZ1</v>
          </cell>
          <cell r="E809">
            <v>392</v>
          </cell>
        </row>
        <row r="810">
          <cell r="A810" t="str">
            <v>7080D-1</v>
          </cell>
          <cell r="B810" t="str">
            <v>28LB ZONE COATED PAPER</v>
          </cell>
          <cell r="C810" t="str">
            <v>MI</v>
          </cell>
          <cell r="D810" t="str">
            <v>J</v>
          </cell>
          <cell r="E810">
            <v>160495</v>
          </cell>
        </row>
        <row r="811">
          <cell r="A811" t="str">
            <v>7080D-1</v>
          </cell>
          <cell r="B811" t="str">
            <v>28LB ZONE COATED PAPER</v>
          </cell>
          <cell r="C811" t="str">
            <v>MI</v>
          </cell>
          <cell r="D811" t="str">
            <v>CIR</v>
          </cell>
          <cell r="E811">
            <v>21347</v>
          </cell>
        </row>
        <row r="812">
          <cell r="A812" t="str">
            <v>7084T</v>
          </cell>
          <cell r="B812" t="str">
            <v>30 LB WHT PAPER UNCOATED</v>
          </cell>
          <cell r="C812" t="str">
            <v>MI</v>
          </cell>
          <cell r="D812">
            <v>144</v>
          </cell>
          <cell r="E812">
            <v>191960</v>
          </cell>
        </row>
        <row r="813">
          <cell r="A813" t="str">
            <v>7084T</v>
          </cell>
          <cell r="B813" t="str">
            <v>30 LB WHT PAPER UNCOATED</v>
          </cell>
          <cell r="C813" t="str">
            <v>MI</v>
          </cell>
          <cell r="D813" t="str">
            <v>CIR</v>
          </cell>
          <cell r="E813">
            <v>23845</v>
          </cell>
        </row>
        <row r="814">
          <cell r="A814" t="str">
            <v>7092</v>
          </cell>
          <cell r="B814" t="str">
            <v>18x26 Poly Towel</v>
          </cell>
          <cell r="C814" t="str">
            <v>EA</v>
          </cell>
          <cell r="D814">
            <v>73</v>
          </cell>
          <cell r="E814">
            <v>198562</v>
          </cell>
        </row>
        <row r="815">
          <cell r="A815" t="str">
            <v>7092</v>
          </cell>
          <cell r="B815" t="str">
            <v>18x26 Poly Towel</v>
          </cell>
          <cell r="C815" t="str">
            <v>EA</v>
          </cell>
          <cell r="D815" t="str">
            <v>CIR</v>
          </cell>
          <cell r="E815">
            <v>23876</v>
          </cell>
        </row>
        <row r="816">
          <cell r="A816" t="str">
            <v>7095</v>
          </cell>
          <cell r="B816" t="str">
            <v>Straight Trim Trach Brush</v>
          </cell>
          <cell r="C816" t="str">
            <v>EA</v>
          </cell>
          <cell r="D816">
            <v>33</v>
          </cell>
          <cell r="E816">
            <v>9295</v>
          </cell>
        </row>
        <row r="817">
          <cell r="A817" t="str">
            <v>7101</v>
          </cell>
          <cell r="B817" t="str">
            <v>Coated Paper,14"wide</v>
          </cell>
          <cell r="C817" t="str">
            <v>MI</v>
          </cell>
          <cell r="D817">
            <v>35</v>
          </cell>
          <cell r="E817">
            <v>8534</v>
          </cell>
        </row>
        <row r="818">
          <cell r="A818" t="str">
            <v>7102</v>
          </cell>
          <cell r="B818" t="str">
            <v>30 MIL HIPS WHITE ROLLSTK</v>
          </cell>
          <cell r="C818" t="str">
            <v>LB</v>
          </cell>
          <cell r="D818">
            <v>35</v>
          </cell>
          <cell r="E818">
            <v>3547</v>
          </cell>
        </row>
        <row r="819">
          <cell r="A819" t="str">
            <v>7102A</v>
          </cell>
          <cell r="B819" t="str">
            <v>24Mil HIPS WHITE ROLLSTK</v>
          </cell>
          <cell r="C819" t="str">
            <v>LB</v>
          </cell>
          <cell r="D819">
            <v>35</v>
          </cell>
          <cell r="E819">
            <v>14654</v>
          </cell>
        </row>
        <row r="820">
          <cell r="A820" t="str">
            <v>7102A-2</v>
          </cell>
          <cell r="B820" t="str">
            <v>24 MIL CLEAR A-PET 363MM</v>
          </cell>
          <cell r="C820" t="str">
            <v>LB</v>
          </cell>
          <cell r="D820" t="str">
            <v>LIS</v>
          </cell>
          <cell r="E820">
            <v>22880</v>
          </cell>
        </row>
        <row r="821">
          <cell r="A821" t="str">
            <v>7103-2</v>
          </cell>
          <cell r="B821" t="str">
            <v>4"X4"8PLYGAUZE/PROC/4'S</v>
          </cell>
          <cell r="C821" t="str">
            <v>EA</v>
          </cell>
          <cell r="D821">
            <v>7</v>
          </cell>
          <cell r="E821">
            <v>478579</v>
          </cell>
        </row>
        <row r="822">
          <cell r="A822" t="str">
            <v>7105</v>
          </cell>
          <cell r="B822" t="str">
            <v>6" Cotton Tip Applicator</v>
          </cell>
          <cell r="C822" t="str">
            <v>EA</v>
          </cell>
          <cell r="D822">
            <v>23</v>
          </cell>
          <cell r="E822">
            <v>10860</v>
          </cell>
        </row>
        <row r="823">
          <cell r="A823" t="str">
            <v>7106G</v>
          </cell>
          <cell r="B823" t="str">
            <v>Pipe Cleaner Galvanized</v>
          </cell>
          <cell r="C823" t="str">
            <v>EA</v>
          </cell>
          <cell r="D823">
            <v>20</v>
          </cell>
          <cell r="E823">
            <v>12914</v>
          </cell>
        </row>
        <row r="824">
          <cell r="A824" t="str">
            <v>7107</v>
          </cell>
          <cell r="B824" t="str">
            <v>Twill Tape</v>
          </cell>
          <cell r="C824" t="str">
            <v>GY</v>
          </cell>
          <cell r="D824">
            <v>25</v>
          </cell>
          <cell r="E824">
            <v>335</v>
          </cell>
        </row>
        <row r="825">
          <cell r="A825" t="str">
            <v>7113-2</v>
          </cell>
          <cell r="B825" t="str">
            <v>4"X4" 12PLY TRACH SPG DEC</v>
          </cell>
          <cell r="C825" t="str">
            <v>EA</v>
          </cell>
          <cell r="D825">
            <v>33</v>
          </cell>
          <cell r="E825">
            <v>20592</v>
          </cell>
        </row>
        <row r="826">
          <cell r="A826" t="str">
            <v>7114</v>
          </cell>
          <cell r="B826" t="str">
            <v>18X16 Polylined Towel</v>
          </cell>
          <cell r="C826" t="str">
            <v>EA</v>
          </cell>
          <cell r="D826">
            <v>66</v>
          </cell>
          <cell r="E826">
            <v>146082</v>
          </cell>
        </row>
        <row r="827">
          <cell r="A827" t="str">
            <v>7123</v>
          </cell>
          <cell r="B827" t="str">
            <v>Unprinted Shipper Ctn</v>
          </cell>
          <cell r="C827" t="str">
            <v>EA</v>
          </cell>
          <cell r="D827" t="str">
            <v>MZ1</v>
          </cell>
          <cell r="E827">
            <v>2981</v>
          </cell>
        </row>
        <row r="828">
          <cell r="A828" t="str">
            <v>7141</v>
          </cell>
          <cell r="B828" t="str">
            <v>Hydrogen Peroxide for 714</v>
          </cell>
          <cell r="C828" t="str">
            <v>EA</v>
          </cell>
          <cell r="D828">
            <v>20</v>
          </cell>
          <cell r="E828">
            <v>11644</v>
          </cell>
        </row>
        <row r="829">
          <cell r="A829" t="str">
            <v>714CRA</v>
          </cell>
          <cell r="B829" t="str">
            <v>4X4 16PLYG/DRESSING</v>
          </cell>
          <cell r="C829" t="str">
            <v>EA</v>
          </cell>
          <cell r="D829">
            <v>21</v>
          </cell>
          <cell r="E829">
            <v>6065</v>
          </cell>
        </row>
        <row r="830">
          <cell r="A830" t="str">
            <v>7150P</v>
          </cell>
          <cell r="B830" t="str">
            <v>TRACH SET PACK#2 713/715</v>
          </cell>
          <cell r="C830" t="str">
            <v>EA</v>
          </cell>
          <cell r="D830">
            <v>28</v>
          </cell>
          <cell r="E830">
            <v>450</v>
          </cell>
        </row>
        <row r="831">
          <cell r="A831" t="str">
            <v>7161A</v>
          </cell>
          <cell r="B831" t="str">
            <v>Unprtd Ctn/Staple Removr</v>
          </cell>
          <cell r="C831" t="str">
            <v>EA</v>
          </cell>
          <cell r="D831" t="str">
            <v>MZ4</v>
          </cell>
          <cell r="E831">
            <v>779</v>
          </cell>
        </row>
        <row r="832">
          <cell r="A832" t="str">
            <v>7162</v>
          </cell>
          <cell r="B832" t="str">
            <v>Unptd Ship for SRK</v>
          </cell>
          <cell r="C832" t="str">
            <v>EA</v>
          </cell>
          <cell r="D832" t="str">
            <v>MZ5</v>
          </cell>
          <cell r="E832">
            <v>360</v>
          </cell>
        </row>
        <row r="833">
          <cell r="A833" t="str">
            <v>7171</v>
          </cell>
          <cell r="B833" t="str">
            <v>4.5"Sharp/Blunt Scissor</v>
          </cell>
          <cell r="C833" t="str">
            <v>EA</v>
          </cell>
          <cell r="D833">
            <v>44</v>
          </cell>
          <cell r="E833">
            <v>14669</v>
          </cell>
        </row>
        <row r="834">
          <cell r="A834" t="str">
            <v>7180S</v>
          </cell>
          <cell r="B834" t="str">
            <v>CTN FOR 718</v>
          </cell>
          <cell r="C834" t="str">
            <v>EA</v>
          </cell>
          <cell r="D834" t="str">
            <v>MZ6</v>
          </cell>
          <cell r="E834">
            <v>1705</v>
          </cell>
        </row>
        <row r="835">
          <cell r="A835" t="str">
            <v>7191</v>
          </cell>
          <cell r="B835" t="str">
            <v>12 Mil PVC</v>
          </cell>
          <cell r="C835" t="str">
            <v>LB</v>
          </cell>
          <cell r="D835">
            <v>35</v>
          </cell>
          <cell r="E835">
            <v>3791</v>
          </cell>
        </row>
        <row r="836">
          <cell r="A836" t="str">
            <v>7191-1</v>
          </cell>
          <cell r="B836" t="str">
            <v>13 MIL CLEAR A-PET 320MM</v>
          </cell>
          <cell r="C836" t="str">
            <v>LB</v>
          </cell>
          <cell r="D836" t="str">
            <v>LIS</v>
          </cell>
          <cell r="E836">
            <v>7601</v>
          </cell>
        </row>
        <row r="837">
          <cell r="A837" t="str">
            <v>7191-1</v>
          </cell>
          <cell r="B837" t="str">
            <v>13 MIL CLEAR A-PET 320MM</v>
          </cell>
          <cell r="C837" t="str">
            <v>LB</v>
          </cell>
          <cell r="D837">
            <v>35</v>
          </cell>
          <cell r="E837">
            <v>3210</v>
          </cell>
        </row>
        <row r="838">
          <cell r="A838" t="str">
            <v>7192</v>
          </cell>
          <cell r="B838" t="str">
            <v>Plastic Forcep Black</v>
          </cell>
          <cell r="C838" t="str">
            <v>EA</v>
          </cell>
          <cell r="D838">
            <v>53</v>
          </cell>
          <cell r="E838">
            <v>252645</v>
          </cell>
        </row>
        <row r="839">
          <cell r="A839" t="str">
            <v>7192</v>
          </cell>
          <cell r="B839" t="str">
            <v>Plastic Forcep Black</v>
          </cell>
          <cell r="C839" t="str">
            <v>EA</v>
          </cell>
          <cell r="D839">
            <v>30</v>
          </cell>
          <cell r="E839">
            <v>-1</v>
          </cell>
        </row>
        <row r="840">
          <cell r="A840" t="str">
            <v>7192DC</v>
          </cell>
          <cell r="B840" t="str">
            <v>Unprinted Carton</v>
          </cell>
          <cell r="C840" t="str">
            <v>EA</v>
          </cell>
          <cell r="D840" t="str">
            <v>MZ5</v>
          </cell>
          <cell r="E840">
            <v>880</v>
          </cell>
        </row>
        <row r="841">
          <cell r="A841" t="str">
            <v>7192GP</v>
          </cell>
          <cell r="B841" t="str">
            <v>30% Glass Filled PP-Black</v>
          </cell>
          <cell r="C841" t="str">
            <v>LB</v>
          </cell>
          <cell r="D841">
            <v>145</v>
          </cell>
          <cell r="E841">
            <v>3300</v>
          </cell>
        </row>
        <row r="842">
          <cell r="A842" t="str">
            <v>7201</v>
          </cell>
          <cell r="B842" t="str">
            <v>4.5" Littauer Scissor</v>
          </cell>
          <cell r="C842" t="str">
            <v>EA</v>
          </cell>
          <cell r="D842">
            <v>48</v>
          </cell>
          <cell r="E842">
            <v>157013</v>
          </cell>
        </row>
        <row r="843">
          <cell r="A843" t="str">
            <v>7201</v>
          </cell>
          <cell r="B843" t="str">
            <v>4.5" Littauer Scissor</v>
          </cell>
          <cell r="C843" t="str">
            <v>EA</v>
          </cell>
          <cell r="D843">
            <v>49</v>
          </cell>
          <cell r="E843">
            <v>44987</v>
          </cell>
        </row>
        <row r="844">
          <cell r="A844" t="str">
            <v>7202</v>
          </cell>
          <cell r="B844" t="str">
            <v>4"Suture Forceps</v>
          </cell>
          <cell r="C844" t="str">
            <v>EA</v>
          </cell>
          <cell r="D844">
            <v>38</v>
          </cell>
          <cell r="E844">
            <v>183</v>
          </cell>
        </row>
        <row r="845">
          <cell r="A845" t="str">
            <v>7203H-3</v>
          </cell>
          <cell r="B845" t="str">
            <v>4X4 OVER SPONGE PROCESSED</v>
          </cell>
          <cell r="C845" t="str">
            <v>EA</v>
          </cell>
          <cell r="D845">
            <v>21</v>
          </cell>
          <cell r="E845">
            <v>42992</v>
          </cell>
        </row>
        <row r="846">
          <cell r="A846" t="str">
            <v>7204</v>
          </cell>
          <cell r="B846" t="str">
            <v>Staple Removers</v>
          </cell>
          <cell r="C846" t="str">
            <v>EA</v>
          </cell>
          <cell r="D846">
            <v>33</v>
          </cell>
          <cell r="E846">
            <v>400</v>
          </cell>
        </row>
        <row r="847">
          <cell r="A847" t="str">
            <v>7204A</v>
          </cell>
          <cell r="B847" t="str">
            <v>SKIN STAPLE REMOVER</v>
          </cell>
          <cell r="C847" t="str">
            <v>EA</v>
          </cell>
          <cell r="D847">
            <v>20</v>
          </cell>
          <cell r="E847">
            <v>31</v>
          </cell>
        </row>
        <row r="848">
          <cell r="A848" t="str">
            <v>7213-1</v>
          </cell>
          <cell r="B848" t="str">
            <v>5" METAL THUMB FORCEP</v>
          </cell>
          <cell r="C848" t="str">
            <v>EA</v>
          </cell>
          <cell r="D848">
            <v>23</v>
          </cell>
          <cell r="E848">
            <v>4899</v>
          </cell>
        </row>
        <row r="849">
          <cell r="A849" t="str">
            <v>7229A</v>
          </cell>
          <cell r="B849" t="str">
            <v>8.5X11 POST INSERT/WOMAN</v>
          </cell>
          <cell r="C849" t="str">
            <v>EA</v>
          </cell>
        </row>
        <row r="850">
          <cell r="A850" t="str">
            <v>7230A</v>
          </cell>
          <cell r="B850" t="str">
            <v>ALCOHOL PAD</v>
          </cell>
          <cell r="C850" t="str">
            <v>EA</v>
          </cell>
          <cell r="D850">
            <v>15</v>
          </cell>
          <cell r="E850">
            <v>33254</v>
          </cell>
        </row>
        <row r="851">
          <cell r="A851" t="str">
            <v>7230AC</v>
          </cell>
          <cell r="B851" t="str">
            <v>ALCOHOL PAD (CANADA)</v>
          </cell>
          <cell r="C851" t="str">
            <v>EA</v>
          </cell>
        </row>
        <row r="852">
          <cell r="A852" t="str">
            <v>7230B</v>
          </cell>
          <cell r="B852" t="str">
            <v>PVP PREP PAD,MEDIUM</v>
          </cell>
          <cell r="C852" t="str">
            <v>EA</v>
          </cell>
          <cell r="D852">
            <v>15</v>
          </cell>
          <cell r="E852">
            <v>123548</v>
          </cell>
        </row>
        <row r="853">
          <cell r="A853" t="str">
            <v>7230BC</v>
          </cell>
          <cell r="B853" t="str">
            <v>PVP PREP PAD (CANADA)</v>
          </cell>
          <cell r="C853" t="str">
            <v>EA</v>
          </cell>
        </row>
        <row r="854">
          <cell r="A854" t="str">
            <v>7230DW</v>
          </cell>
          <cell r="B854" t="str">
            <v>SHIPPER CTN UNPRINTED-DW</v>
          </cell>
          <cell r="C854" t="str">
            <v>EA</v>
          </cell>
          <cell r="D854" t="str">
            <v>MZ1</v>
          </cell>
          <cell r="E854">
            <v>75</v>
          </cell>
        </row>
        <row r="855">
          <cell r="A855" t="str">
            <v>7230S</v>
          </cell>
          <cell r="B855" t="str">
            <v>UNPRINTED CTN</v>
          </cell>
          <cell r="C855" t="str">
            <v>EA</v>
          </cell>
          <cell r="D855" t="str">
            <v>MZ4</v>
          </cell>
          <cell r="E855">
            <v>1903</v>
          </cell>
        </row>
        <row r="856">
          <cell r="A856" t="str">
            <v>7231A</v>
          </cell>
          <cell r="B856" t="str">
            <v>26X36"BLUE SMS STERILE F/</v>
          </cell>
          <cell r="C856" t="str">
            <v>EA</v>
          </cell>
          <cell r="D856">
            <v>62</v>
          </cell>
          <cell r="E856">
            <v>935</v>
          </cell>
        </row>
        <row r="857">
          <cell r="A857" t="str">
            <v>7245</v>
          </cell>
          <cell r="B857" t="str">
            <v>Unp Ship Ctn</v>
          </cell>
          <cell r="C857" t="str">
            <v>EA</v>
          </cell>
          <cell r="D857" t="str">
            <v>MZ2</v>
          </cell>
          <cell r="E857">
            <v>3027</v>
          </cell>
        </row>
        <row r="858">
          <cell r="A858" t="str">
            <v>7254-1</v>
          </cell>
          <cell r="B858" t="str">
            <v>POLYESTER BRAID</v>
          </cell>
          <cell r="C858" t="str">
            <v>LY</v>
          </cell>
          <cell r="D858">
            <v>56</v>
          </cell>
          <cell r="E858">
            <v>150000</v>
          </cell>
        </row>
        <row r="859">
          <cell r="A859" t="str">
            <v>7257</v>
          </cell>
          <cell r="B859" t="str">
            <v>Polybags</v>
          </cell>
          <cell r="C859" t="str">
            <v>EA</v>
          </cell>
          <cell r="D859">
            <v>61</v>
          </cell>
          <cell r="E859">
            <v>22492</v>
          </cell>
        </row>
        <row r="860">
          <cell r="A860" t="str">
            <v>725PM</v>
          </cell>
          <cell r="B860" t="str">
            <v>Comps for Shrouds&amp;P.Mort</v>
          </cell>
          <cell r="C860" t="str">
            <v>EA</v>
          </cell>
          <cell r="D860">
            <v>58</v>
          </cell>
          <cell r="E860">
            <v>4500</v>
          </cell>
        </row>
        <row r="861">
          <cell r="A861" t="str">
            <v>725PM</v>
          </cell>
          <cell r="B861" t="str">
            <v>Comps for Shrouds&amp;P.Mort</v>
          </cell>
          <cell r="C861" t="str">
            <v>EA</v>
          </cell>
          <cell r="D861">
            <v>57</v>
          </cell>
          <cell r="E861">
            <v>3900</v>
          </cell>
        </row>
        <row r="862">
          <cell r="A862" t="str">
            <v>7275A</v>
          </cell>
          <cell r="B862" t="str">
            <v>UNPRINTED CTN FOR/727/728</v>
          </cell>
          <cell r="C862" t="str">
            <v>EA</v>
          </cell>
          <cell r="D862" t="str">
            <v>MZ5</v>
          </cell>
          <cell r="E862">
            <v>217</v>
          </cell>
        </row>
        <row r="863">
          <cell r="A863" t="str">
            <v>7294A</v>
          </cell>
          <cell r="B863" t="str">
            <v>Unprinted Ctn for 9447</v>
          </cell>
          <cell r="C863" t="str">
            <v>EA</v>
          </cell>
          <cell r="D863" t="str">
            <v>MZ7</v>
          </cell>
          <cell r="E863">
            <v>1115</v>
          </cell>
        </row>
        <row r="864">
          <cell r="A864" t="str">
            <v>7324-1</v>
          </cell>
          <cell r="B864" t="str">
            <v>MINI STITCH CUTTER W/C/TP</v>
          </cell>
          <cell r="C864" t="str">
            <v>EA</v>
          </cell>
          <cell r="D864">
            <v>7</v>
          </cell>
          <cell r="E864">
            <v>10419</v>
          </cell>
        </row>
        <row r="865">
          <cell r="A865" t="str">
            <v>7362</v>
          </cell>
          <cell r="B865" t="str">
            <v>Disp for BI Indicators</v>
          </cell>
          <cell r="C865" t="str">
            <v>EA</v>
          </cell>
          <cell r="D865" t="str">
            <v>MZ6</v>
          </cell>
          <cell r="E865">
            <v>899</v>
          </cell>
        </row>
        <row r="866">
          <cell r="A866" t="str">
            <v>7371L</v>
          </cell>
          <cell r="B866" t="str">
            <v>LITTAUER WITH PLASTIC HDL</v>
          </cell>
          <cell r="C866" t="str">
            <v>EA</v>
          </cell>
          <cell r="D866">
            <v>44</v>
          </cell>
          <cell r="E866">
            <v>22246</v>
          </cell>
        </row>
        <row r="867">
          <cell r="A867" t="str">
            <v>7419A</v>
          </cell>
          <cell r="B867" t="str">
            <v>P/F TRILON GLOVES XLG</v>
          </cell>
          <cell r="C867" t="str">
            <v>EA</v>
          </cell>
          <cell r="D867">
            <v>18</v>
          </cell>
          <cell r="E867">
            <v>3721</v>
          </cell>
        </row>
        <row r="868">
          <cell r="A868" t="str">
            <v>7439A</v>
          </cell>
          <cell r="B868" t="str">
            <v>23G X5" QUINCKE SPINAL</v>
          </cell>
          <cell r="C868" t="str">
            <v>EA</v>
          </cell>
        </row>
        <row r="869">
          <cell r="A869" t="str">
            <v>7440N</v>
          </cell>
          <cell r="B869" t="str">
            <v>Nitrile Glove M PF Wallet</v>
          </cell>
          <cell r="C869" t="str">
            <v>PR</v>
          </cell>
          <cell r="D869">
            <v>17</v>
          </cell>
          <cell r="E869">
            <v>15185</v>
          </cell>
        </row>
        <row r="870">
          <cell r="A870" t="str">
            <v>7451B</v>
          </cell>
          <cell r="B870" t="str">
            <v>STER 1X8"PETROLATUM GAUZE</v>
          </cell>
          <cell r="C870" t="str">
            <v>EA</v>
          </cell>
          <cell r="D870">
            <v>14</v>
          </cell>
          <cell r="E870">
            <v>485</v>
          </cell>
        </row>
        <row r="871">
          <cell r="A871" t="str">
            <v>7461A</v>
          </cell>
          <cell r="B871" t="str">
            <v>ONE COMP APET TRAY</v>
          </cell>
          <cell r="C871" t="str">
            <v>EA</v>
          </cell>
        </row>
        <row r="872">
          <cell r="A872" t="str">
            <v>7470A</v>
          </cell>
          <cell r="B872" t="str">
            <v>4.5" IRIS STR W/PROTECTOR</v>
          </cell>
          <cell r="C872" t="str">
            <v>EA</v>
          </cell>
          <cell r="D872">
            <v>38</v>
          </cell>
          <cell r="E872">
            <v>13127</v>
          </cell>
        </row>
        <row r="873">
          <cell r="A873" t="str">
            <v>7490B</v>
          </cell>
          <cell r="B873" t="str">
            <v>3.5 MIL X 9-5/8" PLASTIC</v>
          </cell>
          <cell r="C873" t="str">
            <v>LB</v>
          </cell>
          <cell r="D873">
            <v>35</v>
          </cell>
          <cell r="E873">
            <v>5593</v>
          </cell>
        </row>
        <row r="874">
          <cell r="A874" t="str">
            <v>7491</v>
          </cell>
          <cell r="B874" t="str">
            <v>18 Gauge x 1.5"Needle</v>
          </cell>
          <cell r="C874" t="str">
            <v>EA</v>
          </cell>
          <cell r="D874" t="str">
            <v>N10</v>
          </cell>
          <cell r="E874">
            <v>35993</v>
          </cell>
        </row>
        <row r="875">
          <cell r="A875" t="str">
            <v>7492A</v>
          </cell>
          <cell r="B875" t="str">
            <v>N-Ster 27Gaugex1.5"Needle</v>
          </cell>
          <cell r="C875" t="str">
            <v>EA</v>
          </cell>
          <cell r="D875" t="str">
            <v>N7</v>
          </cell>
          <cell r="E875">
            <v>47685</v>
          </cell>
        </row>
        <row r="876">
          <cell r="A876" t="str">
            <v>7493</v>
          </cell>
          <cell r="B876" t="str">
            <v>25 Gauge x 5/8 Needle</v>
          </cell>
          <cell r="C876" t="str">
            <v>EA</v>
          </cell>
          <cell r="D876" t="str">
            <v>N7</v>
          </cell>
          <cell r="E876">
            <v>11976</v>
          </cell>
        </row>
        <row r="877">
          <cell r="A877" t="str">
            <v>7494-1</v>
          </cell>
          <cell r="B877" t="str">
            <v>N/S 10CC L/LOCK SYR. L/F</v>
          </cell>
          <cell r="C877" t="str">
            <v>EA</v>
          </cell>
          <cell r="D877">
            <v>18</v>
          </cell>
          <cell r="E877">
            <v>17332</v>
          </cell>
        </row>
        <row r="878">
          <cell r="A878" t="str">
            <v>7494-3</v>
          </cell>
          <cell r="B878" t="str">
            <v>12 CC L/L SYRINGE</v>
          </cell>
          <cell r="C878" t="str">
            <v>EA</v>
          </cell>
          <cell r="D878">
            <v>26</v>
          </cell>
          <cell r="E878">
            <v>18514</v>
          </cell>
        </row>
        <row r="879">
          <cell r="A879" t="str">
            <v>7494A</v>
          </cell>
          <cell r="B879" t="str">
            <v>SPONGE STICK W/O LOGO</v>
          </cell>
          <cell r="C879" t="str">
            <v>EA</v>
          </cell>
          <cell r="D879">
            <v>26</v>
          </cell>
          <cell r="E879">
            <v>13582</v>
          </cell>
        </row>
        <row r="880">
          <cell r="A880" t="str">
            <v>7495</v>
          </cell>
          <cell r="B880" t="str">
            <v>60ML MEDICINE CUP</v>
          </cell>
          <cell r="C880" t="str">
            <v>EA</v>
          </cell>
          <cell r="D880">
            <v>17</v>
          </cell>
          <cell r="E880">
            <v>83126</v>
          </cell>
        </row>
        <row r="881">
          <cell r="A881" t="str">
            <v>7500</v>
          </cell>
          <cell r="B881" t="str">
            <v>15 Mil PVC</v>
          </cell>
          <cell r="C881" t="str">
            <v>LB</v>
          </cell>
          <cell r="D881">
            <v>35</v>
          </cell>
          <cell r="E881">
            <v>5128</v>
          </cell>
        </row>
        <row r="882">
          <cell r="A882" t="str">
            <v>7501</v>
          </cell>
          <cell r="B882" t="str">
            <v>13X19 Wht Absorbent Towel</v>
          </cell>
          <cell r="C882" t="str">
            <v>EA</v>
          </cell>
          <cell r="D882">
            <v>30</v>
          </cell>
          <cell r="E882">
            <v>46114</v>
          </cell>
        </row>
        <row r="883">
          <cell r="A883" t="str">
            <v>7506-1</v>
          </cell>
          <cell r="B883" t="str">
            <v>unptd shipper ctn for 750</v>
          </cell>
          <cell r="C883" t="str">
            <v>EA</v>
          </cell>
          <cell r="D883" t="str">
            <v>MZ6</v>
          </cell>
          <cell r="E883">
            <v>445</v>
          </cell>
        </row>
        <row r="884">
          <cell r="A884" t="str">
            <v>7511</v>
          </cell>
          <cell r="B884" t="str">
            <v>4.5"Sharp/Sharp Scissor</v>
          </cell>
          <cell r="C884" t="str">
            <v>EA</v>
          </cell>
          <cell r="D884">
            <v>17</v>
          </cell>
          <cell r="E884">
            <v>15873</v>
          </cell>
        </row>
        <row r="885">
          <cell r="A885" t="str">
            <v>7512</v>
          </cell>
          <cell r="B885" t="str">
            <v>5"Tissue Forcep</v>
          </cell>
          <cell r="C885" t="str">
            <v>EA</v>
          </cell>
          <cell r="D885">
            <v>49</v>
          </cell>
          <cell r="E885">
            <v>43993</v>
          </cell>
        </row>
        <row r="886">
          <cell r="A886" t="str">
            <v>7513N</v>
          </cell>
          <cell r="B886" t="str">
            <v>Baumgartner Needleholder</v>
          </cell>
          <cell r="C886" t="str">
            <v>EA</v>
          </cell>
          <cell r="D886">
            <v>38</v>
          </cell>
          <cell r="E886">
            <v>19896</v>
          </cell>
        </row>
        <row r="887">
          <cell r="A887" t="str">
            <v>7515FS</v>
          </cell>
          <cell r="B887" t="str">
            <v>2FS TYVEK, COATED,308MM</v>
          </cell>
          <cell r="C887" t="str">
            <v>MI</v>
          </cell>
          <cell r="D887">
            <v>35</v>
          </cell>
          <cell r="E887">
            <v>16764</v>
          </cell>
        </row>
        <row r="888">
          <cell r="A888" t="str">
            <v>7516</v>
          </cell>
          <cell r="B888" t="str">
            <v>18X26B/W/Twl Ptnd</v>
          </cell>
          <cell r="C888" t="str">
            <v>EA</v>
          </cell>
          <cell r="D888">
            <v>68</v>
          </cell>
          <cell r="E888">
            <v>23163</v>
          </cell>
        </row>
        <row r="889">
          <cell r="A889" t="str">
            <v>7519</v>
          </cell>
          <cell r="B889" t="str">
            <v>18X26 Fenestrated Drape</v>
          </cell>
          <cell r="C889" t="str">
            <v>EA</v>
          </cell>
          <cell r="D889">
            <v>71</v>
          </cell>
          <cell r="E889">
            <v>90468</v>
          </cell>
        </row>
        <row r="890">
          <cell r="A890" t="str">
            <v>7519</v>
          </cell>
          <cell r="B890" t="str">
            <v>18X26 Fenestrated Drape</v>
          </cell>
          <cell r="C890" t="str">
            <v>EA</v>
          </cell>
          <cell r="D890" t="str">
            <v>CIR</v>
          </cell>
          <cell r="E890">
            <v>57939</v>
          </cell>
        </row>
        <row r="891">
          <cell r="A891" t="str">
            <v>7522C</v>
          </cell>
          <cell r="B891" t="str">
            <v>Sterile Lg Alcohol Pad</v>
          </cell>
          <cell r="C891" t="str">
            <v>EA</v>
          </cell>
          <cell r="D891">
            <v>18</v>
          </cell>
          <cell r="E891">
            <v>8397</v>
          </cell>
        </row>
        <row r="892">
          <cell r="A892" t="str">
            <v>7524</v>
          </cell>
          <cell r="B892" t="str">
            <v>3"Applicator for 752-755</v>
          </cell>
          <cell r="C892" t="str">
            <v>EA</v>
          </cell>
          <cell r="D892">
            <v>20</v>
          </cell>
          <cell r="E892">
            <v>4656</v>
          </cell>
        </row>
        <row r="893">
          <cell r="A893" t="str">
            <v>7526L</v>
          </cell>
          <cell r="B893" t="str">
            <v>5"MOSQ HEMO CVD/LG LOOP</v>
          </cell>
          <cell r="C893" t="str">
            <v>EA</v>
          </cell>
          <cell r="D893">
            <v>45</v>
          </cell>
          <cell r="E893">
            <v>9641</v>
          </cell>
        </row>
        <row r="894">
          <cell r="A894" t="str">
            <v>7526N</v>
          </cell>
          <cell r="B894" t="str">
            <v>5"Mosquito Hemostat Cvd</v>
          </cell>
          <cell r="C894" t="str">
            <v>EA</v>
          </cell>
          <cell r="D894">
            <v>30</v>
          </cell>
          <cell r="E894">
            <v>8620</v>
          </cell>
        </row>
        <row r="895">
          <cell r="A895" t="str">
            <v>7531L</v>
          </cell>
          <cell r="B895" t="str">
            <v>5"HALST MOSQ HEMO STR LG</v>
          </cell>
          <cell r="C895" t="str">
            <v>EA</v>
          </cell>
          <cell r="D895">
            <v>38</v>
          </cell>
          <cell r="E895">
            <v>6336</v>
          </cell>
        </row>
        <row r="896">
          <cell r="A896" t="str">
            <v>7531N</v>
          </cell>
          <cell r="B896" t="str">
            <v>5"Mosquito Hemostat str</v>
          </cell>
          <cell r="C896" t="str">
            <v>EA</v>
          </cell>
          <cell r="D896">
            <v>47</v>
          </cell>
          <cell r="E896">
            <v>6028</v>
          </cell>
        </row>
        <row r="897">
          <cell r="A897" t="str">
            <v>7537</v>
          </cell>
          <cell r="B897" t="str">
            <v>2"Safety Pins for 752-755</v>
          </cell>
          <cell r="C897" t="str">
            <v>EA</v>
          </cell>
          <cell r="D897">
            <v>20</v>
          </cell>
          <cell r="E897">
            <v>10426</v>
          </cell>
        </row>
        <row r="898">
          <cell r="A898" t="str">
            <v>7541</v>
          </cell>
          <cell r="B898" t="str">
            <v>5 1/4" SHARP/BLUNT</v>
          </cell>
          <cell r="C898" t="str">
            <v>EA</v>
          </cell>
          <cell r="D898">
            <v>49</v>
          </cell>
          <cell r="E898">
            <v>27037</v>
          </cell>
        </row>
        <row r="899">
          <cell r="A899" t="str">
            <v>7541A</v>
          </cell>
          <cell r="B899" t="str">
            <v>5 1/4" S/B SCISSORS</v>
          </cell>
          <cell r="C899" t="str">
            <v>EA</v>
          </cell>
        </row>
        <row r="900">
          <cell r="A900" t="str">
            <v>7542N</v>
          </cell>
          <cell r="B900" t="str">
            <v>5.5"KELLY HEMOSTAT CURVED</v>
          </cell>
          <cell r="C900" t="str">
            <v>EA</v>
          </cell>
          <cell r="D900">
            <v>38</v>
          </cell>
          <cell r="E900">
            <v>-38</v>
          </cell>
        </row>
        <row r="901">
          <cell r="A901" t="str">
            <v>7546-1</v>
          </cell>
          <cell r="B901" t="str">
            <v>UNPRINTED SHIPPER CTN</v>
          </cell>
          <cell r="C901" t="str">
            <v>EA</v>
          </cell>
          <cell r="D901" t="str">
            <v>MZ3</v>
          </cell>
          <cell r="E901">
            <v>504</v>
          </cell>
        </row>
        <row r="902">
          <cell r="A902" t="str">
            <v>7549</v>
          </cell>
          <cell r="B902" t="str">
            <v>UNPRINTED CARTON</v>
          </cell>
          <cell r="C902" t="str">
            <v>EA</v>
          </cell>
          <cell r="D902" t="str">
            <v>MZ6</v>
          </cell>
          <cell r="E902">
            <v>546</v>
          </cell>
        </row>
        <row r="903">
          <cell r="A903" t="str">
            <v>7549DW</v>
          </cell>
          <cell r="B903" t="str">
            <v>SHIPPER CTN - DOUBLE WALL</v>
          </cell>
          <cell r="C903" t="str">
            <v>EA</v>
          </cell>
        </row>
        <row r="904">
          <cell r="A904" t="str">
            <v>7551N</v>
          </cell>
          <cell r="B904" t="str">
            <v>5.5"Kelly Hemostat Strght</v>
          </cell>
          <cell r="C904" t="str">
            <v>EA</v>
          </cell>
          <cell r="D904">
            <v>17</v>
          </cell>
          <cell r="E904">
            <v>18330</v>
          </cell>
        </row>
        <row r="905">
          <cell r="A905" t="str">
            <v>7563-2</v>
          </cell>
          <cell r="B905" t="str">
            <v>4"X4"12PLYGAUZE/PROCESSED</v>
          </cell>
          <cell r="C905" t="str">
            <v>EA</v>
          </cell>
          <cell r="D905">
            <v>19</v>
          </cell>
          <cell r="E905">
            <v>27903</v>
          </cell>
        </row>
        <row r="906">
          <cell r="A906" t="str">
            <v>7572-1</v>
          </cell>
          <cell r="B906" t="str">
            <v>IODOPHOR PVP SWABS{1}</v>
          </cell>
          <cell r="C906" t="str">
            <v>EA</v>
          </cell>
          <cell r="D906">
            <v>14</v>
          </cell>
          <cell r="E906">
            <v>5088</v>
          </cell>
        </row>
        <row r="907">
          <cell r="A907" t="str">
            <v>7573FN</v>
          </cell>
          <cell r="B907" t="str">
            <v>5" Halsey Needhldr/f/pt</v>
          </cell>
          <cell r="C907" t="str">
            <v>EA</v>
          </cell>
          <cell r="D907">
            <v>38</v>
          </cell>
          <cell r="E907">
            <v>2116</v>
          </cell>
        </row>
        <row r="908">
          <cell r="A908" t="str">
            <v>7573L</v>
          </cell>
          <cell r="B908" t="str">
            <v>5"WEBSTER NHLDR/LG LOOP</v>
          </cell>
          <cell r="C908" t="str">
            <v>EA</v>
          </cell>
          <cell r="D908">
            <v>47</v>
          </cell>
          <cell r="E908">
            <v>20780</v>
          </cell>
        </row>
        <row r="909">
          <cell r="A909" t="str">
            <v>7573N</v>
          </cell>
          <cell r="B909" t="str">
            <v>5" Webster Needleholder</v>
          </cell>
          <cell r="C909" t="str">
            <v>EA</v>
          </cell>
          <cell r="D909">
            <v>47</v>
          </cell>
          <cell r="E909">
            <v>4220</v>
          </cell>
        </row>
        <row r="910">
          <cell r="A910" t="str">
            <v>7573SFN</v>
          </cell>
          <cell r="B910" t="str">
            <v>HALSEY F/PT NDLEHDR SATIN</v>
          </cell>
          <cell r="C910" t="str">
            <v>EA</v>
          </cell>
          <cell r="D910">
            <v>45</v>
          </cell>
          <cell r="E910">
            <v>21437</v>
          </cell>
        </row>
        <row r="911">
          <cell r="A911" t="str">
            <v>7575A</v>
          </cell>
          <cell r="B911" t="str">
            <v>Unprinted Carton</v>
          </cell>
          <cell r="C911" t="str">
            <v>EA</v>
          </cell>
          <cell r="D911" t="str">
            <v>MZ6</v>
          </cell>
          <cell r="E911">
            <v>3220</v>
          </cell>
        </row>
        <row r="912">
          <cell r="A912" t="str">
            <v>7576SNL</v>
          </cell>
          <cell r="B912" t="str">
            <v>6"HALSEY FP LGE LOOP STN</v>
          </cell>
          <cell r="C912" t="str">
            <v>EA</v>
          </cell>
          <cell r="D912">
            <v>25</v>
          </cell>
          <cell r="E912">
            <v>787</v>
          </cell>
        </row>
        <row r="913">
          <cell r="A913" t="str">
            <v>7581-1</v>
          </cell>
          <cell r="B913" t="str">
            <v>#11 SCALPEL W/T/PROTECTOR</v>
          </cell>
          <cell r="C913" t="str">
            <v>EA</v>
          </cell>
          <cell r="D913">
            <v>24</v>
          </cell>
          <cell r="E913">
            <v>1297</v>
          </cell>
        </row>
        <row r="914">
          <cell r="A914" t="str">
            <v>7595B</v>
          </cell>
          <cell r="B914" t="str">
            <v>Transfer Forcep Aqua</v>
          </cell>
          <cell r="C914" t="str">
            <v>EA</v>
          </cell>
          <cell r="D914">
            <v>56</v>
          </cell>
          <cell r="E914">
            <v>34565</v>
          </cell>
        </row>
        <row r="915">
          <cell r="A915" t="str">
            <v>7597</v>
          </cell>
          <cell r="B915" t="str">
            <v>#1527 1x54"Transpore Tape</v>
          </cell>
          <cell r="C915" t="str">
            <v>EA</v>
          </cell>
          <cell r="D915">
            <v>24</v>
          </cell>
          <cell r="E915">
            <v>1496</v>
          </cell>
        </row>
        <row r="916">
          <cell r="A916" t="str">
            <v>7600A</v>
          </cell>
          <cell r="B916" t="str">
            <v>3-WAY STOPCOCK</v>
          </cell>
          <cell r="C916" t="str">
            <v>EA</v>
          </cell>
          <cell r="D916">
            <v>24</v>
          </cell>
          <cell r="E916">
            <v>165</v>
          </cell>
        </row>
        <row r="917">
          <cell r="A917" t="str">
            <v>7631</v>
          </cell>
          <cell r="B917" t="str">
            <v>Medi-Rule</v>
          </cell>
          <cell r="C917" t="str">
            <v>EA</v>
          </cell>
          <cell r="D917">
            <v>21</v>
          </cell>
          <cell r="E917">
            <v>13494</v>
          </cell>
        </row>
        <row r="918">
          <cell r="A918" t="str">
            <v>7645A</v>
          </cell>
          <cell r="B918" t="str">
            <v>19G X7/8"N/W/12"SM/V/I/S</v>
          </cell>
          <cell r="C918" t="str">
            <v>EA</v>
          </cell>
        </row>
        <row r="919">
          <cell r="A919" t="str">
            <v>7645B</v>
          </cell>
          <cell r="B919" t="str">
            <v>INSTRUCTION/S DO NOT ORDE</v>
          </cell>
          <cell r="C919" t="str">
            <v>EA</v>
          </cell>
        </row>
        <row r="920">
          <cell r="A920" t="str">
            <v>7645C</v>
          </cell>
          <cell r="B920" t="str">
            <v>8.5ML VACUT/W/ACD A/SOLUT</v>
          </cell>
          <cell r="C920" t="str">
            <v>EA</v>
          </cell>
        </row>
        <row r="921">
          <cell r="A921" t="str">
            <v>7660B</v>
          </cell>
          <cell r="B921" t="str">
            <v>SAF-SHIELD/SPLASH GUARD</v>
          </cell>
          <cell r="C921" t="str">
            <v>EA</v>
          </cell>
          <cell r="D921">
            <v>64</v>
          </cell>
          <cell r="E921">
            <v>74867</v>
          </cell>
        </row>
        <row r="922">
          <cell r="A922" t="str">
            <v>7661-2</v>
          </cell>
          <cell r="B922" t="str">
            <v>INSTRUCTION SHEET</v>
          </cell>
          <cell r="C922" t="str">
            <v>EA</v>
          </cell>
          <cell r="D922">
            <v>6</v>
          </cell>
          <cell r="E922">
            <v>2824</v>
          </cell>
        </row>
        <row r="923">
          <cell r="A923" t="str">
            <v>7680A</v>
          </cell>
          <cell r="B923" t="str">
            <v>5"WEBSTER SUTURE-GLIDE NH</v>
          </cell>
          <cell r="C923" t="str">
            <v>EA</v>
          </cell>
          <cell r="D923">
            <v>30</v>
          </cell>
          <cell r="E923">
            <v>937</v>
          </cell>
        </row>
        <row r="924">
          <cell r="A924" t="str">
            <v>7681A</v>
          </cell>
          <cell r="B924" t="str">
            <v>4 3/4" ADSON 1X2 PREMIUM</v>
          </cell>
          <cell r="C924" t="str">
            <v>EA</v>
          </cell>
          <cell r="D924">
            <v>31</v>
          </cell>
          <cell r="E924">
            <v>1945</v>
          </cell>
        </row>
        <row r="925">
          <cell r="A925" t="str">
            <v>7682A</v>
          </cell>
          <cell r="B925" t="str">
            <v>4.75"ADSON SERR,PREMIUM</v>
          </cell>
          <cell r="C925" t="str">
            <v>EA</v>
          </cell>
          <cell r="D925">
            <v>30</v>
          </cell>
          <cell r="E925">
            <v>962</v>
          </cell>
        </row>
        <row r="926">
          <cell r="A926" t="str">
            <v>7683A</v>
          </cell>
          <cell r="B926" t="str">
            <v>4.5"LITT STITCH,PREMIUM</v>
          </cell>
          <cell r="C926" t="str">
            <v>EA</v>
          </cell>
        </row>
        <row r="927">
          <cell r="A927" t="str">
            <v>7684A</v>
          </cell>
          <cell r="B927" t="str">
            <v>4.5"IRIS STR,PREMIUM</v>
          </cell>
          <cell r="C927" t="str">
            <v>EA</v>
          </cell>
          <cell r="D927">
            <v>31</v>
          </cell>
          <cell r="E927">
            <v>1374</v>
          </cell>
        </row>
        <row r="928">
          <cell r="A928" t="str">
            <v>7685A</v>
          </cell>
          <cell r="B928" t="str">
            <v>4.5"IRIS CRVD, PREMIUM</v>
          </cell>
          <cell r="C928" t="str">
            <v>EA</v>
          </cell>
          <cell r="D928">
            <v>30</v>
          </cell>
          <cell r="E928">
            <v>345</v>
          </cell>
        </row>
        <row r="929">
          <cell r="A929" t="str">
            <v>7686A</v>
          </cell>
          <cell r="B929" t="str">
            <v>4.5 S/B SCISSORS,PREMIUM</v>
          </cell>
          <cell r="C929" t="str">
            <v>EA</v>
          </cell>
        </row>
        <row r="930">
          <cell r="A930" t="str">
            <v>7688A</v>
          </cell>
          <cell r="B930" t="str">
            <v>5" MOSQ HEMO,CVD,PREMIUM</v>
          </cell>
          <cell r="C930" t="str">
            <v>EA</v>
          </cell>
          <cell r="D930">
            <v>31</v>
          </cell>
          <cell r="E930">
            <v>288</v>
          </cell>
        </row>
        <row r="931">
          <cell r="A931" t="str">
            <v>7689A</v>
          </cell>
          <cell r="B931" t="str">
            <v>5"MOSQ HEMO,STR,PREMIUM</v>
          </cell>
          <cell r="C931" t="str">
            <v>EA</v>
          </cell>
        </row>
        <row r="932">
          <cell r="A932" t="str">
            <v>7691A</v>
          </cell>
          <cell r="B932" t="str">
            <v>5.5"KELLY STR,PREMIUM</v>
          </cell>
          <cell r="C932" t="str">
            <v>EA</v>
          </cell>
        </row>
        <row r="933">
          <cell r="A933" t="str">
            <v>7692A</v>
          </cell>
          <cell r="B933" t="str">
            <v>6"WEBSTER SUTURE GLIDE</v>
          </cell>
          <cell r="C933" t="str">
            <v>EA</v>
          </cell>
        </row>
        <row r="934">
          <cell r="A934" t="str">
            <v>7693A</v>
          </cell>
          <cell r="B934" t="str">
            <v>4.5"B/B SCISSORS,PREMIUM</v>
          </cell>
          <cell r="C934" t="str">
            <v>EA</v>
          </cell>
        </row>
        <row r="935">
          <cell r="A935" t="str">
            <v>7701-3</v>
          </cell>
          <cell r="B935" t="str">
            <v>UNPRTD DISP 770</v>
          </cell>
          <cell r="C935" t="str">
            <v>EA</v>
          </cell>
          <cell r="D935" t="str">
            <v>MZ7</v>
          </cell>
          <cell r="E935">
            <v>196</v>
          </cell>
        </row>
        <row r="936">
          <cell r="A936" t="str">
            <v>7702-1</v>
          </cell>
          <cell r="B936" t="str">
            <v>UNPRTD SHIPPER CTN</v>
          </cell>
          <cell r="C936" t="str">
            <v>EA</v>
          </cell>
          <cell r="D936" t="str">
            <v>MZ7</v>
          </cell>
          <cell r="E936">
            <v>669</v>
          </cell>
        </row>
        <row r="937">
          <cell r="A937" t="str">
            <v>7702-2</v>
          </cell>
          <cell r="B937" t="str">
            <v>SHIPPER CTN</v>
          </cell>
          <cell r="C937" t="str">
            <v>EA</v>
          </cell>
          <cell r="D937" t="str">
            <v>MZ4</v>
          </cell>
          <cell r="E937">
            <v>309</v>
          </cell>
        </row>
        <row r="938">
          <cell r="A938" t="str">
            <v>7713A</v>
          </cell>
          <cell r="B938" t="str">
            <v>STER 6"STD BORE EXT SET</v>
          </cell>
          <cell r="C938" t="str">
            <v>EA</v>
          </cell>
        </row>
        <row r="939">
          <cell r="A939" t="str">
            <v>7713B</v>
          </cell>
          <cell r="B939" t="str">
            <v>INSTR 7713A DO NOT ORDER</v>
          </cell>
          <cell r="C939" t="str">
            <v>EA</v>
          </cell>
        </row>
        <row r="940">
          <cell r="A940" t="str">
            <v>7720A</v>
          </cell>
          <cell r="B940" t="str">
            <v>STAPLE REMOVAL W/P/HANDLE</v>
          </cell>
          <cell r="C940" t="str">
            <v>EA</v>
          </cell>
          <cell r="D940">
            <v>32</v>
          </cell>
          <cell r="E940">
            <v>35702</v>
          </cell>
        </row>
        <row r="941">
          <cell r="A941" t="str">
            <v>7720S</v>
          </cell>
          <cell r="B941" t="str">
            <v>UNPRINTED CTN</v>
          </cell>
          <cell r="C941" t="str">
            <v>EA</v>
          </cell>
          <cell r="D941" t="str">
            <v>MZ5</v>
          </cell>
          <cell r="E941">
            <v>941</v>
          </cell>
        </row>
        <row r="942">
          <cell r="A942" t="str">
            <v>7730A</v>
          </cell>
          <cell r="B942" t="str">
            <v>CORRIGATED INSERT</v>
          </cell>
          <cell r="C942" t="str">
            <v>EA</v>
          </cell>
          <cell r="D942" t="str">
            <v>MZ6</v>
          </cell>
          <cell r="E942">
            <v>2179</v>
          </cell>
        </row>
        <row r="943">
          <cell r="A943" t="str">
            <v>7792A</v>
          </cell>
          <cell r="B943" t="str">
            <v>30"X42" BLUE PATIENT GOWN</v>
          </cell>
          <cell r="C943" t="str">
            <v>EA</v>
          </cell>
          <cell r="D943">
            <v>18</v>
          </cell>
          <cell r="E943">
            <v>156</v>
          </cell>
        </row>
        <row r="944">
          <cell r="A944" t="str">
            <v>7820A</v>
          </cell>
          <cell r="B944" t="str">
            <v>WEBSTER PREM L/L DBL BVL</v>
          </cell>
          <cell r="C944" t="str">
            <v>EA</v>
          </cell>
          <cell r="D944">
            <v>30</v>
          </cell>
          <cell r="E944">
            <v>390</v>
          </cell>
        </row>
        <row r="945">
          <cell r="A945" t="str">
            <v>7821A</v>
          </cell>
          <cell r="B945" t="str">
            <v>HALSEY NEEDLHDR PREM L/L</v>
          </cell>
          <cell r="C945" t="str">
            <v>EA</v>
          </cell>
          <cell r="D945">
            <v>5</v>
          </cell>
          <cell r="E945">
            <v>456</v>
          </cell>
        </row>
        <row r="946">
          <cell r="A946" t="str">
            <v>7822A</v>
          </cell>
          <cell r="B946" t="str">
            <v>ADSON SER PREM SOFT TOUCH</v>
          </cell>
          <cell r="C946" t="str">
            <v>EA</v>
          </cell>
          <cell r="D946">
            <v>34</v>
          </cell>
          <cell r="E946">
            <v>800</v>
          </cell>
        </row>
        <row r="947">
          <cell r="A947" t="str">
            <v>7823A</v>
          </cell>
          <cell r="B947" t="str">
            <v>KELLY HEMO, CRVD,PREM L/L</v>
          </cell>
          <cell r="C947" t="str">
            <v>EA</v>
          </cell>
          <cell r="D947">
            <v>31</v>
          </cell>
          <cell r="E947">
            <v>279</v>
          </cell>
        </row>
        <row r="948">
          <cell r="A948" t="str">
            <v>7824A</v>
          </cell>
          <cell r="B948" t="str">
            <v>IRIS SCISS, STR,PREM,L/L</v>
          </cell>
          <cell r="C948" t="str">
            <v>EA</v>
          </cell>
          <cell r="D948">
            <v>29</v>
          </cell>
          <cell r="E948">
            <v>1047</v>
          </cell>
        </row>
        <row r="949">
          <cell r="A949" t="str">
            <v>7825A</v>
          </cell>
          <cell r="B949" t="str">
            <v>OR SCISS4.5",S/B,PREM,L/L</v>
          </cell>
          <cell r="C949" t="str">
            <v>EA</v>
          </cell>
          <cell r="D949">
            <v>19</v>
          </cell>
          <cell r="E949">
            <v>190</v>
          </cell>
        </row>
        <row r="950">
          <cell r="A950" t="str">
            <v>7826A</v>
          </cell>
          <cell r="B950" t="str">
            <v>VAGINAL SPECULUM W/L/S/AD</v>
          </cell>
          <cell r="C950" t="str">
            <v>EA</v>
          </cell>
          <cell r="D950">
            <v>19</v>
          </cell>
          <cell r="E950">
            <v>472</v>
          </cell>
        </row>
        <row r="951">
          <cell r="A951" t="str">
            <v>7826B</v>
          </cell>
          <cell r="B951" t="str">
            <v>ADSON SERR PREM F/P REG</v>
          </cell>
          <cell r="C951" t="str">
            <v>EA</v>
          </cell>
        </row>
        <row r="952">
          <cell r="A952" t="str">
            <v>7828A</v>
          </cell>
          <cell r="B952" t="str">
            <v>HALSTEAD MOSQ PREM STR LL</v>
          </cell>
          <cell r="C952" t="str">
            <v>EA</v>
          </cell>
          <cell r="D952">
            <v>21</v>
          </cell>
          <cell r="E952">
            <v>190</v>
          </cell>
        </row>
        <row r="953">
          <cell r="A953" t="str">
            <v>7830A</v>
          </cell>
          <cell r="B953" t="str">
            <v>ADSON 1X2 PREM SOFT TOUCH</v>
          </cell>
          <cell r="C953" t="str">
            <v>EA</v>
          </cell>
          <cell r="D953">
            <v>34</v>
          </cell>
          <cell r="E953">
            <v>1612</v>
          </cell>
        </row>
        <row r="954">
          <cell r="A954" t="str">
            <v>7831A</v>
          </cell>
          <cell r="B954" t="str">
            <v>KELLY HEMO, STR, PREM L/L</v>
          </cell>
          <cell r="C954" t="str">
            <v>EA</v>
          </cell>
          <cell r="D954">
            <v>38</v>
          </cell>
          <cell r="E954">
            <v>193</v>
          </cell>
        </row>
        <row r="955">
          <cell r="A955" t="str">
            <v>7832A</v>
          </cell>
          <cell r="B955" t="str">
            <v>IRIS SCISS,CRVD,PREM,L/L</v>
          </cell>
          <cell r="C955" t="str">
            <v>EA</v>
          </cell>
          <cell r="D955">
            <v>22</v>
          </cell>
          <cell r="E955">
            <v>173</v>
          </cell>
        </row>
        <row r="956">
          <cell r="A956" t="str">
            <v>7833A</v>
          </cell>
          <cell r="B956" t="str">
            <v>OR SCISS5.5",S/B,PREM,L/L</v>
          </cell>
          <cell r="C956" t="str">
            <v>EA</v>
          </cell>
          <cell r="D956">
            <v>27</v>
          </cell>
          <cell r="E956">
            <v>195</v>
          </cell>
        </row>
        <row r="957">
          <cell r="A957" t="str">
            <v>7834A</v>
          </cell>
          <cell r="B957" t="str">
            <v>ADSON 1X2 PREM F/P REG</v>
          </cell>
          <cell r="C957" t="str">
            <v>EA</v>
          </cell>
          <cell r="D957">
            <v>30</v>
          </cell>
          <cell r="E957">
            <v>673</v>
          </cell>
        </row>
        <row r="958">
          <cell r="A958" t="str">
            <v>7835A</v>
          </cell>
          <cell r="B958" t="str">
            <v>HALSTEAD MOSQ PREM CRV LL</v>
          </cell>
          <cell r="C958" t="str">
            <v>EA</v>
          </cell>
          <cell r="D958">
            <v>18</v>
          </cell>
          <cell r="E958">
            <v>939</v>
          </cell>
        </row>
        <row r="959">
          <cell r="A959" t="str">
            <v>7836A</v>
          </cell>
          <cell r="B959" t="str">
            <v>WEBSTER 6"PREM DBL BVL LL</v>
          </cell>
          <cell r="C959" t="str">
            <v>EA</v>
          </cell>
          <cell r="D959">
            <v>5</v>
          </cell>
          <cell r="E959">
            <v>193</v>
          </cell>
        </row>
        <row r="960">
          <cell r="A960" t="str">
            <v>7906A</v>
          </cell>
          <cell r="B960" t="str">
            <v>36'MICRO B/SET W/FITMENTS</v>
          </cell>
          <cell r="C960" t="str">
            <v>EA</v>
          </cell>
          <cell r="D960">
            <v>28</v>
          </cell>
          <cell r="E960">
            <v>668</v>
          </cell>
        </row>
        <row r="961">
          <cell r="A961" t="str">
            <v>7911</v>
          </cell>
          <cell r="B961" t="str">
            <v>ONE PIECE /24" TAPE</v>
          </cell>
          <cell r="C961" t="str">
            <v>EA</v>
          </cell>
          <cell r="D961">
            <v>26</v>
          </cell>
          <cell r="E961">
            <v>4181</v>
          </cell>
        </row>
        <row r="962">
          <cell r="A962" t="str">
            <v>7920A</v>
          </cell>
          <cell r="B962" t="str">
            <v>6"SM EXT.SET W/T-CON/ML/L</v>
          </cell>
          <cell r="C962" t="str">
            <v>EA</v>
          </cell>
          <cell r="D962">
            <v>18</v>
          </cell>
          <cell r="E962">
            <v>63</v>
          </cell>
        </row>
        <row r="963">
          <cell r="A963" t="str">
            <v>7937A</v>
          </cell>
          <cell r="B963" t="str">
            <v>12"SM B/W/FIXM@F/L/L EX/S</v>
          </cell>
          <cell r="C963" t="str">
            <v>EA</v>
          </cell>
          <cell r="D963">
            <v>25</v>
          </cell>
          <cell r="E963">
            <v>6209</v>
          </cell>
        </row>
        <row r="964">
          <cell r="A964" t="str">
            <v>7937B</v>
          </cell>
          <cell r="B964" t="str">
            <v>STER 25MM .2MICRON FILTER</v>
          </cell>
          <cell r="C964" t="str">
            <v>EA</v>
          </cell>
          <cell r="D964">
            <v>19</v>
          </cell>
          <cell r="E964">
            <v>627</v>
          </cell>
        </row>
        <row r="965">
          <cell r="A965" t="str">
            <v>7938A</v>
          </cell>
          <cell r="B965" t="str">
            <v>24GX2"HUB/NDLE/STR/P/HUB</v>
          </cell>
          <cell r="C965" t="str">
            <v>EA</v>
          </cell>
          <cell r="D965" t="str">
            <v>N1</v>
          </cell>
          <cell r="E965">
            <v>335</v>
          </cell>
        </row>
        <row r="966">
          <cell r="A966" t="str">
            <v>7938B</v>
          </cell>
          <cell r="B966" t="str">
            <v>24GX11/2" HUB/NDL/STR/HUB</v>
          </cell>
          <cell r="C966" t="str">
            <v>EA</v>
          </cell>
          <cell r="D966" t="str">
            <v>N1</v>
          </cell>
          <cell r="E966">
            <v>325</v>
          </cell>
        </row>
        <row r="967">
          <cell r="A967" t="str">
            <v>7998A</v>
          </cell>
          <cell r="B967" t="str">
            <v>3MM BIOPSY/PUNCH/W/PLUNGE</v>
          </cell>
          <cell r="C967" t="str">
            <v>EA</v>
          </cell>
          <cell r="D967">
            <v>34</v>
          </cell>
          <cell r="E967">
            <v>63</v>
          </cell>
        </row>
        <row r="968">
          <cell r="A968" t="str">
            <v>8000P</v>
          </cell>
          <cell r="B968" t="str">
            <v>TRACH SET PACK#3 714/800</v>
          </cell>
          <cell r="C968" t="str">
            <v>EA</v>
          </cell>
          <cell r="D968">
            <v>26</v>
          </cell>
          <cell r="E968">
            <v>7017</v>
          </cell>
        </row>
        <row r="969">
          <cell r="A969" t="str">
            <v>8001A-1</v>
          </cell>
          <cell r="B969" t="str">
            <v>SALINE SOLUTION 4OZ .9%</v>
          </cell>
          <cell r="C969" t="str">
            <v>EA</v>
          </cell>
          <cell r="D969">
            <v>16</v>
          </cell>
          <cell r="E969">
            <v>14648</v>
          </cell>
        </row>
        <row r="970">
          <cell r="A970" t="str">
            <v>8080A-1</v>
          </cell>
          <cell r="B970" t="str">
            <v>STER 18 GA.X 1"NEEDLE</v>
          </cell>
          <cell r="C970" t="str">
            <v>EA</v>
          </cell>
          <cell r="D970" t="str">
            <v>N2</v>
          </cell>
          <cell r="E970">
            <v>166</v>
          </cell>
        </row>
        <row r="971">
          <cell r="A971" t="str">
            <v>8088B</v>
          </cell>
          <cell r="B971" t="str">
            <v>STER 4X4 OVRSPONGE 2/PKG</v>
          </cell>
          <cell r="C971" t="str">
            <v>PK</v>
          </cell>
          <cell r="D971">
            <v>15</v>
          </cell>
          <cell r="E971">
            <v>688</v>
          </cell>
        </row>
        <row r="972">
          <cell r="A972" t="str">
            <v>8088C</v>
          </cell>
          <cell r="B972" t="str">
            <v>6" x 8" ZIPLOC BAG</v>
          </cell>
          <cell r="C972" t="str">
            <v>EA</v>
          </cell>
          <cell r="D972">
            <v>34</v>
          </cell>
          <cell r="E972">
            <v>12968</v>
          </cell>
        </row>
        <row r="973">
          <cell r="A973" t="str">
            <v>8101A</v>
          </cell>
          <cell r="B973" t="str">
            <v>2X1"6P/PNTD/&amp; 4 B/MED/LB</v>
          </cell>
          <cell r="C973" t="str">
            <v>EA</v>
          </cell>
        </row>
        <row r="974">
          <cell r="A974" t="str">
            <v>8153G</v>
          </cell>
          <cell r="B974" t="str">
            <v>23INX36IN UNDERPAD</v>
          </cell>
          <cell r="C974" t="str">
            <v>EA</v>
          </cell>
          <cell r="D974">
            <v>34</v>
          </cell>
          <cell r="E974">
            <v>3459</v>
          </cell>
        </row>
        <row r="975">
          <cell r="A975" t="str">
            <v>8171A</v>
          </cell>
          <cell r="B975" t="str">
            <v>Blue 3 Compartment P/Tray</v>
          </cell>
          <cell r="C975" t="str">
            <v>EA</v>
          </cell>
          <cell r="D975">
            <v>23</v>
          </cell>
          <cell r="E975">
            <v>194</v>
          </cell>
        </row>
        <row r="976">
          <cell r="A976" t="str">
            <v>8179B</v>
          </cell>
          <cell r="B976" t="str">
            <v>STER 22GA X 1.5 IN NEEDLE</v>
          </cell>
          <cell r="C976" t="str">
            <v>EA</v>
          </cell>
          <cell r="D976" t="str">
            <v>N4</v>
          </cell>
          <cell r="E976">
            <v>995</v>
          </cell>
        </row>
        <row r="977">
          <cell r="A977" t="str">
            <v>8179C</v>
          </cell>
          <cell r="B977" t="str">
            <v>ZIPLOC 6X9IN ORANGE B/BAG</v>
          </cell>
          <cell r="C977" t="str">
            <v>EA</v>
          </cell>
          <cell r="D977">
            <v>5</v>
          </cell>
          <cell r="E977">
            <v>964</v>
          </cell>
        </row>
        <row r="978">
          <cell r="A978" t="str">
            <v>8180A</v>
          </cell>
          <cell r="B978" t="str">
            <v>CHLORAPREP FREPP 1.5ML</v>
          </cell>
          <cell r="C978" t="str">
            <v>EA</v>
          </cell>
          <cell r="D978">
            <v>14</v>
          </cell>
          <cell r="E978">
            <v>578</v>
          </cell>
        </row>
        <row r="979">
          <cell r="A979" t="str">
            <v>8180I</v>
          </cell>
          <cell r="B979" t="str">
            <v>CHLORAPREP 1.5 INSERT</v>
          </cell>
          <cell r="C979" t="str">
            <v>EA</v>
          </cell>
          <cell r="D979">
            <v>6</v>
          </cell>
          <cell r="E979">
            <v>19899</v>
          </cell>
        </row>
        <row r="980">
          <cell r="A980" t="str">
            <v>8184A</v>
          </cell>
          <cell r="B980" t="str">
            <v>SURGEONWALTGLOVS-S/8</v>
          </cell>
          <cell r="C980" t="str">
            <v>PR</v>
          </cell>
          <cell r="D980">
            <v>15</v>
          </cell>
          <cell r="E980">
            <v>57</v>
          </cell>
        </row>
        <row r="981">
          <cell r="A981" t="str">
            <v>8186A</v>
          </cell>
          <cell r="B981" t="str">
            <v>COVADERM DRESSING 4INX4IN</v>
          </cell>
          <cell r="C981" t="str">
            <v>EA</v>
          </cell>
          <cell r="D981">
            <v>27</v>
          </cell>
          <cell r="E981">
            <v>560</v>
          </cell>
        </row>
        <row r="982">
          <cell r="A982" t="str">
            <v>8186B</v>
          </cell>
          <cell r="B982" t="str">
            <v>1INX54IN DURAPORE TAPE</v>
          </cell>
          <cell r="C982" t="str">
            <v>EA</v>
          </cell>
          <cell r="D982">
            <v>20</v>
          </cell>
          <cell r="E982">
            <v>402</v>
          </cell>
        </row>
        <row r="983">
          <cell r="A983" t="str">
            <v>8186G</v>
          </cell>
          <cell r="B983" t="str">
            <v>3/4IN ROUND GREEN/A/LABEL</v>
          </cell>
          <cell r="C983" t="str">
            <v>EA</v>
          </cell>
          <cell r="D983">
            <v>34</v>
          </cell>
          <cell r="E983">
            <v>911</v>
          </cell>
        </row>
        <row r="984">
          <cell r="A984" t="str">
            <v>8186R</v>
          </cell>
          <cell r="B984" t="str">
            <v>3/4IN ROUND RED ADH LABEL</v>
          </cell>
          <cell r="C984" t="str">
            <v>EA</v>
          </cell>
          <cell r="D984">
            <v>5</v>
          </cell>
          <cell r="E984">
            <v>4711</v>
          </cell>
        </row>
        <row r="985">
          <cell r="A985" t="str">
            <v>8190A-1</v>
          </cell>
          <cell r="B985" t="str">
            <v>CHLORAPREP 1.0ML</v>
          </cell>
          <cell r="C985" t="str">
            <v>EA</v>
          </cell>
          <cell r="D985">
            <v>15</v>
          </cell>
          <cell r="E985">
            <v>2765</v>
          </cell>
        </row>
        <row r="986">
          <cell r="A986" t="str">
            <v>8190B</v>
          </cell>
          <cell r="B986" t="str">
            <v>INSERT CHLORAPREP 1.0ML</v>
          </cell>
          <cell r="C986" t="str">
            <v>EA</v>
          </cell>
          <cell r="D986">
            <v>6</v>
          </cell>
          <cell r="E986">
            <v>4674</v>
          </cell>
        </row>
        <row r="987">
          <cell r="A987" t="str">
            <v>8200A</v>
          </cell>
          <cell r="B987" t="str">
            <v>55# COATED PAPER, 308MM</v>
          </cell>
          <cell r="C987" t="str">
            <v>MI</v>
          </cell>
          <cell r="D987">
            <v>35</v>
          </cell>
          <cell r="E987">
            <v>5761</v>
          </cell>
        </row>
        <row r="988">
          <cell r="A988" t="str">
            <v>8200LF</v>
          </cell>
          <cell r="B988" t="str">
            <v>ORANGE TOURNIQUETS</v>
          </cell>
          <cell r="C988" t="str">
            <v>EA</v>
          </cell>
          <cell r="D988">
            <v>22</v>
          </cell>
          <cell r="E988">
            <v>82952</v>
          </cell>
        </row>
        <row r="989">
          <cell r="A989" t="str">
            <v>8220C</v>
          </cell>
          <cell r="B989" t="str">
            <v>PREVAN/SWAB B11400 INSRT</v>
          </cell>
          <cell r="C989" t="str">
            <v>EA</v>
          </cell>
          <cell r="D989">
            <v>6</v>
          </cell>
          <cell r="E989">
            <v>84140</v>
          </cell>
        </row>
        <row r="990">
          <cell r="A990" t="str">
            <v>8222</v>
          </cell>
          <cell r="B990" t="str">
            <v>UNPRINTED CARTON</v>
          </cell>
          <cell r="C990" t="str">
            <v>EA</v>
          </cell>
          <cell r="D990" t="str">
            <v>MZ3</v>
          </cell>
          <cell r="E990">
            <v>808</v>
          </cell>
        </row>
        <row r="991">
          <cell r="A991" t="str">
            <v>8236A</v>
          </cell>
          <cell r="B991" t="str">
            <v>STANDARD C-ARM DRAPE</v>
          </cell>
          <cell r="C991" t="str">
            <v>EA</v>
          </cell>
          <cell r="D991">
            <v>14</v>
          </cell>
          <cell r="E991">
            <v>24</v>
          </cell>
        </row>
        <row r="992">
          <cell r="A992" t="str">
            <v>8236B</v>
          </cell>
          <cell r="B992" t="str">
            <v>87"X124" FEMORAL A/DRAPE</v>
          </cell>
          <cell r="C992" t="str">
            <v>EA</v>
          </cell>
          <cell r="D992">
            <v>31</v>
          </cell>
          <cell r="E992">
            <v>67</v>
          </cell>
        </row>
        <row r="993">
          <cell r="A993" t="str">
            <v>8243A</v>
          </cell>
          <cell r="B993" t="str">
            <v>Tegadrm w/lbl 2 3/8"x2.75</v>
          </cell>
          <cell r="C993" t="str">
            <v>EA</v>
          </cell>
          <cell r="D993">
            <v>15</v>
          </cell>
          <cell r="E993">
            <v>18268</v>
          </cell>
        </row>
        <row r="994">
          <cell r="A994" t="str">
            <v>8243A-1</v>
          </cell>
          <cell r="B994" t="str">
            <v>2.38X2.8"TRANSP DRESSING</v>
          </cell>
          <cell r="C994" t="str">
            <v>EA</v>
          </cell>
          <cell r="D994">
            <v>27</v>
          </cell>
          <cell r="E994">
            <v>35214</v>
          </cell>
        </row>
        <row r="995">
          <cell r="A995" t="str">
            <v>8248B</v>
          </cell>
          <cell r="B995" t="str">
            <v>HIBICLENS 15MIL LIQUID</v>
          </cell>
          <cell r="C995" t="str">
            <v>EA</v>
          </cell>
          <cell r="D995">
            <v>14</v>
          </cell>
          <cell r="E995">
            <v>364</v>
          </cell>
        </row>
        <row r="996">
          <cell r="A996" t="str">
            <v>8252A</v>
          </cell>
          <cell r="B996" t="str">
            <v>Unptd Ctn D/C/Tray/30cs</v>
          </cell>
          <cell r="C996" t="str">
            <v>EA</v>
          </cell>
          <cell r="D996" t="str">
            <v>MZ1</v>
          </cell>
          <cell r="E996">
            <v>825</v>
          </cell>
        </row>
        <row r="997">
          <cell r="A997" t="str">
            <v>8252C</v>
          </cell>
          <cell r="B997" t="str">
            <v>Unptd Ctn for 3/C Tray</v>
          </cell>
          <cell r="C997" t="str">
            <v>EA</v>
          </cell>
          <cell r="D997" t="str">
            <v>MZ2</v>
          </cell>
          <cell r="E997">
            <v>183</v>
          </cell>
        </row>
        <row r="998">
          <cell r="A998" t="str">
            <v>8253-1</v>
          </cell>
          <cell r="B998" t="str">
            <v>PVP IOD OINTMENT 1 GRAM</v>
          </cell>
          <cell r="C998" t="str">
            <v>EA</v>
          </cell>
          <cell r="D998">
            <v>14</v>
          </cell>
          <cell r="E998">
            <v>2145</v>
          </cell>
        </row>
        <row r="999">
          <cell r="A999" t="str">
            <v>8254-1</v>
          </cell>
          <cell r="B999" t="str">
            <v>2X2 NONADH DRESSG SLIT</v>
          </cell>
          <cell r="C999" t="str">
            <v>EA</v>
          </cell>
          <cell r="D999">
            <v>5</v>
          </cell>
          <cell r="E999">
            <v>4959</v>
          </cell>
        </row>
        <row r="1000">
          <cell r="A1000" t="str">
            <v>8255-1</v>
          </cell>
          <cell r="B1000" t="str">
            <v>2"x2" NON ADHERING DRESSG</v>
          </cell>
          <cell r="C1000" t="str">
            <v>EA</v>
          </cell>
          <cell r="D1000">
            <v>5</v>
          </cell>
          <cell r="E1000">
            <v>5304</v>
          </cell>
        </row>
        <row r="1001">
          <cell r="A1001" t="str">
            <v>8260-1</v>
          </cell>
          <cell r="B1001" t="str">
            <v>IODINE PREP SWABS{3} STER</v>
          </cell>
          <cell r="C1001" t="str">
            <v>EA</v>
          </cell>
          <cell r="D1001">
            <v>16</v>
          </cell>
          <cell r="E1001">
            <v>35313</v>
          </cell>
        </row>
        <row r="1002">
          <cell r="A1002" t="str">
            <v>8260P</v>
          </cell>
          <cell r="B1002" t="str">
            <v>IODINE PREP SWABS{3}</v>
          </cell>
          <cell r="C1002" t="str">
            <v>EA</v>
          </cell>
        </row>
        <row r="1003">
          <cell r="A1003" t="str">
            <v>8261-2</v>
          </cell>
          <cell r="B1003" t="str">
            <v>2"X2"8PLY/GAUZE/PROCESSED</v>
          </cell>
          <cell r="C1003" t="str">
            <v>EA</v>
          </cell>
          <cell r="D1003">
            <v>24</v>
          </cell>
          <cell r="E1003">
            <v>395597</v>
          </cell>
        </row>
        <row r="1004">
          <cell r="A1004" t="str">
            <v>8262-2</v>
          </cell>
          <cell r="B1004" t="str">
            <v>3"X3"8PLYGAUZE/PROCESSED</v>
          </cell>
          <cell r="C1004" t="str">
            <v>EA</v>
          </cell>
          <cell r="D1004">
            <v>18</v>
          </cell>
          <cell r="E1004">
            <v>34591</v>
          </cell>
        </row>
        <row r="1005">
          <cell r="A1005" t="str">
            <v>8262B</v>
          </cell>
          <cell r="B1005" t="str">
            <v>3X3 8PLY GAUZE FOLDED</v>
          </cell>
          <cell r="C1005" t="str">
            <v>EA</v>
          </cell>
          <cell r="D1005">
            <v>21</v>
          </cell>
          <cell r="E1005">
            <v>103473</v>
          </cell>
        </row>
        <row r="1006">
          <cell r="A1006" t="str">
            <v>8265</v>
          </cell>
          <cell r="B1006" t="str">
            <v>Dressing Chg Label 825/6</v>
          </cell>
          <cell r="C1006" t="str">
            <v>EA</v>
          </cell>
          <cell r="D1006">
            <v>25</v>
          </cell>
          <cell r="E1006">
            <v>15160</v>
          </cell>
        </row>
        <row r="1007">
          <cell r="A1007" t="str">
            <v>8267-1</v>
          </cell>
          <cell r="B1007" t="str">
            <v>10" x 15" TOWER TEAR BAG</v>
          </cell>
          <cell r="C1007" t="str">
            <v>EA</v>
          </cell>
          <cell r="D1007">
            <v>23</v>
          </cell>
          <cell r="E1007">
            <v>166</v>
          </cell>
        </row>
        <row r="1008">
          <cell r="A1008" t="str">
            <v>8271</v>
          </cell>
          <cell r="B1008" t="str">
            <v>N/Ster 4X5 Tegaderm Dres</v>
          </cell>
          <cell r="C1008" t="str">
            <v>EA</v>
          </cell>
          <cell r="D1008">
            <v>14</v>
          </cell>
          <cell r="E1008">
            <v>2193</v>
          </cell>
        </row>
        <row r="1009">
          <cell r="A1009" t="str">
            <v>8276</v>
          </cell>
          <cell r="B1009" t="str">
            <v>1"x18" Transpore Tape</v>
          </cell>
          <cell r="C1009" t="str">
            <v>EA</v>
          </cell>
          <cell r="D1009">
            <v>22</v>
          </cell>
          <cell r="E1009">
            <v>3207</v>
          </cell>
        </row>
        <row r="1010">
          <cell r="A1010" t="str">
            <v>8276C</v>
          </cell>
          <cell r="B1010" t="str">
            <v>1" x 18" SURGICAL TAPE</v>
          </cell>
          <cell r="C1010" t="str">
            <v>EA</v>
          </cell>
          <cell r="D1010">
            <v>27</v>
          </cell>
          <cell r="E1010">
            <v>250849</v>
          </cell>
        </row>
        <row r="1011">
          <cell r="A1011" t="str">
            <v>8288A</v>
          </cell>
          <cell r="B1011" t="str">
            <v>1.75X0.5 SPECIMEN LABEL</v>
          </cell>
          <cell r="C1011" t="str">
            <v>EA</v>
          </cell>
        </row>
        <row r="1012">
          <cell r="A1012" t="str">
            <v>8296-1</v>
          </cell>
          <cell r="B1012" t="str">
            <v>ALCOH'SWABS {3} STERILE</v>
          </cell>
          <cell r="C1012" t="str">
            <v>EA</v>
          </cell>
          <cell r="D1012">
            <v>15</v>
          </cell>
          <cell r="E1012">
            <v>4268</v>
          </cell>
        </row>
        <row r="1013">
          <cell r="A1013" t="str">
            <v>8296-2</v>
          </cell>
          <cell r="B1013" t="str">
            <v>ALCOH SWABS[1's] STERILE</v>
          </cell>
          <cell r="C1013" t="str">
            <v>EA</v>
          </cell>
          <cell r="D1013">
            <v>14</v>
          </cell>
          <cell r="E1013">
            <v>9620</v>
          </cell>
        </row>
        <row r="1014">
          <cell r="A1014" t="str">
            <v>8310A</v>
          </cell>
          <cell r="B1014" t="str">
            <v>3" x 5" ZIPLOC BAG</v>
          </cell>
          <cell r="C1014" t="str">
            <v>EA</v>
          </cell>
          <cell r="D1014">
            <v>20</v>
          </cell>
          <cell r="E1014">
            <v>18254</v>
          </cell>
        </row>
        <row r="1015">
          <cell r="A1015" t="str">
            <v>8311</v>
          </cell>
          <cell r="B1015" t="str">
            <v>Injection Cap</v>
          </cell>
          <cell r="C1015" t="str">
            <v>EA</v>
          </cell>
          <cell r="D1015">
            <v>22</v>
          </cell>
          <cell r="E1015">
            <v>1939</v>
          </cell>
        </row>
        <row r="1016">
          <cell r="A1016" t="str">
            <v>8317A-1</v>
          </cell>
          <cell r="B1016" t="str">
            <v>1.75" X 0.5" P/P LABELS</v>
          </cell>
          <cell r="C1016" t="str">
            <v>EA</v>
          </cell>
        </row>
        <row r="1017">
          <cell r="A1017" t="str">
            <v>8329A</v>
          </cell>
          <cell r="B1017" t="str">
            <v>10ML .9%SOD/CHLOR VIAL RX</v>
          </cell>
          <cell r="C1017" t="str">
            <v>EA</v>
          </cell>
          <cell r="D1017" t="str">
            <v>DRUGS</v>
          </cell>
          <cell r="E1017">
            <v>965</v>
          </cell>
        </row>
        <row r="1018">
          <cell r="A1018" t="str">
            <v>8329C</v>
          </cell>
          <cell r="B1018" t="str">
            <v>VIAL ACCESS CANNULA,STER</v>
          </cell>
          <cell r="C1018" t="str">
            <v>EA</v>
          </cell>
        </row>
        <row r="1019">
          <cell r="A1019" t="str">
            <v>8329I</v>
          </cell>
          <cell r="B1019" t="str">
            <v>EN-4029 SOD/CHL10ML INSRT</v>
          </cell>
          <cell r="C1019" t="str">
            <v>EA</v>
          </cell>
          <cell r="D1019">
            <v>6</v>
          </cell>
          <cell r="E1019">
            <v>5634</v>
          </cell>
        </row>
        <row r="1020">
          <cell r="A1020" t="str">
            <v>8331C</v>
          </cell>
          <cell r="B1020" t="str">
            <v>1/2"X4" STERI-STRIP 3PK</v>
          </cell>
          <cell r="C1020" t="str">
            <v>EA</v>
          </cell>
          <cell r="D1020">
            <v>14</v>
          </cell>
          <cell r="E1020">
            <v>2124</v>
          </cell>
        </row>
        <row r="1021">
          <cell r="A1021" t="str">
            <v>8350S</v>
          </cell>
          <cell r="B1021" t="str">
            <v>UNPRINTED CTN</v>
          </cell>
          <cell r="C1021" t="str">
            <v>EA</v>
          </cell>
          <cell r="D1021" t="str">
            <v>MZ6</v>
          </cell>
          <cell r="E1021">
            <v>593</v>
          </cell>
        </row>
        <row r="1022">
          <cell r="A1022" t="str">
            <v>8366A</v>
          </cell>
          <cell r="B1022" t="str">
            <v>19G/CESTYL/C/E/CATHETER/K</v>
          </cell>
          <cell r="C1022" t="str">
            <v>EA</v>
          </cell>
          <cell r="D1022">
            <v>34</v>
          </cell>
          <cell r="E1022">
            <v>120</v>
          </cell>
        </row>
        <row r="1023">
          <cell r="A1023" t="str">
            <v>8380A</v>
          </cell>
          <cell r="B1023" t="str">
            <v>Trilon Glove M PF Wallet</v>
          </cell>
          <cell r="C1023" t="str">
            <v>PR</v>
          </cell>
          <cell r="D1023">
            <v>25</v>
          </cell>
          <cell r="E1023">
            <v>890</v>
          </cell>
        </row>
        <row r="1024">
          <cell r="A1024" t="str">
            <v>8401</v>
          </cell>
          <cell r="B1024" t="str">
            <v>4X8 12Ply Gze Sponge</v>
          </cell>
          <cell r="C1024" t="str">
            <v>EA</v>
          </cell>
          <cell r="D1024">
            <v>27</v>
          </cell>
          <cell r="E1024">
            <v>10047</v>
          </cell>
        </row>
        <row r="1025">
          <cell r="A1025" t="str">
            <v>8408A</v>
          </cell>
          <cell r="B1025" t="str">
            <v>30ML MEDICINE CUP</v>
          </cell>
          <cell r="C1025" t="str">
            <v>EA</v>
          </cell>
          <cell r="D1025">
            <v>34</v>
          </cell>
          <cell r="E1025">
            <v>36087</v>
          </cell>
        </row>
        <row r="1026">
          <cell r="A1026" t="str">
            <v>8408B</v>
          </cell>
          <cell r="B1026" t="str">
            <v>4X3/4"TRANSPARENT DRESS</v>
          </cell>
          <cell r="C1026" t="str">
            <v>EA</v>
          </cell>
          <cell r="D1026">
            <v>31</v>
          </cell>
          <cell r="E1026">
            <v>5721</v>
          </cell>
        </row>
        <row r="1027">
          <cell r="A1027" t="str">
            <v>8410C</v>
          </cell>
          <cell r="B1027" t="str">
            <v>CHLORAPREP 10.5ML ORANGE</v>
          </cell>
          <cell r="C1027" t="str">
            <v>EA</v>
          </cell>
          <cell r="D1027">
            <v>14</v>
          </cell>
          <cell r="E1027">
            <v>141</v>
          </cell>
        </row>
        <row r="1028">
          <cell r="A1028" t="str">
            <v>8410D</v>
          </cell>
          <cell r="B1028" t="str">
            <v>INSERT CHLORAPREP 10.5ML</v>
          </cell>
          <cell r="C1028" t="str">
            <v>EA</v>
          </cell>
          <cell r="D1028">
            <v>6</v>
          </cell>
          <cell r="E1028">
            <v>94536</v>
          </cell>
        </row>
        <row r="1029">
          <cell r="A1029" t="str">
            <v>8410S</v>
          </cell>
          <cell r="B1029" t="str">
            <v>UNPRINTED CTN</v>
          </cell>
          <cell r="C1029" t="str">
            <v>EA</v>
          </cell>
          <cell r="D1029" t="str">
            <v>MZ7</v>
          </cell>
          <cell r="E1029">
            <v>153</v>
          </cell>
        </row>
        <row r="1030">
          <cell r="A1030" t="str">
            <v>8412A</v>
          </cell>
          <cell r="B1030" t="str">
            <v>GERZOG MALLET</v>
          </cell>
          <cell r="C1030" t="str">
            <v>EA</v>
          </cell>
          <cell r="D1030">
            <v>38</v>
          </cell>
          <cell r="E1030">
            <v>103</v>
          </cell>
        </row>
        <row r="1031">
          <cell r="A1031" t="str">
            <v>8412B</v>
          </cell>
          <cell r="B1031" t="str">
            <v>10" MAYO HEGAR NEEDLE/H</v>
          </cell>
          <cell r="C1031" t="str">
            <v>EA</v>
          </cell>
          <cell r="D1031">
            <v>27</v>
          </cell>
          <cell r="E1031">
            <v>12</v>
          </cell>
        </row>
        <row r="1032">
          <cell r="A1032" t="str">
            <v>8412C</v>
          </cell>
          <cell r="B1032" t="str">
            <v>68"X 108"FULL BODY D/W4"F</v>
          </cell>
          <cell r="C1032" t="str">
            <v>EA</v>
          </cell>
          <cell r="D1032">
            <v>18</v>
          </cell>
          <cell r="E1032">
            <v>18</v>
          </cell>
        </row>
        <row r="1033">
          <cell r="A1033" t="str">
            <v>8412D</v>
          </cell>
          <cell r="B1033" t="str">
            <v>12"X12" CSR WRAP</v>
          </cell>
          <cell r="C1033" t="str">
            <v>EA</v>
          </cell>
          <cell r="D1033">
            <v>144</v>
          </cell>
          <cell r="E1033">
            <v>19571</v>
          </cell>
        </row>
        <row r="1034">
          <cell r="A1034" t="str">
            <v>8415D</v>
          </cell>
          <cell r="B1034" t="str">
            <v>15"X 15" CSR WRAP 100/PK</v>
          </cell>
          <cell r="C1034" t="str">
            <v>EA</v>
          </cell>
          <cell r="D1034">
            <v>144</v>
          </cell>
          <cell r="E1034">
            <v>14060</v>
          </cell>
        </row>
        <row r="1035">
          <cell r="A1035" t="str">
            <v>8418D</v>
          </cell>
          <cell r="B1035" t="str">
            <v>18"X 18" CSR WRAP</v>
          </cell>
          <cell r="C1035" t="str">
            <v>EA</v>
          </cell>
          <cell r="D1035">
            <v>144</v>
          </cell>
          <cell r="E1035">
            <v>667</v>
          </cell>
        </row>
        <row r="1036">
          <cell r="A1036" t="str">
            <v>8420D</v>
          </cell>
          <cell r="B1036" t="str">
            <v>20" X 20" CSR WRAP</v>
          </cell>
          <cell r="C1036" t="str">
            <v>EA</v>
          </cell>
          <cell r="D1036">
            <v>144</v>
          </cell>
          <cell r="E1036">
            <v>57104</v>
          </cell>
        </row>
        <row r="1037">
          <cell r="A1037" t="str">
            <v>8424D</v>
          </cell>
          <cell r="B1037" t="str">
            <v>24" X 24" CSR WRAP</v>
          </cell>
          <cell r="C1037" t="str">
            <v>EA</v>
          </cell>
          <cell r="D1037">
            <v>144</v>
          </cell>
          <cell r="E1037">
            <v>27442</v>
          </cell>
        </row>
        <row r="1038">
          <cell r="A1038" t="str">
            <v>8427-1</v>
          </cell>
          <cell r="B1038" t="str">
            <v>10CC SYR L/LOCK L/F301029</v>
          </cell>
          <cell r="C1038" t="str">
            <v>EA</v>
          </cell>
          <cell r="D1038" t="str">
            <v>CSF17</v>
          </cell>
          <cell r="E1038">
            <v>302577</v>
          </cell>
        </row>
        <row r="1039">
          <cell r="A1039" t="str">
            <v>8427-1</v>
          </cell>
          <cell r="B1039" t="str">
            <v>10CC SYR L/LOCK L/F301029</v>
          </cell>
          <cell r="C1039" t="str">
            <v>EA</v>
          </cell>
          <cell r="D1039">
            <v>29</v>
          </cell>
          <cell r="E1039">
            <v>110148</v>
          </cell>
        </row>
        <row r="1040">
          <cell r="A1040" t="str">
            <v>8430D</v>
          </cell>
          <cell r="B1040" t="str">
            <v>30" X 30" CSR WRAP</v>
          </cell>
          <cell r="C1040" t="str">
            <v>EA</v>
          </cell>
          <cell r="D1040">
            <v>144</v>
          </cell>
          <cell r="E1040">
            <v>12822</v>
          </cell>
        </row>
        <row r="1041">
          <cell r="A1041" t="str">
            <v>8430S</v>
          </cell>
          <cell r="B1041" t="str">
            <v>OUTER CTN FOR 843</v>
          </cell>
          <cell r="C1041" t="str">
            <v>EA</v>
          </cell>
          <cell r="D1041" t="str">
            <v>MZ6</v>
          </cell>
          <cell r="E1041">
            <v>375</v>
          </cell>
        </row>
        <row r="1042">
          <cell r="A1042" t="str">
            <v>8436D</v>
          </cell>
          <cell r="B1042" t="str">
            <v>36"X 36" CSR WRAP</v>
          </cell>
          <cell r="C1042" t="str">
            <v>EA</v>
          </cell>
          <cell r="D1042">
            <v>144</v>
          </cell>
          <cell r="E1042">
            <v>709</v>
          </cell>
        </row>
        <row r="1043">
          <cell r="A1043" t="str">
            <v>8440C-1</v>
          </cell>
          <cell r="B1043" t="str">
            <v>FOAM INSTR/HLD W/10/SLIT</v>
          </cell>
          <cell r="C1043" t="str">
            <v>EA</v>
          </cell>
          <cell r="D1043">
            <v>34</v>
          </cell>
          <cell r="E1043">
            <v>6643</v>
          </cell>
        </row>
        <row r="1044">
          <cell r="A1044" t="str">
            <v>8440D</v>
          </cell>
          <cell r="B1044" t="str">
            <v>40"X40" CSR WRAP</v>
          </cell>
          <cell r="C1044" t="str">
            <v>EA</v>
          </cell>
          <cell r="D1044">
            <v>144</v>
          </cell>
          <cell r="E1044">
            <v>680</v>
          </cell>
        </row>
        <row r="1045">
          <cell r="A1045" t="str">
            <v>8441</v>
          </cell>
          <cell r="B1045" t="str">
            <v>Ster 30Gaugex.5" Needle</v>
          </cell>
          <cell r="C1045" t="str">
            <v>EA</v>
          </cell>
          <cell r="D1045" t="str">
            <v>N4</v>
          </cell>
          <cell r="E1045">
            <v>725</v>
          </cell>
        </row>
        <row r="1046">
          <cell r="A1046" t="str">
            <v>8445D</v>
          </cell>
          <cell r="B1046" t="str">
            <v>45X45 CSR WRAP</v>
          </cell>
          <cell r="C1046" t="str">
            <v>EA</v>
          </cell>
          <cell r="D1046">
            <v>144</v>
          </cell>
          <cell r="E1046">
            <v>583</v>
          </cell>
        </row>
        <row r="1047">
          <cell r="A1047" t="str">
            <v>8454D</v>
          </cell>
          <cell r="B1047" t="str">
            <v>54" X 54" CSR WRAP</v>
          </cell>
          <cell r="C1047" t="str">
            <v>EA</v>
          </cell>
          <cell r="D1047">
            <v>144</v>
          </cell>
          <cell r="E1047">
            <v>1192</v>
          </cell>
        </row>
        <row r="1048">
          <cell r="A1048" t="str">
            <v>8488A</v>
          </cell>
          <cell r="B1048" t="str">
            <v>18Gx1.5" Reli B/F/Needle</v>
          </cell>
          <cell r="C1048" t="str">
            <v>EA</v>
          </cell>
          <cell r="D1048" t="str">
            <v>N1</v>
          </cell>
          <cell r="E1048">
            <v>2135</v>
          </cell>
        </row>
        <row r="1049">
          <cell r="A1049" t="str">
            <v>8512-1</v>
          </cell>
          <cell r="B1049" t="str">
            <v>UNPRTD SHPR CTN FOR 851</v>
          </cell>
          <cell r="C1049" t="str">
            <v>EA</v>
          </cell>
          <cell r="D1049" t="str">
            <v>MZ5</v>
          </cell>
          <cell r="E1049">
            <v>336</v>
          </cell>
        </row>
        <row r="1050">
          <cell r="A1050" t="str">
            <v>8522-1</v>
          </cell>
          <cell r="B1050" t="str">
            <v>UNPRINTED CTN FOR 852</v>
          </cell>
          <cell r="C1050" t="str">
            <v>EA</v>
          </cell>
          <cell r="D1050" t="str">
            <v>MZ6</v>
          </cell>
          <cell r="E1050">
            <v>23</v>
          </cell>
        </row>
        <row r="1051">
          <cell r="A1051" t="str">
            <v>8532-1</v>
          </cell>
          <cell r="B1051" t="str">
            <v>SHIPPER CTN FOR 853</v>
          </cell>
          <cell r="C1051" t="str">
            <v>EA</v>
          </cell>
          <cell r="D1051" t="str">
            <v>MZ3</v>
          </cell>
          <cell r="E1051">
            <v>331</v>
          </cell>
        </row>
        <row r="1052">
          <cell r="A1052" t="str">
            <v>8542-1</v>
          </cell>
          <cell r="B1052" t="str">
            <v>UNPRINTED CTN</v>
          </cell>
          <cell r="C1052" t="str">
            <v>EA</v>
          </cell>
          <cell r="D1052" t="str">
            <v>MZ4</v>
          </cell>
          <cell r="E1052">
            <v>321</v>
          </cell>
        </row>
        <row r="1053">
          <cell r="A1053" t="str">
            <v>8554D</v>
          </cell>
          <cell r="B1053" t="str">
            <v>54" CSR Material</v>
          </cell>
          <cell r="C1053" t="str">
            <v>LY</v>
          </cell>
        </row>
        <row r="1054">
          <cell r="A1054" t="str">
            <v>8561A</v>
          </cell>
          <cell r="B1054" t="str">
            <v>18GX11/2'N/C/NEEDLE /STER</v>
          </cell>
          <cell r="C1054" t="str">
            <v>EA</v>
          </cell>
          <cell r="D1054" t="str">
            <v>N9</v>
          </cell>
          <cell r="E1054">
            <v>372</v>
          </cell>
        </row>
        <row r="1055">
          <cell r="A1055" t="str">
            <v>8561B</v>
          </cell>
          <cell r="B1055" t="str">
            <v>15"x15" Drape w/2 3/8"FEN</v>
          </cell>
          <cell r="C1055" t="str">
            <v>EA</v>
          </cell>
          <cell r="D1055">
            <v>22</v>
          </cell>
          <cell r="E1055">
            <v>572</v>
          </cell>
        </row>
        <row r="1056">
          <cell r="A1056" t="str">
            <v>8562-1</v>
          </cell>
          <cell r="B1056" t="str">
            <v>UNPRINTED CARTON 855/856</v>
          </cell>
          <cell r="C1056" t="str">
            <v>EA</v>
          </cell>
          <cell r="D1056" t="str">
            <v>MZ3</v>
          </cell>
          <cell r="E1056">
            <v>109</v>
          </cell>
        </row>
        <row r="1057">
          <cell r="A1057" t="str">
            <v>8600A</v>
          </cell>
          <cell r="B1057" t="str">
            <v>18GX3 1/2 HUSTEAD/N/W/F/W</v>
          </cell>
          <cell r="C1057" t="str">
            <v>EA</v>
          </cell>
          <cell r="D1057" t="str">
            <v>N10</v>
          </cell>
          <cell r="E1057">
            <v>95</v>
          </cell>
        </row>
        <row r="1058">
          <cell r="A1058" t="str">
            <v>8625A</v>
          </cell>
          <cell r="B1058" t="str">
            <v>36'X44"FLOUROS/COVER/W/T</v>
          </cell>
          <cell r="C1058" t="str">
            <v>EA</v>
          </cell>
          <cell r="D1058">
            <v>27</v>
          </cell>
          <cell r="E1058">
            <v>64</v>
          </cell>
        </row>
        <row r="1059">
          <cell r="A1059" t="str">
            <v>8650A</v>
          </cell>
          <cell r="B1059" t="str">
            <v>STER 4"X4" 12-PLY GAUZE</v>
          </cell>
          <cell r="C1059" t="str">
            <v>EA</v>
          </cell>
          <cell r="D1059">
            <v>14</v>
          </cell>
          <cell r="E1059">
            <v>83</v>
          </cell>
        </row>
        <row r="1060">
          <cell r="A1060" t="str">
            <v>8662C</v>
          </cell>
          <cell r="B1060" t="str">
            <v>HEPARIN SODIUM INJ/INSERT</v>
          </cell>
          <cell r="C1060" t="str">
            <v>EA</v>
          </cell>
        </row>
        <row r="1061">
          <cell r="A1061" t="str">
            <v>8668A</v>
          </cell>
          <cell r="B1061" t="str">
            <v>25G/1/4"NEEDLE ALUMIN/HUB</v>
          </cell>
          <cell r="C1061" t="str">
            <v>EA</v>
          </cell>
          <cell r="D1061" t="str">
            <v>N9</v>
          </cell>
          <cell r="E1061">
            <v>468</v>
          </cell>
        </row>
        <row r="1062">
          <cell r="A1062" t="str">
            <v>8756A-1</v>
          </cell>
          <cell r="B1062" t="str">
            <v>BACK TABLE COVER 44"X90"</v>
          </cell>
          <cell r="C1062" t="str">
            <v>EA</v>
          </cell>
          <cell r="D1062">
            <v>18</v>
          </cell>
          <cell r="E1062">
            <v>244</v>
          </cell>
        </row>
        <row r="1063">
          <cell r="A1063" t="str">
            <v>8762A</v>
          </cell>
          <cell r="B1063" t="str">
            <v>30ML1%LidocaineHOSPIRA RX</v>
          </cell>
          <cell r="C1063" t="str">
            <v>EA</v>
          </cell>
          <cell r="D1063" t="str">
            <v>DRUGS</v>
          </cell>
          <cell r="E1063">
            <v>54</v>
          </cell>
        </row>
        <row r="1064">
          <cell r="A1064" t="str">
            <v>8762I</v>
          </cell>
          <cell r="B1064" t="str">
            <v>InstSht Lidocaine HOSPIRA</v>
          </cell>
          <cell r="C1064" t="str">
            <v>EA</v>
          </cell>
          <cell r="D1064">
            <v>6</v>
          </cell>
          <cell r="E1064">
            <v>8931</v>
          </cell>
        </row>
        <row r="1065">
          <cell r="A1065" t="str">
            <v>8830A</v>
          </cell>
          <cell r="B1065" t="str">
            <v>20 GAUGE X 1 1/14 NEEDLE</v>
          </cell>
          <cell r="C1065" t="str">
            <v>EA</v>
          </cell>
          <cell r="D1065" t="str">
            <v>N9</v>
          </cell>
          <cell r="E1065">
            <v>69</v>
          </cell>
        </row>
        <row r="1066">
          <cell r="A1066" t="str">
            <v>8878A-1</v>
          </cell>
          <cell r="B1066" t="str">
            <v>10 ML L/F CONTROL SYRINGE</v>
          </cell>
          <cell r="C1066" t="str">
            <v>EA</v>
          </cell>
          <cell r="D1066">
            <v>23</v>
          </cell>
          <cell r="E1066">
            <v>63</v>
          </cell>
        </row>
        <row r="1067">
          <cell r="A1067" t="str">
            <v>8958B</v>
          </cell>
          <cell r="B1067" t="str">
            <v>2"X3 3/4" ADH BANDAGE</v>
          </cell>
          <cell r="C1067" t="str">
            <v>EA</v>
          </cell>
          <cell r="D1067">
            <v>15</v>
          </cell>
          <cell r="E1067">
            <v>1256</v>
          </cell>
        </row>
        <row r="1068">
          <cell r="A1068" t="str">
            <v>8963B</v>
          </cell>
          <cell r="B1068" t="str">
            <v>NO/STING ALCOHOL/F/P/STER</v>
          </cell>
          <cell r="C1068" t="str">
            <v>EA</v>
          </cell>
        </row>
        <row r="1069">
          <cell r="A1069" t="str">
            <v>8982A</v>
          </cell>
          <cell r="B1069" t="str">
            <v>1.6ML PREVANTIC SWABSTICK</v>
          </cell>
          <cell r="C1069" t="str">
            <v>EA</v>
          </cell>
        </row>
        <row r="1070">
          <cell r="A1070" t="str">
            <v>8982B</v>
          </cell>
          <cell r="B1070" t="str">
            <v>1.6ML SWABSTICK INSERT</v>
          </cell>
          <cell r="C1070" t="str">
            <v>EA</v>
          </cell>
          <cell r="D1070">
            <v>6</v>
          </cell>
          <cell r="E1070">
            <v>5082</v>
          </cell>
        </row>
        <row r="1071">
          <cell r="A1071" t="str">
            <v>9011S-1</v>
          </cell>
          <cell r="B1071" t="str">
            <v>UNPRINTED SHIPPER CARTON</v>
          </cell>
          <cell r="C1071" t="str">
            <v>EA</v>
          </cell>
          <cell r="D1071" t="str">
            <v>MZ4</v>
          </cell>
          <cell r="E1071">
            <v>1180</v>
          </cell>
        </row>
        <row r="1072">
          <cell r="A1072" t="str">
            <v>9011S-1</v>
          </cell>
          <cell r="B1072" t="str">
            <v>UNPRINTED SHIPPER CARTON</v>
          </cell>
          <cell r="C1072" t="str">
            <v>EA</v>
          </cell>
          <cell r="D1072" t="str">
            <v>MZ3</v>
          </cell>
          <cell r="E1072">
            <v>713</v>
          </cell>
        </row>
        <row r="1073">
          <cell r="A1073" t="str">
            <v>9013A-3</v>
          </cell>
          <cell r="B1073" t="str">
            <v>ID TAGS-STAND.PRECAUTION</v>
          </cell>
          <cell r="C1073" t="str">
            <v>SE</v>
          </cell>
          <cell r="D1073">
            <v>58</v>
          </cell>
          <cell r="E1073">
            <v>66699</v>
          </cell>
        </row>
        <row r="1074">
          <cell r="A1074" t="str">
            <v>901D</v>
          </cell>
          <cell r="B1074" t="str">
            <v>Post Mortem Bag / white</v>
          </cell>
          <cell r="C1074" t="str">
            <v>EA</v>
          </cell>
          <cell r="D1074">
            <v>144</v>
          </cell>
          <cell r="E1074">
            <v>24472</v>
          </cell>
        </row>
        <row r="1075">
          <cell r="A1075" t="str">
            <v>902D</v>
          </cell>
          <cell r="B1075" t="str">
            <v>Ylw Body Bag Repack P/Bag</v>
          </cell>
          <cell r="C1075" t="str">
            <v>EA</v>
          </cell>
          <cell r="D1075">
            <v>144</v>
          </cell>
          <cell r="E1075">
            <v>931</v>
          </cell>
        </row>
        <row r="1076">
          <cell r="A1076" t="str">
            <v>9053</v>
          </cell>
          <cell r="B1076" t="str">
            <v>5"Insert Forceps for 9055</v>
          </cell>
          <cell r="C1076" t="str">
            <v>EA</v>
          </cell>
          <cell r="D1076">
            <v>44</v>
          </cell>
          <cell r="E1076">
            <v>4258</v>
          </cell>
        </row>
        <row r="1077">
          <cell r="A1077" t="str">
            <v>905D-1</v>
          </cell>
          <cell r="B1077" t="str">
            <v>Infant Post Mortem Bag</v>
          </cell>
          <cell r="C1077" t="str">
            <v>EA</v>
          </cell>
          <cell r="D1077">
            <v>144</v>
          </cell>
          <cell r="E1077">
            <v>1746</v>
          </cell>
        </row>
        <row r="1078">
          <cell r="A1078" t="str">
            <v>906D-1</v>
          </cell>
          <cell r="B1078" t="str">
            <v>PEDIATRIC POST MORTEM BAG</v>
          </cell>
          <cell r="C1078" t="str">
            <v>EA</v>
          </cell>
          <cell r="D1078">
            <v>144</v>
          </cell>
          <cell r="E1078">
            <v>1982</v>
          </cell>
        </row>
        <row r="1079">
          <cell r="A1079" t="str">
            <v>9074S</v>
          </cell>
          <cell r="B1079" t="str">
            <v>Doublewalled Shipper Ctn</v>
          </cell>
          <cell r="C1079" t="str">
            <v>EA</v>
          </cell>
          <cell r="D1079" t="str">
            <v>MZ1</v>
          </cell>
          <cell r="E1079">
            <v>1308</v>
          </cell>
        </row>
        <row r="1080">
          <cell r="A1080" t="str">
            <v>907D</v>
          </cell>
          <cell r="B1080" t="str">
            <v>Wht Body Bag w/cvd zipper</v>
          </cell>
          <cell r="C1080" t="str">
            <v>EA</v>
          </cell>
          <cell r="D1080">
            <v>144</v>
          </cell>
          <cell r="E1080">
            <v>8702</v>
          </cell>
        </row>
        <row r="1081">
          <cell r="A1081" t="str">
            <v>909D</v>
          </cell>
          <cell r="B1081" t="str">
            <v>X-LG HEAVY D/POST/M/BAG</v>
          </cell>
          <cell r="C1081" t="str">
            <v>EA</v>
          </cell>
          <cell r="D1081">
            <v>144</v>
          </cell>
          <cell r="E1081">
            <v>1947</v>
          </cell>
        </row>
        <row r="1082">
          <cell r="A1082" t="str">
            <v>9103</v>
          </cell>
          <cell r="B1082" t="str">
            <v>SterEndoTestopk5000492/10</v>
          </cell>
          <cell r="C1082" t="str">
            <v>CS</v>
          </cell>
        </row>
        <row r="1083">
          <cell r="A1083" t="str">
            <v>9103B</v>
          </cell>
          <cell r="B1083" t="str">
            <v>4" X 4" 16-PLY G/DRESSING</v>
          </cell>
          <cell r="C1083" t="str">
            <v>EA</v>
          </cell>
          <cell r="D1083">
            <v>18</v>
          </cell>
          <cell r="E1083">
            <v>61282</v>
          </cell>
        </row>
        <row r="1084">
          <cell r="A1084" t="str">
            <v>9103C</v>
          </cell>
          <cell r="B1084" t="str">
            <v>Ster Lg Alcohol Prep Pad</v>
          </cell>
          <cell r="C1084" t="str">
            <v>EA</v>
          </cell>
          <cell r="D1084">
            <v>16</v>
          </cell>
          <cell r="E1084">
            <v>48718</v>
          </cell>
        </row>
        <row r="1085">
          <cell r="A1085" t="str">
            <v>9103D</v>
          </cell>
          <cell r="B1085" t="str">
            <v>Benz Tincture Swabs Ster</v>
          </cell>
          <cell r="C1085" t="str">
            <v>EA</v>
          </cell>
          <cell r="D1085">
            <v>15</v>
          </cell>
          <cell r="E1085">
            <v>12098</v>
          </cell>
        </row>
        <row r="1086">
          <cell r="A1086" t="str">
            <v>9103F</v>
          </cell>
          <cell r="B1086" t="str">
            <v>27 Gauge x 1 1/2" Needle</v>
          </cell>
          <cell r="C1086" t="str">
            <v>EA</v>
          </cell>
          <cell r="D1086" t="str">
            <v>N10</v>
          </cell>
          <cell r="E1086">
            <v>12725</v>
          </cell>
        </row>
        <row r="1087">
          <cell r="A1087" t="str">
            <v>9103G</v>
          </cell>
          <cell r="B1087" t="str">
            <v>Scalpel With #11 Blade</v>
          </cell>
          <cell r="C1087" t="str">
            <v>EA</v>
          </cell>
          <cell r="D1087">
            <v>21</v>
          </cell>
          <cell r="E1087">
            <v>1592</v>
          </cell>
        </row>
        <row r="1088">
          <cell r="A1088" t="str">
            <v>9103H</v>
          </cell>
          <cell r="B1088" t="str">
            <v>1/4" X 3" Steri-Strips 3</v>
          </cell>
          <cell r="C1088" t="str">
            <v>EA</v>
          </cell>
          <cell r="D1088">
            <v>14</v>
          </cell>
          <cell r="E1088">
            <v>13197</v>
          </cell>
        </row>
        <row r="1089">
          <cell r="A1089" t="str">
            <v>9103J</v>
          </cell>
          <cell r="B1089" t="str">
            <v>Skin Marker</v>
          </cell>
          <cell r="C1089" t="str">
            <v>EA</v>
          </cell>
          <cell r="D1089">
            <v>21</v>
          </cell>
          <cell r="E1089">
            <v>13386</v>
          </cell>
        </row>
        <row r="1090">
          <cell r="A1090" t="str">
            <v>9103K</v>
          </cell>
          <cell r="B1090" t="str">
            <v>4.74"x5.4"x1" Shallow Try</v>
          </cell>
          <cell r="C1090" t="str">
            <v>EA</v>
          </cell>
          <cell r="D1090">
            <v>27</v>
          </cell>
          <cell r="E1090">
            <v>12584</v>
          </cell>
        </row>
        <row r="1091">
          <cell r="A1091" t="str">
            <v>9103L</v>
          </cell>
          <cell r="B1091" t="str">
            <v>1oz Medicine Cup</v>
          </cell>
          <cell r="C1091" t="str">
            <v>EA</v>
          </cell>
          <cell r="D1091">
            <v>27</v>
          </cell>
          <cell r="E1091">
            <v>42550</v>
          </cell>
        </row>
        <row r="1092">
          <cell r="A1092" t="str">
            <v>9103S</v>
          </cell>
          <cell r="B1092" t="str">
            <v>SHIPPER CTN - DOUBLE WALL</v>
          </cell>
          <cell r="C1092" t="str">
            <v>EA</v>
          </cell>
          <cell r="D1092" t="str">
            <v>MZ1</v>
          </cell>
          <cell r="E1092">
            <v>1148</v>
          </cell>
        </row>
        <row r="1093">
          <cell r="A1093" t="str">
            <v>911BG</v>
          </cell>
          <cell r="B1093" t="str">
            <v>Subassembly for 911</v>
          </cell>
          <cell r="C1093" t="str">
            <v>EA</v>
          </cell>
          <cell r="D1093">
            <v>58</v>
          </cell>
          <cell r="E1093">
            <v>3300</v>
          </cell>
        </row>
        <row r="1094">
          <cell r="A1094" t="str">
            <v>911BG</v>
          </cell>
          <cell r="B1094" t="str">
            <v>Subassembly for 911</v>
          </cell>
          <cell r="C1094" t="str">
            <v>EA</v>
          </cell>
          <cell r="D1094">
            <v>57</v>
          </cell>
          <cell r="E1094">
            <v>2080</v>
          </cell>
        </row>
        <row r="1095">
          <cell r="A1095" t="str">
            <v>911D-1</v>
          </cell>
          <cell r="B1095" t="str">
            <v>HEAVY/D/P./MORTEM/W/HSEAL</v>
          </cell>
          <cell r="C1095" t="str">
            <v>EA</v>
          </cell>
          <cell r="D1095">
            <v>144</v>
          </cell>
          <cell r="E1095">
            <v>4378</v>
          </cell>
        </row>
        <row r="1096">
          <cell r="A1096" t="str">
            <v>911L</v>
          </cell>
          <cell r="B1096" t="str">
            <v>Precaution Label</v>
          </cell>
          <cell r="C1096" t="str">
            <v>EA</v>
          </cell>
          <cell r="D1096">
            <v>29</v>
          </cell>
          <cell r="E1096">
            <v>49985</v>
          </cell>
        </row>
        <row r="1097">
          <cell r="A1097" t="str">
            <v>911SC-1</v>
          </cell>
          <cell r="B1097" t="str">
            <v>SHIPPER CTN FOR 911 ETC</v>
          </cell>
          <cell r="C1097" t="str">
            <v>EA</v>
          </cell>
          <cell r="D1097" t="str">
            <v>MZ3</v>
          </cell>
          <cell r="E1097">
            <v>1829</v>
          </cell>
        </row>
        <row r="1098">
          <cell r="A1098" t="str">
            <v>913A</v>
          </cell>
          <cell r="B1098" t="str">
            <v>XL 72" x 108" Shroud Pack</v>
          </cell>
          <cell r="C1098" t="str">
            <v>EA</v>
          </cell>
        </row>
        <row r="1099">
          <cell r="A1099" t="str">
            <v>9142</v>
          </cell>
          <cell r="B1099" t="str">
            <v>Tongue Blade</v>
          </cell>
          <cell r="C1099" t="str">
            <v>EA</v>
          </cell>
          <cell r="D1099">
            <v>18</v>
          </cell>
          <cell r="E1099">
            <v>1289</v>
          </cell>
        </row>
        <row r="1100">
          <cell r="A1100" t="str">
            <v>914D</v>
          </cell>
          <cell r="B1100" t="str">
            <v>EVA BODY BAG W/STR ZIPPER</v>
          </cell>
          <cell r="C1100" t="str">
            <v>EA</v>
          </cell>
          <cell r="D1100">
            <v>144</v>
          </cell>
          <cell r="E1100">
            <v>392</v>
          </cell>
        </row>
        <row r="1101">
          <cell r="A1101" t="str">
            <v>9157A</v>
          </cell>
          <cell r="B1101" t="str">
            <v>5.5"Mayo Scissor Curved</v>
          </cell>
          <cell r="C1101" t="str">
            <v>EA</v>
          </cell>
          <cell r="D1101">
            <v>27</v>
          </cell>
          <cell r="E1101">
            <v>583</v>
          </cell>
        </row>
        <row r="1102">
          <cell r="A1102" t="str">
            <v>9157C</v>
          </cell>
          <cell r="B1102" t="str">
            <v>5"Thumb Forcep w/1x2Teeth</v>
          </cell>
          <cell r="C1102" t="str">
            <v>EA</v>
          </cell>
          <cell r="D1102">
            <v>38</v>
          </cell>
          <cell r="E1102">
            <v>183</v>
          </cell>
        </row>
        <row r="1103">
          <cell r="A1103" t="str">
            <v>9157D</v>
          </cell>
          <cell r="B1103" t="str">
            <v>5" THUMB DRESS FORCEP</v>
          </cell>
          <cell r="C1103" t="str">
            <v>EA</v>
          </cell>
          <cell r="D1103">
            <v>27</v>
          </cell>
          <cell r="E1103">
            <v>783</v>
          </cell>
        </row>
        <row r="1104">
          <cell r="A1104" t="str">
            <v>91710</v>
          </cell>
          <cell r="B1104" t="str">
            <v>TYPE:Ster S/C/Metzenb100c</v>
          </cell>
          <cell r="C1104" t="str">
            <v>CS</v>
          </cell>
        </row>
        <row r="1105">
          <cell r="A1105" t="str">
            <v>91710A</v>
          </cell>
          <cell r="B1105" t="str">
            <v>CURVED METZENBAUM</v>
          </cell>
          <cell r="C1105" t="str">
            <v>EA</v>
          </cell>
        </row>
        <row r="1106">
          <cell r="A1106" t="str">
            <v>91715A</v>
          </cell>
          <cell r="B1106" t="str">
            <v>WIDE CURVED METZENBAUM</v>
          </cell>
          <cell r="C1106" t="str">
            <v>EA</v>
          </cell>
        </row>
        <row r="1107">
          <cell r="A1107" t="str">
            <v>91730A</v>
          </cell>
          <cell r="B1107" t="str">
            <v>MINI CURVED METZENBAUM</v>
          </cell>
          <cell r="C1107" t="str">
            <v>EA</v>
          </cell>
        </row>
        <row r="1108">
          <cell r="A1108" t="str">
            <v>9175C</v>
          </cell>
          <cell r="B1108" t="str">
            <v>L/Walleted Vinyl N/G Glov</v>
          </cell>
          <cell r="C1108" t="str">
            <v>PR</v>
          </cell>
          <cell r="D1108">
            <v>27</v>
          </cell>
          <cell r="E1108">
            <v>759</v>
          </cell>
        </row>
        <row r="1109">
          <cell r="A1109" t="str">
            <v>918D</v>
          </cell>
          <cell r="B1109" t="str">
            <v>EVA HEAVY D/P/MORTEM B/WH</v>
          </cell>
          <cell r="C1109" t="str">
            <v>EA</v>
          </cell>
          <cell r="D1109">
            <v>144</v>
          </cell>
          <cell r="E1109">
            <v>770</v>
          </cell>
        </row>
        <row r="1110">
          <cell r="A1110" t="str">
            <v>9200A</v>
          </cell>
          <cell r="B1110" t="str">
            <v>BLACK DISASTER BAG 1EA</v>
          </cell>
          <cell r="C1110" t="str">
            <v>EA</v>
          </cell>
          <cell r="D1110">
            <v>144</v>
          </cell>
          <cell r="E1110">
            <v>504</v>
          </cell>
        </row>
        <row r="1111">
          <cell r="A1111" t="str">
            <v>9227</v>
          </cell>
          <cell r="B1111" t="str">
            <v>Ster Pellet Del System10c</v>
          </cell>
          <cell r="C1111" t="str">
            <v>CS</v>
          </cell>
          <cell r="D1111" t="str">
            <v>INSP</v>
          </cell>
          <cell r="E1111">
            <v>90</v>
          </cell>
        </row>
        <row r="1112">
          <cell r="A1112" t="str">
            <v>9227D</v>
          </cell>
          <cell r="B1112" t="str">
            <v>Dispenser Box</v>
          </cell>
          <cell r="C1112" t="str">
            <v>EA</v>
          </cell>
        </row>
        <row r="1113">
          <cell r="A1113" t="str">
            <v>9227D-2</v>
          </cell>
          <cell r="B1113" t="str">
            <v>Printed Disp Pellecome</v>
          </cell>
          <cell r="C1113" t="str">
            <v>EA</v>
          </cell>
          <cell r="D1113" t="str">
            <v>MZ7</v>
          </cell>
          <cell r="E1113">
            <v>1252</v>
          </cell>
        </row>
        <row r="1114">
          <cell r="A1114" t="str">
            <v>9227DW-1</v>
          </cell>
          <cell r="B1114" t="str">
            <v>Double Walled Carton</v>
          </cell>
          <cell r="C1114" t="str">
            <v>EA</v>
          </cell>
          <cell r="D1114" t="str">
            <v>MZ7</v>
          </cell>
          <cell r="E1114">
            <v>547</v>
          </cell>
        </row>
        <row r="1115">
          <cell r="A1115" t="str">
            <v>922D-1</v>
          </cell>
          <cell r="B1115" t="str">
            <v>XL POST MORT BAG/CVD ZIP</v>
          </cell>
          <cell r="C1115" t="str">
            <v>EA</v>
          </cell>
          <cell r="D1115">
            <v>144</v>
          </cell>
          <cell r="E1115">
            <v>1644</v>
          </cell>
        </row>
        <row r="1116">
          <cell r="A1116" t="str">
            <v>9238</v>
          </cell>
          <cell r="B1116" t="str">
            <v>REFILL KIT (6/CS)</v>
          </cell>
          <cell r="C1116" t="str">
            <v>CS</v>
          </cell>
        </row>
        <row r="1117">
          <cell r="A1117" t="str">
            <v>9238A</v>
          </cell>
          <cell r="B1117" t="str">
            <v>8" Small Bore Exten Set</v>
          </cell>
          <cell r="C1117" t="str">
            <v>EA</v>
          </cell>
        </row>
        <row r="1118">
          <cell r="A1118" t="str">
            <v>9238DD</v>
          </cell>
          <cell r="B1118" t="str">
            <v>DRILLED BARREL CAP W/VENT</v>
          </cell>
          <cell r="C1118" t="str">
            <v>EA</v>
          </cell>
        </row>
        <row r="1119">
          <cell r="A1119" t="str">
            <v>9238DW</v>
          </cell>
          <cell r="B1119" t="str">
            <v>Double Walled Shipper Ctn</v>
          </cell>
          <cell r="C1119" t="str">
            <v>EA</v>
          </cell>
          <cell r="D1119" t="str">
            <v>MZ7</v>
          </cell>
          <cell r="E1119">
            <v>451</v>
          </cell>
        </row>
        <row r="1120">
          <cell r="A1120" t="str">
            <v>923D</v>
          </cell>
          <cell r="B1120" t="str">
            <v>PM Bag black cvd zipper</v>
          </cell>
          <cell r="C1120" t="str">
            <v>EA</v>
          </cell>
          <cell r="D1120">
            <v>144</v>
          </cell>
          <cell r="E1120">
            <v>705</v>
          </cell>
        </row>
        <row r="1121">
          <cell r="A1121" t="str">
            <v>924PM</v>
          </cell>
          <cell r="B1121" t="str">
            <v>COMP FOR PM BAG &amp; KIT</v>
          </cell>
          <cell r="C1121" t="str">
            <v>EA</v>
          </cell>
        </row>
        <row r="1122">
          <cell r="A1122" t="str">
            <v>925D</v>
          </cell>
          <cell r="B1122" t="str">
            <v>HD PM bag black cv zipper</v>
          </cell>
          <cell r="C1122" t="str">
            <v>EA</v>
          </cell>
        </row>
        <row r="1123">
          <cell r="A1123" t="str">
            <v>9262</v>
          </cell>
          <cell r="B1123" t="str">
            <v>#6 003 Lg Cotton Ball</v>
          </cell>
          <cell r="C1123" t="str">
            <v>EA</v>
          </cell>
          <cell r="D1123">
            <v>23</v>
          </cell>
          <cell r="E1123">
            <v>3907</v>
          </cell>
        </row>
        <row r="1124">
          <cell r="A1124" t="str">
            <v>9264</v>
          </cell>
          <cell r="B1124" t="str">
            <v>UNPRINTED CARTON</v>
          </cell>
          <cell r="C1124" t="str">
            <v>EA</v>
          </cell>
          <cell r="D1124" t="str">
            <v>MZ1</v>
          </cell>
          <cell r="E1124">
            <v>3529</v>
          </cell>
        </row>
        <row r="1125">
          <cell r="A1125" t="str">
            <v>9280B</v>
          </cell>
          <cell r="B1125" t="str">
            <v>60" X 90" TABLE COVER F/F</v>
          </cell>
          <cell r="C1125" t="str">
            <v>EA</v>
          </cell>
          <cell r="D1125">
            <v>19</v>
          </cell>
          <cell r="E1125">
            <v>68</v>
          </cell>
        </row>
        <row r="1126">
          <cell r="A1126" t="str">
            <v>9292DW</v>
          </cell>
          <cell r="B1126" t="str">
            <v>Double-Walled Carton</v>
          </cell>
          <cell r="C1126" t="str">
            <v>EA</v>
          </cell>
        </row>
        <row r="1127">
          <cell r="A1127" t="str">
            <v>9297</v>
          </cell>
          <cell r="B1127" t="str">
            <v>1"x18"Micropore Tape</v>
          </cell>
          <cell r="C1127" t="str">
            <v>EA</v>
          </cell>
          <cell r="D1127">
            <v>21</v>
          </cell>
          <cell r="E1127">
            <v>650</v>
          </cell>
        </row>
        <row r="1128">
          <cell r="A1128" t="str">
            <v>9308A</v>
          </cell>
          <cell r="B1128" t="str">
            <v>Ster 20GX1.5" Safety Need</v>
          </cell>
          <cell r="C1128" t="str">
            <v>EA</v>
          </cell>
          <cell r="D1128" t="str">
            <v>N9</v>
          </cell>
          <cell r="E1128">
            <v>183</v>
          </cell>
        </row>
        <row r="1129">
          <cell r="A1129" t="str">
            <v>9318A</v>
          </cell>
          <cell r="B1129" t="str">
            <v>4.5" Splinter Forcep w/TP</v>
          </cell>
          <cell r="C1129" t="str">
            <v>EA</v>
          </cell>
          <cell r="D1129">
            <v>38</v>
          </cell>
          <cell r="E1129">
            <v>86</v>
          </cell>
        </row>
        <row r="1130">
          <cell r="A1130" t="str">
            <v>9324A</v>
          </cell>
          <cell r="B1130" t="str">
            <v>Assembly Diagram</v>
          </cell>
          <cell r="C1130" t="str">
            <v>EA</v>
          </cell>
          <cell r="D1130">
            <v>6</v>
          </cell>
          <cell r="E1130">
            <v>477</v>
          </cell>
        </row>
        <row r="1131">
          <cell r="A1131" t="str">
            <v>9324AF</v>
          </cell>
          <cell r="B1131" t="str">
            <v>ASSM BLDUSTCAP W/ SSTRAW</v>
          </cell>
          <cell r="C1131" t="str">
            <v>EA</v>
          </cell>
        </row>
        <row r="1132">
          <cell r="A1132" t="str">
            <v>9324AS</v>
          </cell>
          <cell r="B1132" t="str">
            <v>ASSEMBLED 80cc SPEC VIAL</v>
          </cell>
          <cell r="C1132" t="str">
            <v>EA</v>
          </cell>
          <cell r="D1132" t="str">
            <v>J</v>
          </cell>
          <cell r="E1132">
            <v>107</v>
          </cell>
        </row>
        <row r="1133">
          <cell r="A1133" t="str">
            <v>9324BF</v>
          </cell>
          <cell r="B1133" t="str">
            <v>ASSEM CEALOGIC CAP</v>
          </cell>
          <cell r="C1133" t="str">
            <v>EA</v>
          </cell>
        </row>
        <row r="1134">
          <cell r="A1134" t="str">
            <v>9324C</v>
          </cell>
          <cell r="B1134" t="str">
            <v>2"X1" Specimen Label 2/SH</v>
          </cell>
          <cell r="C1134" t="str">
            <v>SH</v>
          </cell>
        </row>
        <row r="1135">
          <cell r="A1135" t="str">
            <v>9324CF</v>
          </cell>
          <cell r="B1135" t="str">
            <v>ASSM CEALOGIC CAP &amp; TUBE</v>
          </cell>
          <cell r="C1135" t="str">
            <v>EA</v>
          </cell>
        </row>
        <row r="1136">
          <cell r="A1136" t="str">
            <v>9324D</v>
          </cell>
          <cell r="B1136" t="str">
            <v>1.75"X0.5 Product Sticker</v>
          </cell>
          <cell r="C1136" t="str">
            <v>EA</v>
          </cell>
        </row>
        <row r="1137">
          <cell r="A1137" t="str">
            <v>9324F</v>
          </cell>
          <cell r="B1137" t="str">
            <v>CEALOGIC 3 PORT CAP</v>
          </cell>
          <cell r="C1137" t="str">
            <v>EA</v>
          </cell>
          <cell r="D1137">
            <v>29</v>
          </cell>
          <cell r="E1137">
            <v>50</v>
          </cell>
        </row>
        <row r="1138">
          <cell r="A1138" t="str">
            <v>9324G</v>
          </cell>
          <cell r="B1138" t="str">
            <v>SUCTION STRAW (EXT SET)</v>
          </cell>
          <cell r="C1138" t="str">
            <v>EA</v>
          </cell>
          <cell r="D1138">
            <v>27</v>
          </cell>
          <cell r="E1138">
            <v>8858</v>
          </cell>
        </row>
        <row r="1139">
          <cell r="A1139" t="str">
            <v>9324H</v>
          </cell>
          <cell r="B1139" t="str">
            <v>BLUE DUST CAP FOR RECIBIO</v>
          </cell>
          <cell r="C1139" t="str">
            <v>EA</v>
          </cell>
          <cell r="D1139">
            <v>14</v>
          </cell>
          <cell r="E1139">
            <v>400</v>
          </cell>
        </row>
        <row r="1140">
          <cell r="A1140" t="str">
            <v>9324P</v>
          </cell>
          <cell r="B1140" t="str">
            <v>PRINTING 80cc VIAL</v>
          </cell>
          <cell r="C1140" t="str">
            <v>EA</v>
          </cell>
        </row>
        <row r="1141">
          <cell r="A1141" t="str">
            <v>9336C-1</v>
          </cell>
          <cell r="B1141" t="str">
            <v>STER 27 ga x 1.25 NEEDLE</v>
          </cell>
          <cell r="C1141" t="str">
            <v>EA</v>
          </cell>
          <cell r="D1141" t="str">
            <v>N3</v>
          </cell>
          <cell r="E1141">
            <v>15298</v>
          </cell>
        </row>
        <row r="1142">
          <cell r="A1142" t="str">
            <v>9336D-1</v>
          </cell>
          <cell r="B1142" t="str">
            <v>STER 25GA X 5/8" NDLE E/D</v>
          </cell>
          <cell r="C1142" t="str">
            <v>EA</v>
          </cell>
          <cell r="D1142" t="str">
            <v>N5</v>
          </cell>
          <cell r="E1142">
            <v>658</v>
          </cell>
        </row>
        <row r="1143">
          <cell r="A1143" t="str">
            <v>9355</v>
          </cell>
          <cell r="B1143" t="str">
            <v>Ster Cealogic R/A Kit 5cs</v>
          </cell>
          <cell r="C1143" t="str">
            <v>CS</v>
          </cell>
        </row>
        <row r="1144">
          <cell r="A1144" t="str">
            <v>9355A</v>
          </cell>
          <cell r="B1144" t="str">
            <v>1.75"X.5" Product Sticker</v>
          </cell>
          <cell r="C1144" t="str">
            <v>SH</v>
          </cell>
        </row>
        <row r="1145">
          <cell r="A1145" t="str">
            <v>9355B</v>
          </cell>
          <cell r="B1145" t="str">
            <v>Single Use Dispenser 11:1</v>
          </cell>
          <cell r="C1145" t="str">
            <v>EA</v>
          </cell>
          <cell r="D1145">
            <v>31</v>
          </cell>
          <cell r="E1145">
            <v>999</v>
          </cell>
        </row>
        <row r="1146">
          <cell r="A1146" t="str">
            <v>9355C</v>
          </cell>
          <cell r="B1146" t="str">
            <v>15mm Adpater Luer Lock</v>
          </cell>
          <cell r="C1146" t="str">
            <v>EA</v>
          </cell>
          <cell r="D1146">
            <v>34</v>
          </cell>
          <cell r="E1146">
            <v>990</v>
          </cell>
        </row>
        <row r="1147">
          <cell r="A1147" t="str">
            <v>9355D</v>
          </cell>
          <cell r="B1147" t="str">
            <v>Luer Spray</v>
          </cell>
          <cell r="C1147" t="str">
            <v>EA</v>
          </cell>
          <cell r="D1147">
            <v>30</v>
          </cell>
          <cell r="E1147">
            <v>1468</v>
          </cell>
        </row>
        <row r="1148">
          <cell r="A1148" t="str">
            <v>9355E</v>
          </cell>
          <cell r="B1148" t="str">
            <v>ASSEMBLY DIAGRAM</v>
          </cell>
          <cell r="C1148" t="str">
            <v>EA</v>
          </cell>
          <cell r="D1148">
            <v>26</v>
          </cell>
          <cell r="E1148">
            <v>466</v>
          </cell>
        </row>
        <row r="1149">
          <cell r="A1149" t="str">
            <v>9355P</v>
          </cell>
          <cell r="B1149" t="str">
            <v>40CC PRINTED VIAL RECIBIO</v>
          </cell>
          <cell r="C1149" t="str">
            <v>EA</v>
          </cell>
        </row>
        <row r="1150">
          <cell r="A1150" t="str">
            <v>9381-1</v>
          </cell>
          <cell r="B1150" t="str">
            <v>3ML LUER LOCK SYR.L/F</v>
          </cell>
          <cell r="C1150" t="str">
            <v>EA</v>
          </cell>
          <cell r="D1150">
            <v>30</v>
          </cell>
          <cell r="E1150">
            <v>28937</v>
          </cell>
        </row>
        <row r="1151">
          <cell r="A1151" t="str">
            <v>9381-2</v>
          </cell>
          <cell r="B1151" t="str">
            <v>BD 3CC L/L SYRINGE</v>
          </cell>
          <cell r="C1151" t="str">
            <v>EA</v>
          </cell>
          <cell r="D1151">
            <v>6</v>
          </cell>
          <cell r="E1151">
            <v>33336</v>
          </cell>
        </row>
        <row r="1152">
          <cell r="A1152" t="str">
            <v>9381A</v>
          </cell>
          <cell r="B1152" t="str">
            <v>3ML L/L SYRINGE</v>
          </cell>
          <cell r="C1152" t="str">
            <v>EA</v>
          </cell>
        </row>
        <row r="1153">
          <cell r="A1153" t="str">
            <v>9387A</v>
          </cell>
          <cell r="B1153" t="str">
            <v>16" Procto Swab</v>
          </cell>
          <cell r="C1153" t="str">
            <v>EA</v>
          </cell>
          <cell r="D1153">
            <v>21</v>
          </cell>
          <cell r="E1153">
            <v>49</v>
          </cell>
        </row>
        <row r="1154">
          <cell r="A1154" t="str">
            <v>9414-1</v>
          </cell>
          <cell r="B1154" t="str">
            <v>BZK FOR NONSTER PKG ONLY</v>
          </cell>
          <cell r="C1154" t="str">
            <v>EA</v>
          </cell>
          <cell r="D1154">
            <v>14</v>
          </cell>
          <cell r="E1154">
            <v>3689</v>
          </cell>
        </row>
        <row r="1155">
          <cell r="A1155" t="str">
            <v>9446</v>
          </cell>
          <cell r="B1155" t="str">
            <v>13x15"Tower Tear Bag</v>
          </cell>
          <cell r="C1155" t="str">
            <v>EA</v>
          </cell>
          <cell r="D1155">
            <v>26</v>
          </cell>
          <cell r="E1155">
            <v>1158</v>
          </cell>
        </row>
        <row r="1156">
          <cell r="A1156" t="str">
            <v>9449A</v>
          </cell>
          <cell r="B1156" t="str">
            <v>12X20 TOWER TEAR BAG Q/C</v>
          </cell>
          <cell r="C1156" t="str">
            <v>EA</v>
          </cell>
          <cell r="D1156">
            <v>26</v>
          </cell>
          <cell r="E1156">
            <v>1772</v>
          </cell>
        </row>
        <row r="1157">
          <cell r="A1157" t="str">
            <v>9449B-2</v>
          </cell>
          <cell r="B1157" t="str">
            <v>16IN X 22IN HEADER BAG</v>
          </cell>
          <cell r="C1157" t="str">
            <v>EA</v>
          </cell>
          <cell r="D1157">
            <v>31</v>
          </cell>
          <cell r="E1157">
            <v>6984</v>
          </cell>
        </row>
        <row r="1158">
          <cell r="A1158" t="str">
            <v>9450A</v>
          </cell>
          <cell r="B1158" t="str">
            <v>POINT-LOK SAFETY DEVICE</v>
          </cell>
          <cell r="C1158" t="str">
            <v>EA</v>
          </cell>
          <cell r="D1158">
            <v>21</v>
          </cell>
          <cell r="E1158">
            <v>598</v>
          </cell>
        </row>
        <row r="1159">
          <cell r="A1159" t="str">
            <v>9459B</v>
          </cell>
          <cell r="B1159" t="str">
            <v>25X25 CSR WRAP WHITE</v>
          </cell>
          <cell r="C1159" t="str">
            <v>EA</v>
          </cell>
          <cell r="D1159">
            <v>9</v>
          </cell>
          <cell r="E1159">
            <v>76620</v>
          </cell>
        </row>
        <row r="1160">
          <cell r="A1160" t="str">
            <v>9460A</v>
          </cell>
          <cell r="B1160" t="str">
            <v>25 G X 5/8" SAFETY NEEDLE</v>
          </cell>
          <cell r="C1160" t="str">
            <v>EA</v>
          </cell>
          <cell r="D1160" t="str">
            <v>N4</v>
          </cell>
          <cell r="E1160">
            <v>1643</v>
          </cell>
        </row>
        <row r="1161">
          <cell r="A1161" t="str">
            <v>9465</v>
          </cell>
          <cell r="B1161" t="str">
            <v>Ster Adv Pellet Del 20/CS</v>
          </cell>
          <cell r="C1161" t="str">
            <v>CS</v>
          </cell>
        </row>
        <row r="1162">
          <cell r="A1162" t="str">
            <v>9465D</v>
          </cell>
          <cell r="B1162" t="str">
            <v>Printed Disp Pellecome</v>
          </cell>
          <cell r="C1162" t="str">
            <v>EA</v>
          </cell>
        </row>
        <row r="1163">
          <cell r="A1163" t="str">
            <v>9465DW</v>
          </cell>
          <cell r="B1163" t="str">
            <v>Double-Wall Unprinted Ctn</v>
          </cell>
          <cell r="C1163" t="str">
            <v>EA</v>
          </cell>
          <cell r="D1163" t="str">
            <v>MZ7</v>
          </cell>
          <cell r="E1163">
            <v>189</v>
          </cell>
        </row>
        <row r="1164">
          <cell r="A1164" t="str">
            <v>9480A</v>
          </cell>
          <cell r="B1164" t="str">
            <v>18 G X 1.5" SAFETY NEEDLE</v>
          </cell>
          <cell r="C1164" t="str">
            <v>EA</v>
          </cell>
          <cell r="D1164" t="str">
            <v>N3</v>
          </cell>
          <cell r="E1164">
            <v>1484</v>
          </cell>
        </row>
        <row r="1165">
          <cell r="A1165" t="str">
            <v>9486A</v>
          </cell>
          <cell r="B1165" t="str">
            <v>P/F LATEX EXAM GLOVE LG</v>
          </cell>
          <cell r="C1165" t="str">
            <v>EA</v>
          </cell>
          <cell r="D1165">
            <v>28</v>
          </cell>
          <cell r="E1165">
            <v>1948</v>
          </cell>
        </row>
        <row r="1166">
          <cell r="A1166" t="str">
            <v>9504A-1</v>
          </cell>
          <cell r="B1166" t="str">
            <v>STER 25 ga x 1.5 NDLE E/D</v>
          </cell>
          <cell r="C1166" t="str">
            <v>EA</v>
          </cell>
          <cell r="D1166" t="str">
            <v>N3</v>
          </cell>
          <cell r="E1166">
            <v>565</v>
          </cell>
        </row>
        <row r="1167">
          <cell r="A1167" t="str">
            <v>9510A</v>
          </cell>
          <cell r="B1167" t="str">
            <v>22G X 1.5" SAFETY NEEDLE</v>
          </cell>
          <cell r="C1167" t="str">
            <v>EA</v>
          </cell>
          <cell r="D1167" t="str">
            <v>N4</v>
          </cell>
          <cell r="E1167">
            <v>214</v>
          </cell>
        </row>
        <row r="1168">
          <cell r="A1168" t="str">
            <v>9530A-1</v>
          </cell>
          <cell r="B1168" t="str">
            <v>FOAM NEEDLE STICK BLOCK</v>
          </cell>
          <cell r="C1168" t="str">
            <v>EA</v>
          </cell>
          <cell r="D1168">
            <v>25</v>
          </cell>
          <cell r="E1168">
            <v>8310</v>
          </cell>
        </row>
        <row r="1169">
          <cell r="A1169" t="str">
            <v>9534A</v>
          </cell>
          <cell r="B1169" t="str">
            <v>4x5.5Opsite 3000 Trnsp Ds</v>
          </cell>
          <cell r="C1169" t="str">
            <v>EA</v>
          </cell>
          <cell r="D1169">
            <v>30</v>
          </cell>
          <cell r="E1169">
            <v>617</v>
          </cell>
        </row>
        <row r="1170">
          <cell r="A1170" t="str">
            <v>9563A</v>
          </cell>
          <cell r="B1170" t="str">
            <v>3/4" Gasket, C/Plati/C/Si</v>
          </cell>
          <cell r="C1170" t="str">
            <v>EA</v>
          </cell>
          <cell r="D1170">
            <v>34</v>
          </cell>
          <cell r="E1170">
            <v>193</v>
          </cell>
        </row>
        <row r="1171">
          <cell r="A1171" t="str">
            <v>9575A</v>
          </cell>
          <cell r="B1171" t="str">
            <v>P/F Walleted Surgeo Glove</v>
          </cell>
          <cell r="C1171" t="str">
            <v>EA</v>
          </cell>
          <cell r="D1171">
            <v>15</v>
          </cell>
          <cell r="E1171">
            <v>378</v>
          </cell>
        </row>
        <row r="1172">
          <cell r="A1172" t="str">
            <v>9580A</v>
          </cell>
          <cell r="B1172" t="str">
            <v>#11 SAFETY SCALPEL</v>
          </cell>
          <cell r="C1172" t="str">
            <v>EA</v>
          </cell>
          <cell r="D1172">
            <v>29</v>
          </cell>
          <cell r="E1172">
            <v>9</v>
          </cell>
        </row>
        <row r="1173">
          <cell r="A1173" t="str">
            <v>9585A</v>
          </cell>
          <cell r="B1173" t="str">
            <v>25Gx31/2 P/P SpinalNeedle</v>
          </cell>
          <cell r="C1173" t="str">
            <v>EA</v>
          </cell>
          <cell r="D1173" t="str">
            <v>N3</v>
          </cell>
          <cell r="E1173">
            <v>206</v>
          </cell>
        </row>
        <row r="1174">
          <cell r="A1174" t="str">
            <v>9588C</v>
          </cell>
          <cell r="B1174" t="str">
            <v>N/Ster20 Gauge x1" Needle</v>
          </cell>
          <cell r="C1174" t="str">
            <v>EA</v>
          </cell>
          <cell r="D1174" t="str">
            <v>N5</v>
          </cell>
          <cell r="E1174">
            <v>749</v>
          </cell>
        </row>
        <row r="1175">
          <cell r="A1175" t="str">
            <v>9591AS</v>
          </cell>
          <cell r="B1175" t="str">
            <v>LM Sub Assem 40cc Mucus T</v>
          </cell>
          <cell r="C1175" t="str">
            <v>EA</v>
          </cell>
          <cell r="D1175" t="str">
            <v>J</v>
          </cell>
          <cell r="E1175">
            <v>106</v>
          </cell>
        </row>
        <row r="1176">
          <cell r="A1176" t="str">
            <v>9592A</v>
          </cell>
          <cell r="B1176" t="str">
            <v>SUB ASSEMBLY FOR K/9592</v>
          </cell>
          <cell r="C1176" t="str">
            <v>EA</v>
          </cell>
        </row>
        <row r="1177">
          <cell r="A1177" t="str">
            <v>9592B</v>
          </cell>
          <cell r="B1177" t="str">
            <v>SUB ASSEMBLY FOR K/9592</v>
          </cell>
          <cell r="C1177" t="str">
            <v>EA</v>
          </cell>
        </row>
        <row r="1178">
          <cell r="A1178" t="str">
            <v>9592D</v>
          </cell>
          <cell r="B1178" t="str">
            <v>1.75"X.5" P/P LABEL 15/SH</v>
          </cell>
          <cell r="C1178" t="str">
            <v>EA</v>
          </cell>
        </row>
        <row r="1179">
          <cell r="A1179" t="str">
            <v>9592DW</v>
          </cell>
          <cell r="B1179" t="str">
            <v>Double-Walled Carton</v>
          </cell>
          <cell r="C1179" t="str">
            <v>EA</v>
          </cell>
          <cell r="D1179" t="str">
            <v>MZ7</v>
          </cell>
          <cell r="E1179">
            <v>530</v>
          </cell>
        </row>
        <row r="1180">
          <cell r="A1180" t="str">
            <v>9592F</v>
          </cell>
          <cell r="B1180" t="str">
            <v>3/16"X10' Suction Tubing</v>
          </cell>
          <cell r="C1180" t="str">
            <v>EA</v>
          </cell>
          <cell r="D1180">
            <v>31</v>
          </cell>
          <cell r="E1180">
            <v>13</v>
          </cell>
        </row>
        <row r="1181">
          <cell r="A1181" t="str">
            <v>9592G</v>
          </cell>
          <cell r="B1181" t="str">
            <v>BD 21GX1" Safety/G Needle</v>
          </cell>
          <cell r="C1181" t="str">
            <v>EA</v>
          </cell>
        </row>
        <row r="1182">
          <cell r="A1182" t="str">
            <v>9592H</v>
          </cell>
          <cell r="B1182" t="str">
            <v>BD 18G x 1.16"IV Catherer</v>
          </cell>
          <cell r="C1182" t="str">
            <v>EA</v>
          </cell>
          <cell r="D1182" t="str">
            <v>N10</v>
          </cell>
          <cell r="E1182">
            <v>238</v>
          </cell>
        </row>
        <row r="1183">
          <cell r="A1183" t="str">
            <v>9592J</v>
          </cell>
          <cell r="B1183" t="str">
            <v>BD 60 CC L/L Syringe</v>
          </cell>
          <cell r="C1183" t="str">
            <v>EA</v>
          </cell>
          <cell r="D1183">
            <v>30</v>
          </cell>
          <cell r="E1183">
            <v>109</v>
          </cell>
        </row>
        <row r="1184">
          <cell r="A1184" t="str">
            <v>9626DW</v>
          </cell>
          <cell r="B1184" t="str">
            <v>Doubl-Walled Shipper Ctn</v>
          </cell>
          <cell r="C1184" t="str">
            <v>EA</v>
          </cell>
          <cell r="D1184" t="str">
            <v>MZ7</v>
          </cell>
          <cell r="E1184">
            <v>945</v>
          </cell>
        </row>
        <row r="1185">
          <cell r="A1185" t="str">
            <v>9627</v>
          </cell>
          <cell r="B1185" t="str">
            <v>Nu Gauze 4"x4" Sponge</v>
          </cell>
          <cell r="C1185" t="str">
            <v>EA</v>
          </cell>
          <cell r="D1185">
            <v>33</v>
          </cell>
          <cell r="E1185">
            <v>41668</v>
          </cell>
        </row>
        <row r="1186">
          <cell r="A1186" t="str">
            <v>9631A</v>
          </cell>
          <cell r="B1186" t="str">
            <v>10CC Syringe Kit</v>
          </cell>
          <cell r="C1186" t="str">
            <v>EA</v>
          </cell>
        </row>
        <row r="1187">
          <cell r="A1187" t="str">
            <v>9631DW</v>
          </cell>
          <cell r="B1187" t="str">
            <v>Double-Walled Shipper Ctn</v>
          </cell>
          <cell r="C1187" t="str">
            <v>EA</v>
          </cell>
          <cell r="D1187" t="str">
            <v>MZ1</v>
          </cell>
          <cell r="E1187">
            <v>878</v>
          </cell>
        </row>
        <row r="1188">
          <cell r="A1188" t="str">
            <v>9631T</v>
          </cell>
          <cell r="B1188" t="str">
            <v>Ster 10ml Syringe-Pak 10c</v>
          </cell>
          <cell r="C1188" t="str">
            <v>CS</v>
          </cell>
        </row>
        <row r="1189">
          <cell r="A1189" t="str">
            <v>9646</v>
          </cell>
          <cell r="B1189" t="str">
            <v>Bone Dust Collecting K20</v>
          </cell>
          <cell r="C1189" t="str">
            <v>CS</v>
          </cell>
        </row>
        <row r="1190">
          <cell r="A1190" t="str">
            <v>9646A</v>
          </cell>
          <cell r="B1190" t="str">
            <v>Packaged Filter</v>
          </cell>
          <cell r="C1190" t="str">
            <v>EA</v>
          </cell>
          <cell r="D1190">
            <v>63</v>
          </cell>
          <cell r="E1190">
            <v>1000</v>
          </cell>
        </row>
        <row r="1191">
          <cell r="A1191" t="str">
            <v>9646B</v>
          </cell>
          <cell r="B1191" t="str">
            <v>Assembled B/Dust Collecto</v>
          </cell>
          <cell r="C1191" t="str">
            <v>EA</v>
          </cell>
          <cell r="D1191">
            <v>64</v>
          </cell>
          <cell r="E1191">
            <v>5</v>
          </cell>
        </row>
        <row r="1192">
          <cell r="A1192" t="str">
            <v>9646C</v>
          </cell>
          <cell r="B1192" t="str">
            <v>263 Micron Filter, 62MM</v>
          </cell>
          <cell r="C1192" t="str">
            <v>EA</v>
          </cell>
          <cell r="D1192">
            <v>24</v>
          </cell>
          <cell r="E1192">
            <v>3934</v>
          </cell>
        </row>
        <row r="1193">
          <cell r="A1193" t="str">
            <v>9646C-1</v>
          </cell>
          <cell r="B1193" t="str">
            <v>263 Micron Filter, 62MM</v>
          </cell>
          <cell r="C1193" t="str">
            <v>EA</v>
          </cell>
        </row>
        <row r="1194">
          <cell r="A1194" t="str">
            <v>9646D</v>
          </cell>
          <cell r="B1194" t="str">
            <v>N/V Male L/Lock Cap, Blue</v>
          </cell>
          <cell r="C1194" t="str">
            <v>EA</v>
          </cell>
          <cell r="D1194">
            <v>30</v>
          </cell>
          <cell r="E1194">
            <v>1039</v>
          </cell>
        </row>
        <row r="1195">
          <cell r="A1195" t="str">
            <v>9646DW</v>
          </cell>
          <cell r="B1195" t="str">
            <v>Double-Walled Carton</v>
          </cell>
          <cell r="C1195" t="str">
            <v>EA</v>
          </cell>
          <cell r="D1195" t="str">
            <v>MZ7</v>
          </cell>
          <cell r="E1195">
            <v>498</v>
          </cell>
        </row>
        <row r="1196">
          <cell r="A1196" t="str">
            <v>9646F</v>
          </cell>
          <cell r="B1196" t="str">
            <v>Large Nozzle</v>
          </cell>
          <cell r="C1196" t="str">
            <v>EA</v>
          </cell>
          <cell r="D1196">
            <v>31</v>
          </cell>
          <cell r="E1196">
            <v>86</v>
          </cell>
        </row>
        <row r="1197">
          <cell r="A1197" t="str">
            <v>9646G</v>
          </cell>
          <cell r="B1197" t="str">
            <v>Basket Holder Body</v>
          </cell>
          <cell r="C1197" t="str">
            <v>EA</v>
          </cell>
          <cell r="D1197">
            <v>30</v>
          </cell>
          <cell r="E1197">
            <v>1215</v>
          </cell>
        </row>
        <row r="1198">
          <cell r="A1198" t="str">
            <v>9646S</v>
          </cell>
          <cell r="B1198" t="str">
            <v>Master Shipper Carton</v>
          </cell>
          <cell r="C1198" t="str">
            <v>EA</v>
          </cell>
          <cell r="D1198" t="str">
            <v>MZ1</v>
          </cell>
          <cell r="E1198">
            <v>150</v>
          </cell>
        </row>
        <row r="1199">
          <cell r="A1199" t="str">
            <v>9646Z</v>
          </cell>
          <cell r="B1199" t="str">
            <v>Ster B/D Collecting K20</v>
          </cell>
          <cell r="C1199" t="str">
            <v>CS</v>
          </cell>
        </row>
        <row r="1200">
          <cell r="A1200" t="str">
            <v>9665A</v>
          </cell>
          <cell r="B1200" t="str">
            <v>21 GAUGE X 2" NEEDLE</v>
          </cell>
          <cell r="C1200" t="str">
            <v>EA</v>
          </cell>
          <cell r="D1200" t="str">
            <v>N3</v>
          </cell>
          <cell r="E1200">
            <v>920</v>
          </cell>
        </row>
        <row r="1201">
          <cell r="A1201" t="str">
            <v>9665B</v>
          </cell>
          <cell r="B1201" t="str">
            <v>1/4"x1.5" Reinf/Wound/Cl6</v>
          </cell>
          <cell r="C1201" t="str">
            <v>EA</v>
          </cell>
          <cell r="D1201">
            <v>34</v>
          </cell>
          <cell r="E1201">
            <v>377</v>
          </cell>
        </row>
        <row r="1202">
          <cell r="A1202" t="str">
            <v>9665R1</v>
          </cell>
          <cell r="B1202" t="str">
            <v>PROCEDURAL KIT (20/CS)</v>
          </cell>
          <cell r="C1202" t="str">
            <v>CS</v>
          </cell>
        </row>
        <row r="1203">
          <cell r="A1203" t="str">
            <v>9669A</v>
          </cell>
          <cell r="B1203" t="str">
            <v>1.75"x.5" Labels 12/Sheet</v>
          </cell>
          <cell r="C1203" t="str">
            <v>EA</v>
          </cell>
        </row>
        <row r="1204">
          <cell r="A1204" t="str">
            <v>9677-1</v>
          </cell>
          <cell r="B1204" t="str">
            <v>3X4.1YD CONFORMING GAUZE</v>
          </cell>
          <cell r="C1204" t="str">
            <v>EA</v>
          </cell>
          <cell r="D1204">
            <v>21</v>
          </cell>
          <cell r="E1204">
            <v>1027</v>
          </cell>
        </row>
        <row r="1205">
          <cell r="A1205" t="str">
            <v>9679A</v>
          </cell>
          <cell r="B1205" t="str">
            <v>Lidocaine30ml,2% w/Epinep</v>
          </cell>
          <cell r="C1205" t="str">
            <v>EA</v>
          </cell>
        </row>
        <row r="1206">
          <cell r="A1206" t="str">
            <v>9679B</v>
          </cell>
          <cell r="B1206" t="str">
            <v>Lidocaine 30ml 2% insert</v>
          </cell>
          <cell r="C1206" t="str">
            <v>EA</v>
          </cell>
        </row>
        <row r="1207">
          <cell r="A1207" t="str">
            <v>9704A</v>
          </cell>
          <cell r="B1207" t="str">
            <v>5CC Syringe Kit</v>
          </cell>
          <cell r="C1207" t="str">
            <v>EA</v>
          </cell>
        </row>
        <row r="1208">
          <cell r="A1208" t="str">
            <v>9704T</v>
          </cell>
          <cell r="B1208" t="str">
            <v>Ster 5ml Syringe Pak 10CS</v>
          </cell>
          <cell r="C1208" t="str">
            <v>CS</v>
          </cell>
        </row>
        <row r="1209">
          <cell r="A1209" t="str">
            <v>9732-1</v>
          </cell>
          <cell r="B1209" t="str">
            <v>20CC L/LOCK SYRINGE L/F</v>
          </cell>
          <cell r="C1209" t="str">
            <v>EA</v>
          </cell>
          <cell r="D1209">
            <v>24</v>
          </cell>
          <cell r="E1209">
            <v>1692</v>
          </cell>
        </row>
        <row r="1210">
          <cell r="A1210" t="str">
            <v>9737A</v>
          </cell>
          <cell r="B1210" t="str">
            <v>12"SM BORE W/F/M/F/EXTSET</v>
          </cell>
          <cell r="C1210" t="str">
            <v>EA</v>
          </cell>
        </row>
        <row r="1211">
          <cell r="A1211" t="str">
            <v>9740A-1</v>
          </cell>
          <cell r="B1211" t="str">
            <v>4.5X 3 X 1/8" FOAM HOLDER</v>
          </cell>
          <cell r="C1211" t="str">
            <v>EA</v>
          </cell>
          <cell r="D1211">
            <v>30</v>
          </cell>
          <cell r="E1211">
            <v>18377</v>
          </cell>
        </row>
        <row r="1212">
          <cell r="A1212" t="str">
            <v>9764</v>
          </cell>
          <cell r="B1212" t="str">
            <v>Ster ACCESSORY NEEDLE 100</v>
          </cell>
          <cell r="C1212" t="str">
            <v>CS</v>
          </cell>
        </row>
        <row r="1213">
          <cell r="A1213" t="str">
            <v>9770A</v>
          </cell>
          <cell r="B1213" t="str">
            <v>SINGLE PORT NEEDLEVISE</v>
          </cell>
          <cell r="C1213" t="str">
            <v>EA</v>
          </cell>
          <cell r="D1213">
            <v>19</v>
          </cell>
          <cell r="E1213">
            <v>3</v>
          </cell>
        </row>
        <row r="1214">
          <cell r="A1214" t="str">
            <v>9770B</v>
          </cell>
          <cell r="B1214" t="str">
            <v>IFU FOR 7660A DO NOT ORDE</v>
          </cell>
          <cell r="C1214" t="str">
            <v>EA</v>
          </cell>
        </row>
        <row r="1215">
          <cell r="A1215" t="str">
            <v>9772A</v>
          </cell>
          <cell r="B1215" t="str">
            <v>27GX 1 1/2" Safety Needle</v>
          </cell>
          <cell r="C1215" t="str">
            <v>EA</v>
          </cell>
          <cell r="D1215" t="str">
            <v>N9</v>
          </cell>
          <cell r="E1215">
            <v>339</v>
          </cell>
        </row>
        <row r="1216">
          <cell r="A1216" t="str">
            <v>9790A</v>
          </cell>
          <cell r="B1216" t="str">
            <v>Surg Gown Blue XLG Level4</v>
          </cell>
          <cell r="C1216" t="str">
            <v>EA</v>
          </cell>
          <cell r="D1216">
            <v>25</v>
          </cell>
          <cell r="E1216">
            <v>97</v>
          </cell>
        </row>
        <row r="1217">
          <cell r="A1217" t="str">
            <v>9800B</v>
          </cell>
          <cell r="B1217" t="str">
            <v>BLANK MED LABELS 10/SHEET</v>
          </cell>
          <cell r="C1217" t="str">
            <v>EA</v>
          </cell>
        </row>
        <row r="1218">
          <cell r="A1218" t="str">
            <v>9809A</v>
          </cell>
          <cell r="B1218" t="str">
            <v>Ster 23G x 3/4" B/Needle</v>
          </cell>
          <cell r="C1218" t="str">
            <v>EA</v>
          </cell>
          <cell r="D1218" t="str">
            <v>N10</v>
          </cell>
          <cell r="E1218">
            <v>399</v>
          </cell>
        </row>
        <row r="1219">
          <cell r="A1219" t="str">
            <v>9810B</v>
          </cell>
          <cell r="B1219" t="str">
            <v>5"X2.5" UNIVERSAL LABELS</v>
          </cell>
          <cell r="C1219" t="str">
            <v>EA</v>
          </cell>
          <cell r="D1219">
            <v>23</v>
          </cell>
          <cell r="E1219">
            <v>63192</v>
          </cell>
        </row>
        <row r="1220">
          <cell r="A1220" t="str">
            <v>9820A</v>
          </cell>
          <cell r="B1220" t="str">
            <v>PERMANENT MARKER</v>
          </cell>
          <cell r="C1220" t="str">
            <v>EA</v>
          </cell>
          <cell r="D1220">
            <v>34</v>
          </cell>
          <cell r="E1220">
            <v>195</v>
          </cell>
        </row>
        <row r="1221">
          <cell r="A1221" t="str">
            <v>9843</v>
          </cell>
          <cell r="B1221" t="str">
            <v>5.5"Sharp/Blunt Scissors</v>
          </cell>
          <cell r="C1221" t="str">
            <v>EA</v>
          </cell>
          <cell r="D1221">
            <v>44</v>
          </cell>
          <cell r="E1221">
            <v>12591</v>
          </cell>
        </row>
        <row r="1222">
          <cell r="A1222" t="str">
            <v>9851</v>
          </cell>
          <cell r="B1222" t="str">
            <v>Blue Cotton O.R Towel</v>
          </cell>
          <cell r="C1222" t="str">
            <v>EA</v>
          </cell>
          <cell r="D1222">
            <v>34</v>
          </cell>
          <cell r="E1222">
            <v>6926</v>
          </cell>
        </row>
        <row r="1223">
          <cell r="A1223" t="str">
            <v>9861</v>
          </cell>
          <cell r="B1223" t="str">
            <v>Blue Cotton O.R Fen Drape</v>
          </cell>
          <cell r="C1223" t="str">
            <v>EA</v>
          </cell>
          <cell r="D1223">
            <v>3</v>
          </cell>
          <cell r="E1223">
            <v>3903</v>
          </cell>
        </row>
        <row r="1224">
          <cell r="A1224" t="str">
            <v>9863-1</v>
          </cell>
          <cell r="B1224" t="str">
            <v>STER 27 ga x .5" NDLE E/D</v>
          </cell>
          <cell r="C1224" t="str">
            <v>EA</v>
          </cell>
          <cell r="D1224" t="str">
            <v>N1</v>
          </cell>
          <cell r="E1224">
            <v>40</v>
          </cell>
        </row>
        <row r="1225">
          <cell r="A1225" t="str">
            <v>9880B</v>
          </cell>
          <cell r="B1225" t="str">
            <v>24MIL THERMOF-SNARE-IT/Ty</v>
          </cell>
          <cell r="C1225" t="str">
            <v>EA</v>
          </cell>
          <cell r="D1225">
            <v>74</v>
          </cell>
          <cell r="E1225">
            <v>667</v>
          </cell>
        </row>
        <row r="1226">
          <cell r="A1226" t="str">
            <v>9882A</v>
          </cell>
          <cell r="B1226" t="str">
            <v>30ml .25%Bupivacaine Vial</v>
          </cell>
          <cell r="C1226" t="str">
            <v>EA</v>
          </cell>
          <cell r="D1226" t="str">
            <v>DRUGS</v>
          </cell>
          <cell r="E1226">
            <v>7</v>
          </cell>
        </row>
        <row r="1227">
          <cell r="A1227" t="str">
            <v>9882B</v>
          </cell>
          <cell r="B1227" t="str">
            <v>Insert Bupivacaine Vial</v>
          </cell>
          <cell r="C1227" t="str">
            <v>EA</v>
          </cell>
          <cell r="D1227">
            <v>6</v>
          </cell>
          <cell r="E1227">
            <v>2095</v>
          </cell>
        </row>
        <row r="1228">
          <cell r="A1228" t="str">
            <v>9986</v>
          </cell>
          <cell r="B1228" t="str">
            <v>#07054431B Adult Veni-Grd</v>
          </cell>
          <cell r="C1228" t="str">
            <v>EA</v>
          </cell>
          <cell r="D1228">
            <v>14</v>
          </cell>
          <cell r="E1228">
            <v>1579</v>
          </cell>
        </row>
        <row r="1229">
          <cell r="A1229" t="str">
            <v>ARTWORK</v>
          </cell>
          <cell r="B1229" t="str">
            <v>ARTWORK</v>
          </cell>
          <cell r="C1229" t="str">
            <v>EA</v>
          </cell>
        </row>
        <row r="1230">
          <cell r="A1230" t="str">
            <v>AS23</v>
          </cell>
          <cell r="B1230" t="str">
            <v>AGAR STRIPS</v>
          </cell>
          <cell r="C1230" t="str">
            <v>EA</v>
          </cell>
        </row>
        <row r="1231">
          <cell r="A1231" t="str">
            <v>AST25</v>
          </cell>
          <cell r="B1231" t="str">
            <v>AGAR STRIPS TEST CHARGE</v>
          </cell>
          <cell r="C1231" t="str">
            <v>EA</v>
          </cell>
        </row>
        <row r="1232">
          <cell r="A1232" t="str">
            <v>BBCC20</v>
          </cell>
          <cell r="B1232" t="str">
            <v>BIOBURDEN CONSULTING</v>
          </cell>
          <cell r="C1232" t="str">
            <v>EA</v>
          </cell>
        </row>
        <row r="1233">
          <cell r="A1233" t="str">
            <v>BBPCDR19</v>
          </cell>
          <cell r="B1233" t="str">
            <v>BIOBURDEN PCD/CATALOG</v>
          </cell>
          <cell r="C1233" t="str">
            <v>EA</v>
          </cell>
        </row>
        <row r="1234">
          <cell r="A1234" t="str">
            <v>BBPSC18</v>
          </cell>
          <cell r="B1234" t="str">
            <v>BIOBURDEN PROGRAM SETUP</v>
          </cell>
          <cell r="C1234" t="str">
            <v>EA</v>
          </cell>
        </row>
        <row r="1235">
          <cell r="A1235" t="str">
            <v>BIOBURDEN</v>
          </cell>
          <cell r="B1235" t="str">
            <v>BIOBURDEN TESTING</v>
          </cell>
          <cell r="C1235" t="str">
            <v>EA</v>
          </cell>
        </row>
        <row r="1236">
          <cell r="A1236" t="str">
            <v>BS1954C-1</v>
          </cell>
          <cell r="B1236" t="str">
            <v>CS1954C-1 3.2MM SHARP OBT</v>
          </cell>
          <cell r="C1236" t="str">
            <v>EA</v>
          </cell>
        </row>
        <row r="1237">
          <cell r="A1237" t="str">
            <v>BS1954D-1</v>
          </cell>
          <cell r="B1237" t="str">
            <v>CS1954D-1 3.2MM BLUNT OBT</v>
          </cell>
          <cell r="C1237" t="str">
            <v>EA</v>
          </cell>
        </row>
        <row r="1238">
          <cell r="A1238" t="str">
            <v>BS1954E-1</v>
          </cell>
          <cell r="B1238" t="str">
            <v>CS1954E-1 3.2MM CANNULA</v>
          </cell>
          <cell r="C1238" t="str">
            <v>EA</v>
          </cell>
        </row>
        <row r="1239">
          <cell r="A1239" t="str">
            <v>C-AA101</v>
          </cell>
          <cell r="B1239" t="str">
            <v>ACCELERATED AGING 1 YEAR</v>
          </cell>
          <cell r="C1239" t="str">
            <v>EA</v>
          </cell>
        </row>
        <row r="1240">
          <cell r="A1240" t="str">
            <v>C-AA202</v>
          </cell>
          <cell r="B1240" t="str">
            <v>ACCELERATED AGING 2 YEARS</v>
          </cell>
          <cell r="C1240" t="str">
            <v>EA</v>
          </cell>
        </row>
        <row r="1241">
          <cell r="A1241" t="str">
            <v>C-AA303</v>
          </cell>
          <cell r="B1241" t="str">
            <v>ACCELERATED AGING 3 YEARS</v>
          </cell>
          <cell r="C1241" t="str">
            <v>EA</v>
          </cell>
        </row>
        <row r="1242">
          <cell r="A1242" t="str">
            <v>C-AA303XL</v>
          </cell>
          <cell r="B1242" t="str">
            <v>ACC.AGING STUDY 3 YRS XL</v>
          </cell>
          <cell r="C1242" t="str">
            <v>EA</v>
          </cell>
        </row>
        <row r="1243">
          <cell r="A1243" t="str">
            <v>C-AA404</v>
          </cell>
          <cell r="B1243" t="str">
            <v>ACCELERATED AGING 4 YEARS</v>
          </cell>
          <cell r="C1243" t="str">
            <v>EA</v>
          </cell>
        </row>
        <row r="1244">
          <cell r="A1244" t="str">
            <v>C-AA505</v>
          </cell>
          <cell r="B1244" t="str">
            <v>ACCELERATED AGING 5 YEARS</v>
          </cell>
          <cell r="C1244" t="str">
            <v>EA</v>
          </cell>
        </row>
        <row r="1245">
          <cell r="A1245" t="str">
            <v>C-BB01</v>
          </cell>
          <cell r="B1245" t="str">
            <v>BIOBURDEN - PCD TESTING</v>
          </cell>
          <cell r="C1245" t="str">
            <v>EA</v>
          </cell>
        </row>
        <row r="1246">
          <cell r="A1246" t="str">
            <v>C-BB01XL</v>
          </cell>
          <cell r="B1246" t="str">
            <v>BIOBURDEN TESTING XL</v>
          </cell>
          <cell r="C1246" t="str">
            <v>EA</v>
          </cell>
        </row>
        <row r="1247">
          <cell r="A1247" t="str">
            <v>C-BBP20</v>
          </cell>
          <cell r="B1247" t="str">
            <v>Bioburden Production</v>
          </cell>
          <cell r="C1247" t="str">
            <v>EA</v>
          </cell>
        </row>
        <row r="1248">
          <cell r="A1248" t="str">
            <v>C-BCH16</v>
          </cell>
          <cell r="B1248" t="str">
            <v>BIOCOMPATIBILTY HANDLING</v>
          </cell>
          <cell r="C1248" t="str">
            <v>EA</v>
          </cell>
        </row>
        <row r="1249">
          <cell r="A1249" t="str">
            <v>C-BCTC02</v>
          </cell>
          <cell r="B1249" t="str">
            <v>BIOCOMPATIBILITY TESTING</v>
          </cell>
          <cell r="C1249" t="str">
            <v>EA</v>
          </cell>
        </row>
        <row r="1250">
          <cell r="A1250" t="str">
            <v>C-BHC21</v>
          </cell>
          <cell r="B1250" t="str">
            <v>HANDLING CHARGE</v>
          </cell>
          <cell r="C1250" t="str">
            <v>EA</v>
          </cell>
        </row>
        <row r="1251">
          <cell r="A1251" t="str">
            <v>C-EORT01</v>
          </cell>
          <cell r="B1251" t="str">
            <v>ETO TEST - BLANK</v>
          </cell>
          <cell r="C1251" t="str">
            <v>EA</v>
          </cell>
        </row>
        <row r="1252">
          <cell r="A1252" t="str">
            <v>C-EORT02</v>
          </cell>
          <cell r="B1252" t="str">
            <v>ETO TEST 0 HR TEST 1XSTER</v>
          </cell>
          <cell r="C1252" t="str">
            <v>EA</v>
          </cell>
        </row>
        <row r="1253">
          <cell r="A1253" t="str">
            <v>C-EORT03</v>
          </cell>
          <cell r="B1253" t="str">
            <v>ETO TEST 24HRS 1X STER</v>
          </cell>
          <cell r="C1253" t="str">
            <v>EA</v>
          </cell>
        </row>
        <row r="1254">
          <cell r="A1254" t="str">
            <v>C-EORT04</v>
          </cell>
          <cell r="B1254" t="str">
            <v>ETO TEST 48HRS 1X STER</v>
          </cell>
          <cell r="C1254" t="str">
            <v>EA</v>
          </cell>
        </row>
        <row r="1255">
          <cell r="A1255" t="str">
            <v>C-EORT05</v>
          </cell>
          <cell r="B1255" t="str">
            <v>EO 24HR TEST-2X STERILE</v>
          </cell>
          <cell r="C1255" t="str">
            <v>EA</v>
          </cell>
        </row>
        <row r="1256">
          <cell r="A1256" t="str">
            <v>C-EORT06</v>
          </cell>
          <cell r="B1256" t="str">
            <v>EO 48HR TEST-2X STERILE</v>
          </cell>
          <cell r="C1256" t="str">
            <v>EA</v>
          </cell>
        </row>
        <row r="1257">
          <cell r="A1257" t="str">
            <v>C-EORT12</v>
          </cell>
          <cell r="B1257" t="str">
            <v>ETO 96HRS TEST/2X STER</v>
          </cell>
          <cell r="C1257" t="str">
            <v>EA</v>
          </cell>
        </row>
        <row r="1258">
          <cell r="A1258" t="str">
            <v>C-FC04</v>
          </cell>
          <cell r="B1258" t="str">
            <v>3 FULL CYCLES</v>
          </cell>
          <cell r="C1258" t="str">
            <v>EA</v>
          </cell>
        </row>
        <row r="1259">
          <cell r="A1259" t="str">
            <v>C-FC11</v>
          </cell>
          <cell r="B1259" t="str">
            <v>1 FULL CYCLE</v>
          </cell>
          <cell r="C1259" t="str">
            <v>EA</v>
          </cell>
        </row>
        <row r="1260">
          <cell r="A1260" t="str">
            <v>C-FC11XL</v>
          </cell>
          <cell r="B1260" t="str">
            <v>FULL CYCLE XL</v>
          </cell>
          <cell r="C1260" t="str">
            <v>EA</v>
          </cell>
        </row>
        <row r="1261">
          <cell r="A1261" t="str">
            <v>C-HC03</v>
          </cell>
          <cell r="B1261" t="str">
            <v>3 HALF CYCLES</v>
          </cell>
          <cell r="C1261" t="str">
            <v>EA</v>
          </cell>
        </row>
        <row r="1262">
          <cell r="A1262" t="str">
            <v>C-HC10</v>
          </cell>
          <cell r="B1262" t="str">
            <v>1 HALF CYCLE</v>
          </cell>
          <cell r="C1262" t="str">
            <v>EA</v>
          </cell>
        </row>
        <row r="1263">
          <cell r="A1263" t="str">
            <v>C-HC10XL</v>
          </cell>
          <cell r="B1263" t="str">
            <v>HALF CYCLE XL</v>
          </cell>
          <cell r="C1263" t="str">
            <v>EA</v>
          </cell>
        </row>
        <row r="1264">
          <cell r="A1264" t="str">
            <v>C-MCL01</v>
          </cell>
          <cell r="B1264" t="str">
            <v>MISC CHARGE SHIP TO LAB</v>
          </cell>
          <cell r="C1264" t="str">
            <v>EA</v>
          </cell>
        </row>
        <row r="1265">
          <cell r="A1265" t="str">
            <v>C-MCL06</v>
          </cell>
          <cell r="B1265" t="str">
            <v>MISC CHARGE SHIP TO LAB</v>
          </cell>
          <cell r="C1265" t="str">
            <v>EA</v>
          </cell>
        </row>
        <row r="1266">
          <cell r="A1266" t="str">
            <v>CP24</v>
          </cell>
          <cell r="B1266" t="str">
            <v>CONTACT PLATES</v>
          </cell>
          <cell r="C1266" t="str">
            <v>EA</v>
          </cell>
        </row>
        <row r="1267">
          <cell r="A1267" t="str">
            <v>C-PHD09</v>
          </cell>
          <cell r="B1267" t="str">
            <v>PREP,HANDLING,DUNNAGE</v>
          </cell>
          <cell r="C1267" t="str">
            <v>EA</v>
          </cell>
        </row>
        <row r="1268">
          <cell r="A1268" t="str">
            <v>C-PHD09XL</v>
          </cell>
          <cell r="B1268" t="str">
            <v>PREP,HANDLING,DUNNAGE XL</v>
          </cell>
          <cell r="C1268" t="str">
            <v>EA</v>
          </cell>
        </row>
        <row r="1269">
          <cell r="A1269" t="str">
            <v>C-PHD12</v>
          </cell>
          <cell r="B1269" t="str">
            <v>PREP,HANDLING,DUNNAGE</v>
          </cell>
          <cell r="C1269" t="str">
            <v>EA</v>
          </cell>
        </row>
        <row r="1270">
          <cell r="A1270" t="str">
            <v>C-PSTT17</v>
          </cell>
          <cell r="B1270" t="str">
            <v>POST SHIP-TEST TESTING</v>
          </cell>
          <cell r="C1270" t="str">
            <v>EA</v>
          </cell>
        </row>
        <row r="1271">
          <cell r="A1271" t="str">
            <v>C-PT07</v>
          </cell>
          <cell r="B1271" t="str">
            <v>PACKAGING TESTING AND RPT</v>
          </cell>
          <cell r="C1271" t="str">
            <v>EA</v>
          </cell>
        </row>
        <row r="1272">
          <cell r="A1272" t="str">
            <v>C-PT07XL</v>
          </cell>
          <cell r="B1272" t="str">
            <v>PKG TESTING, FINAL RPT XL</v>
          </cell>
          <cell r="C1272" t="str">
            <v>EA</v>
          </cell>
        </row>
        <row r="1273">
          <cell r="A1273" t="str">
            <v>CPT26</v>
          </cell>
          <cell r="B1273" t="str">
            <v>CONTACT PLATE TEST CHARGE</v>
          </cell>
          <cell r="C1273" t="str">
            <v>EA</v>
          </cell>
        </row>
        <row r="1274">
          <cell r="A1274" t="str">
            <v>C-PYT05</v>
          </cell>
          <cell r="B1274" t="str">
            <v>PYROGEN TESTING</v>
          </cell>
          <cell r="C1274" t="str">
            <v>EA</v>
          </cell>
        </row>
        <row r="1275">
          <cell r="A1275" t="str">
            <v>C-PYT05XL</v>
          </cell>
          <cell r="B1275" t="str">
            <v>PYROGEN TESTING XL</v>
          </cell>
          <cell r="C1275" t="str">
            <v>EA</v>
          </cell>
        </row>
        <row r="1276">
          <cell r="A1276" t="str">
            <v>C-RD18</v>
          </cell>
          <cell r="B1276" t="str">
            <v>RESEARCH &amp; DEVELOPMENT</v>
          </cell>
          <cell r="C1276" t="str">
            <v>EA</v>
          </cell>
        </row>
        <row r="1277">
          <cell r="A1277" t="str">
            <v>C-RTA101</v>
          </cell>
          <cell r="B1277" t="str">
            <v>REALTIME AGING 1 YEAR</v>
          </cell>
          <cell r="C1277" t="str">
            <v>EA</v>
          </cell>
        </row>
        <row r="1278">
          <cell r="A1278" t="str">
            <v>C-RTA202</v>
          </cell>
          <cell r="B1278" t="str">
            <v>REALTIME AGING 2 YEARS</v>
          </cell>
          <cell r="C1278" t="str">
            <v>EA</v>
          </cell>
        </row>
        <row r="1279">
          <cell r="A1279" t="str">
            <v>C-RTA303</v>
          </cell>
          <cell r="B1279" t="str">
            <v>REAL TIME AGING FOR 3 YRS</v>
          </cell>
          <cell r="C1279" t="str">
            <v>EA</v>
          </cell>
        </row>
        <row r="1280">
          <cell r="A1280" t="str">
            <v>C-RTA303XL</v>
          </cell>
          <cell r="B1280" t="str">
            <v>REAL TIME AGING 3YRS XL</v>
          </cell>
          <cell r="C1280" t="str">
            <v>EA</v>
          </cell>
        </row>
        <row r="1281">
          <cell r="A1281" t="str">
            <v>C-RTA404</v>
          </cell>
          <cell r="B1281" t="str">
            <v>REALTIME AGING 4 YEARS</v>
          </cell>
          <cell r="C1281" t="str">
            <v>EA</v>
          </cell>
        </row>
        <row r="1282">
          <cell r="A1282" t="str">
            <v>C-RTA505</v>
          </cell>
          <cell r="B1282" t="str">
            <v>REALTIME AGING 5 YEARS</v>
          </cell>
          <cell r="C1282" t="str">
            <v>EA</v>
          </cell>
        </row>
        <row r="1283">
          <cell r="A1283" t="str">
            <v>CS1954C-1</v>
          </cell>
          <cell r="B1283" t="str">
            <v>TROCAR#2 3.2mm OBTURATOR</v>
          </cell>
          <cell r="C1283" t="str">
            <v>EA</v>
          </cell>
          <cell r="D1283" t="str">
            <v>CS38T</v>
          </cell>
          <cell r="E1283">
            <v>13604</v>
          </cell>
        </row>
        <row r="1284">
          <cell r="A1284" t="str">
            <v>CS1954D-1</v>
          </cell>
          <cell r="B1284" t="str">
            <v>TROCAR#3 3.2mm BOBTURATOR</v>
          </cell>
          <cell r="C1284" t="str">
            <v>EA</v>
          </cell>
          <cell r="D1284" t="str">
            <v>CS38T</v>
          </cell>
          <cell r="E1284">
            <v>18156</v>
          </cell>
        </row>
        <row r="1285">
          <cell r="A1285" t="str">
            <v>CS1954E-1</v>
          </cell>
          <cell r="B1285" t="str">
            <v>TROCAR#1 3.2mm CANNULA</v>
          </cell>
          <cell r="C1285" t="str">
            <v>EA</v>
          </cell>
          <cell r="D1285" t="str">
            <v>CS38T</v>
          </cell>
          <cell r="E1285">
            <v>18427</v>
          </cell>
        </row>
        <row r="1286">
          <cell r="A1286" t="str">
            <v>CS2X3A</v>
          </cell>
          <cell r="B1286" t="str">
            <v>SILICONE BLADE CUSHION</v>
          </cell>
          <cell r="C1286" t="str">
            <v>EA</v>
          </cell>
        </row>
        <row r="1287">
          <cell r="A1287" t="str">
            <v>CS2X3B</v>
          </cell>
          <cell r="B1287" t="str">
            <v>3M ADH STRIP 1.5" X3.5"</v>
          </cell>
          <cell r="C1287" t="str">
            <v>EA</v>
          </cell>
        </row>
        <row r="1288">
          <cell r="A1288" t="str">
            <v>CS2X3C</v>
          </cell>
          <cell r="B1288" t="str">
            <v>ASSEMBLED FLEXGUARD</v>
          </cell>
          <cell r="C1288" t="str">
            <v>EA</v>
          </cell>
        </row>
        <row r="1289">
          <cell r="A1289" t="str">
            <v>CS2X3F</v>
          </cell>
          <cell r="B1289" t="str">
            <v>INSTRUCT/F/USE C/SUPPLIED</v>
          </cell>
          <cell r="C1289" t="str">
            <v>EA</v>
          </cell>
        </row>
        <row r="1290">
          <cell r="A1290" t="str">
            <v>CS8108A</v>
          </cell>
          <cell r="B1290" t="str">
            <v>TROCAR #2 3.2MM/S/S/S/OBT</v>
          </cell>
          <cell r="C1290" t="str">
            <v>EA</v>
          </cell>
          <cell r="D1290" t="str">
            <v>CS38T</v>
          </cell>
          <cell r="E1290">
            <v>89</v>
          </cell>
        </row>
        <row r="1291">
          <cell r="A1291" t="str">
            <v>CS8119A-1</v>
          </cell>
          <cell r="B1291" t="str">
            <v>4.5mmTROCAR#2 S OBTURATOR</v>
          </cell>
          <cell r="C1291" t="str">
            <v>EA</v>
          </cell>
          <cell r="D1291" t="str">
            <v>CS38T</v>
          </cell>
          <cell r="E1291">
            <v>7455</v>
          </cell>
        </row>
        <row r="1292">
          <cell r="A1292" t="str">
            <v>CS8119B-1</v>
          </cell>
          <cell r="B1292" t="str">
            <v>4.5mmTROCAR#3 B OBTURATOR</v>
          </cell>
          <cell r="C1292" t="str">
            <v>EA</v>
          </cell>
          <cell r="D1292" t="str">
            <v>CS38T</v>
          </cell>
          <cell r="E1292">
            <v>8839</v>
          </cell>
        </row>
        <row r="1293">
          <cell r="A1293" t="str">
            <v>CS8119C-1</v>
          </cell>
          <cell r="B1293" t="str">
            <v>4.5mm TROCAR#1 CANNULA</v>
          </cell>
          <cell r="C1293" t="str">
            <v>EA</v>
          </cell>
          <cell r="D1293" t="str">
            <v>CS38T</v>
          </cell>
          <cell r="E1293">
            <v>9093</v>
          </cell>
        </row>
        <row r="1294">
          <cell r="A1294" t="str">
            <v>CS8123A</v>
          </cell>
          <cell r="B1294" t="str">
            <v>TROCAR #2 4.5MM S/S/S/OBT</v>
          </cell>
          <cell r="C1294" t="str">
            <v>EA</v>
          </cell>
          <cell r="D1294" t="str">
            <v>CS38T</v>
          </cell>
          <cell r="E1294">
            <v>113</v>
          </cell>
        </row>
        <row r="1295">
          <cell r="A1295" t="str">
            <v>CS91710A</v>
          </cell>
          <cell r="B1295" t="str">
            <v>CURVED METZENBAUM TIP</v>
          </cell>
          <cell r="C1295" t="str">
            <v>EA</v>
          </cell>
        </row>
        <row r="1296">
          <cell r="A1296" t="str">
            <v>CS91710D</v>
          </cell>
          <cell r="B1296" t="str">
            <v>MEDIFLEX DISP BOX</v>
          </cell>
          <cell r="C1296" t="str">
            <v>EA</v>
          </cell>
        </row>
        <row r="1297">
          <cell r="A1297" t="str">
            <v>CS91715A</v>
          </cell>
          <cell r="B1297" t="str">
            <v>WIDE CURVED METZENBAUM</v>
          </cell>
          <cell r="C1297" t="str">
            <v>EA</v>
          </cell>
        </row>
        <row r="1298">
          <cell r="A1298" t="str">
            <v>CS91720A</v>
          </cell>
          <cell r="B1298" t="str">
            <v>STRAIGHT METZENBAUM TIP</v>
          </cell>
          <cell r="C1298" t="str">
            <v>EA</v>
          </cell>
        </row>
        <row r="1299">
          <cell r="A1299" t="str">
            <v>CS91730A</v>
          </cell>
          <cell r="B1299" t="str">
            <v>MINI CURVED METZENBAUM</v>
          </cell>
          <cell r="C1299" t="str">
            <v>EA</v>
          </cell>
        </row>
        <row r="1300">
          <cell r="A1300" t="str">
            <v>CS91740A</v>
          </cell>
          <cell r="B1300" t="str">
            <v>HOOK SCISSOR</v>
          </cell>
          <cell r="C1300" t="str">
            <v>EA</v>
          </cell>
        </row>
        <row r="1301">
          <cell r="A1301" t="str">
            <v>CS91750A</v>
          </cell>
          <cell r="B1301" t="str">
            <v>Maryland Dissector Tip</v>
          </cell>
          <cell r="C1301" t="str">
            <v>EA</v>
          </cell>
        </row>
        <row r="1302">
          <cell r="A1302" t="str">
            <v>CS9175A</v>
          </cell>
          <cell r="B1302" t="str">
            <v>SS 3.5mm Trocar #2</v>
          </cell>
          <cell r="C1302" t="str">
            <v>EA</v>
          </cell>
          <cell r="D1302" t="str">
            <v>CS38T</v>
          </cell>
          <cell r="E1302">
            <v>39</v>
          </cell>
        </row>
        <row r="1303">
          <cell r="A1303" t="str">
            <v>CS9175B</v>
          </cell>
          <cell r="B1303" t="str">
            <v>SS 3.5mm Trocar #3</v>
          </cell>
          <cell r="C1303" t="str">
            <v>EA</v>
          </cell>
          <cell r="D1303" t="str">
            <v>CS38T</v>
          </cell>
          <cell r="E1303">
            <v>81</v>
          </cell>
        </row>
        <row r="1304">
          <cell r="A1304" t="str">
            <v>CS9176B</v>
          </cell>
          <cell r="B1304" t="str">
            <v>SS 4.5mm Trocar # 3</v>
          </cell>
          <cell r="C1304" t="str">
            <v>EA</v>
          </cell>
          <cell r="D1304" t="str">
            <v>CS38T</v>
          </cell>
          <cell r="E1304">
            <v>1153</v>
          </cell>
        </row>
        <row r="1305">
          <cell r="A1305" t="str">
            <v>CS91770A</v>
          </cell>
          <cell r="B1305" t="str">
            <v>Medi-Clinch Grasper</v>
          </cell>
          <cell r="C1305" t="str">
            <v>EA</v>
          </cell>
        </row>
        <row r="1306">
          <cell r="A1306" t="str">
            <v>CS91999A</v>
          </cell>
          <cell r="B1306" t="str">
            <v>DERMATOME BLADE</v>
          </cell>
          <cell r="C1306" t="str">
            <v>EA</v>
          </cell>
        </row>
        <row r="1307">
          <cell r="A1307" t="str">
            <v>CS9238A</v>
          </cell>
          <cell r="B1307" t="str">
            <v>8" Small B/E/Set w/M&amp;F LL</v>
          </cell>
          <cell r="C1307" t="str">
            <v>EA</v>
          </cell>
          <cell r="D1307" t="str">
            <v>CS38T</v>
          </cell>
          <cell r="E1307">
            <v>34825</v>
          </cell>
        </row>
        <row r="1308">
          <cell r="A1308" t="str">
            <v>CS9238B</v>
          </cell>
          <cell r="B1308" t="str">
            <v>Refill Template</v>
          </cell>
          <cell r="C1308" t="str">
            <v>EA</v>
          </cell>
          <cell r="D1308" t="str">
            <v>CS38T</v>
          </cell>
          <cell r="E1308">
            <v>10</v>
          </cell>
        </row>
        <row r="1309">
          <cell r="A1309" t="str">
            <v>CS9238C</v>
          </cell>
          <cell r="B1309" t="str">
            <v>Intructions for Use</v>
          </cell>
          <cell r="C1309" t="str">
            <v>EA</v>
          </cell>
        </row>
        <row r="1310">
          <cell r="A1310" t="str">
            <v>CS9465A</v>
          </cell>
          <cell r="B1310" t="str">
            <v>Male Gun</v>
          </cell>
          <cell r="C1310" t="str">
            <v>EA</v>
          </cell>
        </row>
        <row r="1311">
          <cell r="A1311" t="str">
            <v>CS9465B</v>
          </cell>
          <cell r="B1311" t="str">
            <v>Male Funnerl W/Needle</v>
          </cell>
          <cell r="C1311" t="str">
            <v>EA</v>
          </cell>
        </row>
        <row r="1312">
          <cell r="A1312" t="str">
            <v>CS9465C</v>
          </cell>
          <cell r="B1312" t="str">
            <v>Scalpel</v>
          </cell>
          <cell r="C1312" t="str">
            <v>EA</v>
          </cell>
        </row>
        <row r="1313">
          <cell r="A1313" t="str">
            <v>CS9465I</v>
          </cell>
          <cell r="B1313" t="str">
            <v>Instructions For Use</v>
          </cell>
          <cell r="C1313" t="str">
            <v>EA</v>
          </cell>
          <cell r="D1313" t="str">
            <v>CS38T</v>
          </cell>
          <cell r="E1313">
            <v>6563</v>
          </cell>
        </row>
        <row r="1314">
          <cell r="A1314" t="str">
            <v>CS9626A</v>
          </cell>
          <cell r="B1314" t="str">
            <v>10CC L/L SYRINGE BD</v>
          </cell>
          <cell r="C1314" t="str">
            <v>EA</v>
          </cell>
        </row>
        <row r="1315">
          <cell r="A1315" t="str">
            <v>CS9631A</v>
          </cell>
          <cell r="B1315" t="str">
            <v>10CC LUER LOCK SYRINGE</v>
          </cell>
          <cell r="C1315" t="str">
            <v>EA</v>
          </cell>
          <cell r="D1315" t="str">
            <v>F13</v>
          </cell>
          <cell r="E1315">
            <v>74007</v>
          </cell>
        </row>
        <row r="1316">
          <cell r="A1316" t="str">
            <v>CS9704A</v>
          </cell>
          <cell r="B1316" t="str">
            <v>5CC Luer Lock Syringe</v>
          </cell>
          <cell r="C1316" t="str">
            <v>EA</v>
          </cell>
          <cell r="D1316" t="str">
            <v>CSF18</v>
          </cell>
          <cell r="E1316">
            <v>22874</v>
          </cell>
        </row>
        <row r="1317">
          <cell r="A1317" t="str">
            <v>CS9737</v>
          </cell>
          <cell r="B1317" t="str">
            <v>MED/THERAP/P/REFILL/TEMPL</v>
          </cell>
          <cell r="C1317" t="str">
            <v>EA</v>
          </cell>
        </row>
        <row r="1318">
          <cell r="A1318" t="str">
            <v>CS9764A</v>
          </cell>
          <cell r="B1318" t="str">
            <v>4.5mmID/5mmOD Male Needle</v>
          </cell>
          <cell r="C1318" t="str">
            <v>EA</v>
          </cell>
        </row>
        <row r="1319">
          <cell r="A1319" t="str">
            <v>C-SLC02</v>
          </cell>
          <cell r="B1319" t="str">
            <v>SUB-LETHAL CYCLE</v>
          </cell>
          <cell r="C1319" t="str">
            <v>EA</v>
          </cell>
        </row>
        <row r="1320">
          <cell r="A1320" t="str">
            <v>C-SLC02XL</v>
          </cell>
          <cell r="B1320" t="str">
            <v>SUB-LETHAL CYCLE XL</v>
          </cell>
          <cell r="C1320" t="str">
            <v>EA</v>
          </cell>
        </row>
        <row r="1321">
          <cell r="A1321" t="str">
            <v>C-TST06</v>
          </cell>
          <cell r="B1321" t="str">
            <v>TRANSPORTATION SIMULATION</v>
          </cell>
          <cell r="C1321" t="str">
            <v>EA</v>
          </cell>
        </row>
        <row r="1322">
          <cell r="A1322" t="str">
            <v>C-TST06XL</v>
          </cell>
          <cell r="B1322" t="str">
            <v>TRANSP.SIMULATION TST XL</v>
          </cell>
          <cell r="C1322" t="str">
            <v>EA</v>
          </cell>
        </row>
        <row r="1323">
          <cell r="A1323" t="str">
            <v>C-TST07</v>
          </cell>
          <cell r="B1323" t="str">
            <v>COMBINED TRANSPORT TEST</v>
          </cell>
          <cell r="C1323" t="str">
            <v>EA</v>
          </cell>
        </row>
        <row r="1324">
          <cell r="A1324" t="str">
            <v>C-TST19XL</v>
          </cell>
          <cell r="B1324" t="str">
            <v>CODE TRANSP SIM TESTING</v>
          </cell>
          <cell r="C1324" t="str">
            <v>EA</v>
          </cell>
        </row>
        <row r="1325">
          <cell r="A1325" t="str">
            <v>C-VP00</v>
          </cell>
          <cell r="B1325" t="str">
            <v>STER VALID AND FINAL RPT</v>
          </cell>
          <cell r="C1325" t="str">
            <v>EA</v>
          </cell>
        </row>
        <row r="1326">
          <cell r="A1326" t="str">
            <v>EMP21</v>
          </cell>
          <cell r="B1326" t="str">
            <v>ENVIRONMENTAL MONITORING</v>
          </cell>
          <cell r="C1326" t="str">
            <v>EA</v>
          </cell>
        </row>
        <row r="1327">
          <cell r="A1327" t="str">
            <v>EMPEX22</v>
          </cell>
          <cell r="B1327" t="str">
            <v>ENVIRONMENTAL MONITORING</v>
          </cell>
          <cell r="C1327" t="str">
            <v>EA</v>
          </cell>
        </row>
        <row r="1328">
          <cell r="A1328" t="str">
            <v>End of Report</v>
          </cell>
        </row>
        <row r="1329">
          <cell r="A1329" t="str">
            <v>Grand Total</v>
          </cell>
          <cell r="B1329" t="str">
            <v>s</v>
          </cell>
          <cell r="E1329">
            <v>25761244</v>
          </cell>
        </row>
        <row r="1330">
          <cell r="A1330" t="str">
            <v>L-CAN001</v>
          </cell>
          <cell r="B1330" t="str">
            <v>CANADIAN LICENSE FEE</v>
          </cell>
          <cell r="C1330" t="str">
            <v>EA</v>
          </cell>
        </row>
        <row r="1331">
          <cell r="A1331" t="str">
            <v>LF6154I</v>
          </cell>
          <cell r="B1331" t="str">
            <v>SET OF INSTRUCTION /FOLD</v>
          </cell>
          <cell r="C1331" t="str">
            <v>EA</v>
          </cell>
        </row>
        <row r="1332">
          <cell r="A1332" t="str">
            <v>LF9600IFU</v>
          </cell>
          <cell r="B1332" t="str">
            <v>INSTR STOPCOCK NOT ORDER</v>
          </cell>
          <cell r="C1332" t="str">
            <v>EA</v>
          </cell>
        </row>
        <row r="1333">
          <cell r="A1333" t="str">
            <v>LU100</v>
          </cell>
          <cell r="B1333" t="str">
            <v>CORNER SHIPPER LABEL</v>
          </cell>
          <cell r="C1333" t="str">
            <v>EA</v>
          </cell>
          <cell r="D1333" t="str">
            <v>CIR</v>
          </cell>
          <cell r="E1333">
            <v>-1246</v>
          </cell>
        </row>
        <row r="1334">
          <cell r="A1334" t="str">
            <v>MAT-100</v>
          </cell>
          <cell r="B1334" t="str">
            <v>DESIGN &amp; ENGINEER TRAY</v>
          </cell>
          <cell r="C1334" t="str">
            <v>EA</v>
          </cell>
        </row>
        <row r="1335">
          <cell r="A1335" t="str">
            <v>MAT-200</v>
          </cell>
          <cell r="B1335" t="str">
            <v>3D PRINT SAMPLE</v>
          </cell>
          <cell r="C1335" t="str">
            <v>EA</v>
          </cell>
        </row>
        <row r="1336">
          <cell r="A1336" t="str">
            <v>MAT-302</v>
          </cell>
          <cell r="B1336" t="str">
            <v>ALUM MOLD&amp;PLUG ASSIST 2UP</v>
          </cell>
          <cell r="C1336" t="str">
            <v>EA</v>
          </cell>
        </row>
        <row r="1337">
          <cell r="A1337" t="str">
            <v>MAT-402</v>
          </cell>
          <cell r="B1337" t="str">
            <v>SEAL HEAD&amp;HEAT ELEMENT2UP</v>
          </cell>
          <cell r="C1337" t="str">
            <v>EA</v>
          </cell>
        </row>
        <row r="1338">
          <cell r="A1338" t="str">
            <v>MAT-500</v>
          </cell>
          <cell r="B1338" t="str">
            <v>SEAL GASKET MOLD</v>
          </cell>
          <cell r="C1338" t="str">
            <v>EA</v>
          </cell>
        </row>
        <row r="1339">
          <cell r="A1339" t="str">
            <v>MAT-600</v>
          </cell>
          <cell r="B1339" t="str">
            <v>GASKET</v>
          </cell>
          <cell r="C1339" t="str">
            <v>EA</v>
          </cell>
        </row>
        <row r="1340">
          <cell r="A1340" t="str">
            <v>MAT-700</v>
          </cell>
          <cell r="B1340" t="str">
            <v>TOOL SETUP&amp;VALIDATION RUN</v>
          </cell>
          <cell r="C1340" t="str">
            <v>EA</v>
          </cell>
        </row>
        <row r="1341">
          <cell r="A1341" t="str">
            <v>MAT-8A00</v>
          </cell>
          <cell r="B1341" t="str">
            <v>THERMOFORM VALIDATION LOW</v>
          </cell>
          <cell r="C1341" t="str">
            <v>EA</v>
          </cell>
        </row>
        <row r="1342">
          <cell r="A1342" t="str">
            <v>MAT-8B00</v>
          </cell>
          <cell r="B1342" t="str">
            <v>THERMOFORM VALIDATION MED</v>
          </cell>
          <cell r="C1342" t="str">
            <v>EA</v>
          </cell>
        </row>
        <row r="1343">
          <cell r="A1343" t="str">
            <v>MAT-8C00</v>
          </cell>
          <cell r="B1343" t="str">
            <v>THERMOFORM VALID HIGH</v>
          </cell>
          <cell r="C1343" t="str">
            <v>EA</v>
          </cell>
        </row>
        <row r="1344">
          <cell r="A1344" t="str">
            <v>MAT-8D00</v>
          </cell>
          <cell r="B1344" t="str">
            <v>MACHINE HOURS VALID 8 HRS</v>
          </cell>
          <cell r="C1344" t="str">
            <v>EA</v>
          </cell>
        </row>
        <row r="1345">
          <cell r="A1345" t="str">
            <v>MAT-8E00</v>
          </cell>
          <cell r="B1345" t="str">
            <v>LABOR 20 HOURS @ $50/HR</v>
          </cell>
          <cell r="C1345" t="str">
            <v>EA</v>
          </cell>
        </row>
        <row r="1346">
          <cell r="A1346" t="str">
            <v>PYROGEN</v>
          </cell>
          <cell r="B1346" t="str">
            <v>PYROGEN TEST</v>
          </cell>
          <cell r="C1346" t="str">
            <v>EA</v>
          </cell>
        </row>
        <row r="1347">
          <cell r="A1347" t="str">
            <v>RECIBIO TOO</v>
          </cell>
          <cell r="B1347" t="str">
            <v>LING      RECIBIO PROTOTYPE TOOLING</v>
          </cell>
          <cell r="C1347" t="str">
            <v>EA</v>
          </cell>
        </row>
        <row r="1348">
          <cell r="A1348" t="str">
            <v>W1119</v>
          </cell>
          <cell r="B1348" t="str">
            <v>SUB ASSEM /RX</v>
          </cell>
          <cell r="C1348" t="str">
            <v>EA</v>
          </cell>
        </row>
        <row r="1349">
          <cell r="A1349" t="str">
            <v>W1130</v>
          </cell>
          <cell r="B1349" t="str">
            <v>SUB ASSEM</v>
          </cell>
          <cell r="C1349" t="str">
            <v>EA</v>
          </cell>
        </row>
        <row r="1350">
          <cell r="A1350" t="str">
            <v>W1131</v>
          </cell>
          <cell r="B1350" t="str">
            <v>SUB ASSEM</v>
          </cell>
          <cell r="C1350" t="str">
            <v>EA</v>
          </cell>
        </row>
        <row r="1351">
          <cell r="A1351" t="str">
            <v>W1136</v>
          </cell>
          <cell r="B1351" t="str">
            <v>SUB ASSEM</v>
          </cell>
          <cell r="C1351" t="str">
            <v>EA</v>
          </cell>
        </row>
        <row r="1352">
          <cell r="A1352" t="str">
            <v>W1140</v>
          </cell>
          <cell r="B1352" t="str">
            <v>SUB ASSEM</v>
          </cell>
          <cell r="C1352" t="str">
            <v>EA</v>
          </cell>
        </row>
        <row r="1353">
          <cell r="A1353" t="str">
            <v>W1178</v>
          </cell>
          <cell r="B1353" t="str">
            <v>SUB ASSEM</v>
          </cell>
          <cell r="C1353" t="str">
            <v>EA</v>
          </cell>
        </row>
        <row r="1354">
          <cell r="A1354" t="str">
            <v>W1206</v>
          </cell>
          <cell r="B1354" t="str">
            <v>SUB ASSEM</v>
          </cell>
          <cell r="C1354" t="str">
            <v>EA</v>
          </cell>
        </row>
        <row r="1355">
          <cell r="A1355" t="str">
            <v>W1218</v>
          </cell>
          <cell r="B1355" t="str">
            <v>SUB ASSEM</v>
          </cell>
          <cell r="C1355" t="str">
            <v>EA</v>
          </cell>
        </row>
        <row r="1356">
          <cell r="A1356" t="str">
            <v>W1233</v>
          </cell>
          <cell r="B1356" t="str">
            <v>SUB ASSEM</v>
          </cell>
          <cell r="C1356" t="str">
            <v>EA</v>
          </cell>
        </row>
        <row r="1357">
          <cell r="A1357" t="str">
            <v>W1271</v>
          </cell>
          <cell r="B1357" t="str">
            <v>SUB ASSEM</v>
          </cell>
          <cell r="C1357" t="str">
            <v>EA</v>
          </cell>
        </row>
        <row r="1358">
          <cell r="A1358" t="str">
            <v>W1287</v>
          </cell>
          <cell r="B1358" t="str">
            <v>SUB ASSEM</v>
          </cell>
          <cell r="C1358" t="str">
            <v>EA</v>
          </cell>
        </row>
        <row r="1359">
          <cell r="A1359" t="str">
            <v>W1291</v>
          </cell>
          <cell r="B1359" t="str">
            <v>SUB ASSEM</v>
          </cell>
          <cell r="C1359" t="str">
            <v>EA</v>
          </cell>
        </row>
        <row r="1360">
          <cell r="A1360" t="str">
            <v>W1300</v>
          </cell>
          <cell r="B1360" t="str">
            <v>SUB ASSEM</v>
          </cell>
          <cell r="C1360" t="str">
            <v>EA</v>
          </cell>
        </row>
        <row r="1361">
          <cell r="A1361" t="str">
            <v>W1321</v>
          </cell>
          <cell r="B1361" t="str">
            <v>SUB ASSEM</v>
          </cell>
          <cell r="C1361" t="str">
            <v>EA</v>
          </cell>
        </row>
        <row r="1362">
          <cell r="A1362" t="str">
            <v>W1323</v>
          </cell>
          <cell r="B1362" t="str">
            <v>SUB ASSEM</v>
          </cell>
          <cell r="C1362" t="str">
            <v>EA</v>
          </cell>
        </row>
        <row r="1363">
          <cell r="A1363" t="str">
            <v>W1353</v>
          </cell>
          <cell r="B1363" t="str">
            <v>SUB ASSEM</v>
          </cell>
          <cell r="C1363" t="str">
            <v>EA</v>
          </cell>
        </row>
        <row r="1364">
          <cell r="A1364" t="str">
            <v>W1397</v>
          </cell>
          <cell r="B1364" t="str">
            <v>SUB ASSEM</v>
          </cell>
          <cell r="C1364" t="str">
            <v>EA</v>
          </cell>
        </row>
        <row r="1365">
          <cell r="A1365" t="str">
            <v>W1408</v>
          </cell>
          <cell r="B1365" t="str">
            <v>SUB ASSEM</v>
          </cell>
          <cell r="C1365" t="str">
            <v>EA</v>
          </cell>
        </row>
        <row r="1366">
          <cell r="A1366" t="str">
            <v>W1423</v>
          </cell>
          <cell r="B1366" t="str">
            <v>SUB ASSEM</v>
          </cell>
          <cell r="C1366" t="str">
            <v>EA</v>
          </cell>
        </row>
        <row r="1367">
          <cell r="A1367" t="str">
            <v>W1440</v>
          </cell>
          <cell r="B1367" t="str">
            <v>SUB ASSEM</v>
          </cell>
          <cell r="C1367" t="str">
            <v>EA</v>
          </cell>
        </row>
        <row r="1368">
          <cell r="A1368" t="str">
            <v>W1479</v>
          </cell>
          <cell r="B1368" t="str">
            <v>SUB ASSEM</v>
          </cell>
          <cell r="C1368" t="str">
            <v>EA</v>
          </cell>
        </row>
        <row r="1369">
          <cell r="A1369" t="str">
            <v>W150</v>
          </cell>
          <cell r="B1369" t="str">
            <v>SUB ASSEM Ster 1/2"Tubing</v>
          </cell>
          <cell r="C1369" t="str">
            <v>EA</v>
          </cell>
        </row>
        <row r="1370">
          <cell r="A1370" t="str">
            <v>W1505</v>
          </cell>
          <cell r="B1370" t="str">
            <v>SUD ASSEM</v>
          </cell>
          <cell r="C1370" t="str">
            <v>EA</v>
          </cell>
        </row>
        <row r="1371">
          <cell r="A1371" t="str">
            <v>W151</v>
          </cell>
          <cell r="B1371" t="str">
            <v>SUB ASSEM Ster 1/2"Tubing</v>
          </cell>
          <cell r="C1371" t="str">
            <v>EA</v>
          </cell>
        </row>
        <row r="1372">
          <cell r="A1372" t="str">
            <v>W1510</v>
          </cell>
          <cell r="B1372" t="str">
            <v>SUB ASSEM</v>
          </cell>
          <cell r="C1372" t="str">
            <v>EA</v>
          </cell>
        </row>
        <row r="1373">
          <cell r="A1373" t="str">
            <v>W1518</v>
          </cell>
          <cell r="B1373" t="str">
            <v>SUB ASSEM</v>
          </cell>
          <cell r="C1373" t="str">
            <v>EA</v>
          </cell>
        </row>
        <row r="1374">
          <cell r="A1374" t="str">
            <v>W153</v>
          </cell>
          <cell r="B1374" t="str">
            <v>SUB ASSEM Ster 3/8"Tubing</v>
          </cell>
          <cell r="C1374" t="str">
            <v>EA</v>
          </cell>
        </row>
        <row r="1375">
          <cell r="A1375" t="str">
            <v>W1539</v>
          </cell>
          <cell r="B1375" t="str">
            <v>SUBASSEM Ster 8'X3/8" Tub</v>
          </cell>
          <cell r="C1375" t="str">
            <v>EA</v>
          </cell>
        </row>
        <row r="1376">
          <cell r="A1376" t="str">
            <v>W1540</v>
          </cell>
          <cell r="B1376" t="str">
            <v>SUB ASSEM Ster 10'X3/8"Tb</v>
          </cell>
          <cell r="C1376" t="str">
            <v>EA</v>
          </cell>
        </row>
        <row r="1377">
          <cell r="A1377" t="str">
            <v>W1549</v>
          </cell>
          <cell r="B1377" t="str">
            <v>SUB ASSEM Ster 10' Tubing</v>
          </cell>
          <cell r="C1377" t="str">
            <v>EA</v>
          </cell>
        </row>
        <row r="1378">
          <cell r="A1378" t="str">
            <v>W157</v>
          </cell>
          <cell r="B1378" t="str">
            <v>SUBASSMEB 3/16"X6' TUBING</v>
          </cell>
          <cell r="C1378" t="str">
            <v>EA</v>
          </cell>
        </row>
        <row r="1379">
          <cell r="A1379" t="str">
            <v>W1593</v>
          </cell>
          <cell r="B1379" t="str">
            <v>SUB ASSEM</v>
          </cell>
          <cell r="C1379" t="str">
            <v>EA</v>
          </cell>
        </row>
        <row r="1380">
          <cell r="A1380" t="str">
            <v>W1593R1</v>
          </cell>
          <cell r="B1380" t="str">
            <v>SUB ASSEMBLY</v>
          </cell>
          <cell r="C1380" t="str">
            <v>EA</v>
          </cell>
        </row>
        <row r="1381">
          <cell r="A1381" t="str">
            <v>W1594</v>
          </cell>
          <cell r="B1381" t="str">
            <v>SUB ASSEM 10X3/8" TUB</v>
          </cell>
          <cell r="C1381" t="str">
            <v>EA</v>
          </cell>
        </row>
        <row r="1382">
          <cell r="A1382" t="str">
            <v>W1595</v>
          </cell>
          <cell r="B1382" t="str">
            <v>SUB ASSEM</v>
          </cell>
          <cell r="C1382" t="str">
            <v>EA</v>
          </cell>
        </row>
        <row r="1383">
          <cell r="A1383" t="str">
            <v>W1597</v>
          </cell>
          <cell r="B1383" t="str">
            <v>SUB ASSEM</v>
          </cell>
          <cell r="C1383" t="str">
            <v>EA</v>
          </cell>
        </row>
        <row r="1384">
          <cell r="A1384" t="str">
            <v>W1604</v>
          </cell>
          <cell r="B1384" t="str">
            <v>SUB ASSEM</v>
          </cell>
          <cell r="C1384" t="str">
            <v>EA</v>
          </cell>
        </row>
        <row r="1385">
          <cell r="A1385" t="str">
            <v>W1628</v>
          </cell>
          <cell r="B1385" t="str">
            <v>SUB ASSEM</v>
          </cell>
          <cell r="C1385" t="str">
            <v>EA</v>
          </cell>
        </row>
        <row r="1386">
          <cell r="A1386" t="str">
            <v>W1639</v>
          </cell>
          <cell r="B1386" t="str">
            <v>SUB ASSEM</v>
          </cell>
          <cell r="C1386" t="str">
            <v>EA</v>
          </cell>
        </row>
        <row r="1387">
          <cell r="A1387" t="str">
            <v>W1657</v>
          </cell>
          <cell r="B1387" t="str">
            <v>SUB ASSEM</v>
          </cell>
          <cell r="C1387" t="str">
            <v>EA</v>
          </cell>
        </row>
        <row r="1388">
          <cell r="A1388" t="str">
            <v>W1665</v>
          </cell>
          <cell r="B1388" t="str">
            <v>SUB ASSEM</v>
          </cell>
          <cell r="C1388" t="str">
            <v>EA</v>
          </cell>
        </row>
        <row r="1389">
          <cell r="A1389" t="str">
            <v>W1679</v>
          </cell>
          <cell r="B1389" t="str">
            <v>SUB ASSEM</v>
          </cell>
          <cell r="C1389" t="str">
            <v>EA</v>
          </cell>
        </row>
        <row r="1390">
          <cell r="A1390" t="str">
            <v>W1695</v>
          </cell>
          <cell r="B1390" t="str">
            <v>SUB ASSEM</v>
          </cell>
          <cell r="C1390" t="str">
            <v>EA</v>
          </cell>
        </row>
        <row r="1391">
          <cell r="A1391" t="str">
            <v>W1707</v>
          </cell>
          <cell r="B1391" t="str">
            <v>SUB ASSEM</v>
          </cell>
          <cell r="C1391" t="str">
            <v>EA</v>
          </cell>
        </row>
        <row r="1392">
          <cell r="A1392" t="str">
            <v>W1720</v>
          </cell>
          <cell r="B1392" t="str">
            <v>SUB ASSEM</v>
          </cell>
          <cell r="C1392" t="str">
            <v>EA</v>
          </cell>
        </row>
        <row r="1393">
          <cell r="A1393" t="str">
            <v>W1721</v>
          </cell>
          <cell r="B1393" t="str">
            <v>SUB ASSEM</v>
          </cell>
          <cell r="C1393" t="str">
            <v>EA</v>
          </cell>
        </row>
        <row r="1394">
          <cell r="A1394" t="str">
            <v>W1733</v>
          </cell>
          <cell r="B1394" t="str">
            <v>SUB ASSEM</v>
          </cell>
          <cell r="C1394" t="str">
            <v>EA</v>
          </cell>
        </row>
        <row r="1395">
          <cell r="A1395" t="str">
            <v>W1734</v>
          </cell>
          <cell r="B1395" t="str">
            <v>SUB ASSEM</v>
          </cell>
          <cell r="C1395" t="str">
            <v>EA</v>
          </cell>
        </row>
        <row r="1396">
          <cell r="A1396" t="str">
            <v>W1752</v>
          </cell>
          <cell r="B1396" t="str">
            <v>SUB ASSEM</v>
          </cell>
          <cell r="C1396" t="str">
            <v>EA</v>
          </cell>
        </row>
        <row r="1397">
          <cell r="A1397" t="str">
            <v>W1753</v>
          </cell>
          <cell r="B1397" t="str">
            <v>SUB ASSEM</v>
          </cell>
          <cell r="C1397" t="str">
            <v>EA</v>
          </cell>
        </row>
        <row r="1398">
          <cell r="A1398" t="str">
            <v>W1755</v>
          </cell>
          <cell r="B1398" t="str">
            <v>SUB ASSEM</v>
          </cell>
          <cell r="C1398" t="str">
            <v>EA</v>
          </cell>
        </row>
        <row r="1399">
          <cell r="A1399" t="str">
            <v>W1767</v>
          </cell>
          <cell r="B1399" t="str">
            <v>SUB ASSEM</v>
          </cell>
          <cell r="C1399" t="str">
            <v>EA</v>
          </cell>
        </row>
        <row r="1400">
          <cell r="A1400" t="str">
            <v>W1768</v>
          </cell>
          <cell r="B1400" t="str">
            <v>SUBASSEM</v>
          </cell>
          <cell r="C1400" t="str">
            <v>EA</v>
          </cell>
        </row>
        <row r="1401">
          <cell r="A1401" t="str">
            <v>W1782</v>
          </cell>
          <cell r="B1401" t="str">
            <v>SUB ASSEM</v>
          </cell>
          <cell r="C1401" t="str">
            <v>EA</v>
          </cell>
        </row>
        <row r="1402">
          <cell r="A1402" t="str">
            <v>W1785</v>
          </cell>
          <cell r="B1402" t="str">
            <v>SUB ASSEM</v>
          </cell>
          <cell r="C1402" t="str">
            <v>EA</v>
          </cell>
        </row>
        <row r="1403">
          <cell r="A1403" t="str">
            <v>W1786</v>
          </cell>
          <cell r="B1403" t="str">
            <v>SUB ASSEM</v>
          </cell>
          <cell r="C1403" t="str">
            <v>EA</v>
          </cell>
        </row>
        <row r="1404">
          <cell r="A1404" t="str">
            <v>W1789</v>
          </cell>
          <cell r="B1404" t="str">
            <v>SUB ASSEM</v>
          </cell>
          <cell r="C1404" t="str">
            <v>EA</v>
          </cell>
        </row>
        <row r="1405">
          <cell r="A1405" t="str">
            <v>W1812</v>
          </cell>
          <cell r="B1405" t="str">
            <v>SUB ASSEM</v>
          </cell>
          <cell r="C1405" t="str">
            <v>EA</v>
          </cell>
        </row>
        <row r="1406">
          <cell r="A1406" t="str">
            <v>W1814</v>
          </cell>
          <cell r="B1406" t="str">
            <v>SUB ASSEM</v>
          </cell>
          <cell r="C1406" t="str">
            <v>EA</v>
          </cell>
        </row>
        <row r="1407">
          <cell r="A1407" t="str">
            <v>W1817</v>
          </cell>
          <cell r="B1407" t="str">
            <v>SUB ASSEM</v>
          </cell>
          <cell r="C1407" t="str">
            <v>EA</v>
          </cell>
        </row>
        <row r="1408">
          <cell r="A1408" t="str">
            <v>W1820</v>
          </cell>
          <cell r="B1408" t="str">
            <v>SUB ASSEM</v>
          </cell>
          <cell r="C1408" t="str">
            <v>EA</v>
          </cell>
        </row>
        <row r="1409">
          <cell r="A1409" t="str">
            <v>W1821</v>
          </cell>
          <cell r="B1409" t="str">
            <v>SUB ASSEM</v>
          </cell>
          <cell r="C1409" t="str">
            <v>EA</v>
          </cell>
        </row>
        <row r="1410">
          <cell r="A1410" t="str">
            <v>W1840</v>
          </cell>
          <cell r="B1410" t="str">
            <v>SUB ASSEM</v>
          </cell>
          <cell r="C1410" t="str">
            <v>EA</v>
          </cell>
        </row>
        <row r="1411">
          <cell r="A1411" t="str">
            <v>W1841</v>
          </cell>
          <cell r="B1411" t="str">
            <v>SUB ASSEM</v>
          </cell>
          <cell r="C1411" t="str">
            <v>EA</v>
          </cell>
        </row>
        <row r="1412">
          <cell r="A1412" t="str">
            <v>W1843</v>
          </cell>
          <cell r="B1412" t="str">
            <v>SUB ASSEM</v>
          </cell>
          <cell r="C1412" t="str">
            <v>EA</v>
          </cell>
        </row>
        <row r="1413">
          <cell r="A1413" t="str">
            <v>W1850</v>
          </cell>
          <cell r="B1413" t="str">
            <v>SUB ASSEM</v>
          </cell>
          <cell r="C1413" t="str">
            <v>EA</v>
          </cell>
        </row>
        <row r="1414">
          <cell r="A1414" t="str">
            <v>W1855</v>
          </cell>
          <cell r="B1414" t="str">
            <v>SUB ASSEM</v>
          </cell>
          <cell r="C1414" t="str">
            <v>EA</v>
          </cell>
        </row>
        <row r="1415">
          <cell r="A1415" t="str">
            <v>W1859</v>
          </cell>
          <cell r="B1415" t="str">
            <v>SUB ASSEM</v>
          </cell>
          <cell r="C1415" t="str">
            <v>EA</v>
          </cell>
        </row>
        <row r="1416">
          <cell r="A1416" t="str">
            <v>W1862</v>
          </cell>
          <cell r="B1416" t="str">
            <v>SUB ASSEM</v>
          </cell>
          <cell r="C1416" t="str">
            <v>EA</v>
          </cell>
        </row>
        <row r="1417">
          <cell r="A1417" t="str">
            <v>W1867</v>
          </cell>
          <cell r="B1417" t="str">
            <v>SUB ASSEM</v>
          </cell>
          <cell r="C1417" t="str">
            <v>EA</v>
          </cell>
        </row>
        <row r="1418">
          <cell r="A1418" t="str">
            <v>W1871</v>
          </cell>
          <cell r="B1418" t="str">
            <v>SUB ASSEM</v>
          </cell>
          <cell r="C1418" t="str">
            <v>EA</v>
          </cell>
        </row>
        <row r="1419">
          <cell r="A1419" t="str">
            <v>W1871R1</v>
          </cell>
          <cell r="B1419" t="str">
            <v>SUB ASSEM</v>
          </cell>
          <cell r="C1419" t="str">
            <v>EA</v>
          </cell>
        </row>
        <row r="1420">
          <cell r="A1420" t="str">
            <v>W1873</v>
          </cell>
          <cell r="B1420" t="str">
            <v>SUB ASSEM</v>
          </cell>
          <cell r="C1420" t="str">
            <v>EA</v>
          </cell>
        </row>
        <row r="1421">
          <cell r="A1421" t="str">
            <v>W1873R3</v>
          </cell>
          <cell r="B1421" t="str">
            <v>SUB ASSEM</v>
          </cell>
          <cell r="C1421" t="str">
            <v>EA</v>
          </cell>
        </row>
        <row r="1422">
          <cell r="A1422" t="str">
            <v>W1884</v>
          </cell>
          <cell r="B1422" t="str">
            <v>SUB ASSEM</v>
          </cell>
          <cell r="C1422" t="str">
            <v>CS</v>
          </cell>
        </row>
        <row r="1423">
          <cell r="A1423" t="str">
            <v>W1886</v>
          </cell>
          <cell r="B1423" t="str">
            <v>SUB ASSEM</v>
          </cell>
          <cell r="C1423" t="str">
            <v>EA</v>
          </cell>
        </row>
        <row r="1424">
          <cell r="A1424" t="str">
            <v>W1887</v>
          </cell>
          <cell r="B1424" t="str">
            <v>SUB ASSEM</v>
          </cell>
          <cell r="C1424" t="str">
            <v>EA</v>
          </cell>
        </row>
        <row r="1425">
          <cell r="A1425" t="str">
            <v>W1888</v>
          </cell>
          <cell r="B1425" t="str">
            <v>SUB ASSEM</v>
          </cell>
          <cell r="C1425" t="str">
            <v>EA</v>
          </cell>
        </row>
        <row r="1426">
          <cell r="A1426" t="str">
            <v>W1914</v>
          </cell>
          <cell r="B1426" t="str">
            <v>SUB ASSEM</v>
          </cell>
          <cell r="C1426" t="str">
            <v>EA</v>
          </cell>
        </row>
        <row r="1427">
          <cell r="A1427" t="str">
            <v>W1925</v>
          </cell>
          <cell r="B1427" t="str">
            <v>SUB ASSEM</v>
          </cell>
          <cell r="C1427" t="str">
            <v>EA</v>
          </cell>
        </row>
        <row r="1428">
          <cell r="A1428" t="str">
            <v>W1932</v>
          </cell>
          <cell r="B1428" t="str">
            <v>SUB ASSEM</v>
          </cell>
          <cell r="C1428" t="str">
            <v>EA</v>
          </cell>
        </row>
        <row r="1429">
          <cell r="A1429" t="str">
            <v>W1933</v>
          </cell>
          <cell r="B1429" t="str">
            <v>SUB ASSEM</v>
          </cell>
          <cell r="C1429" t="str">
            <v>EA</v>
          </cell>
        </row>
        <row r="1430">
          <cell r="A1430" t="str">
            <v>W1956</v>
          </cell>
          <cell r="B1430" t="str">
            <v>SUB ASSEM</v>
          </cell>
          <cell r="C1430" t="str">
            <v>EA</v>
          </cell>
        </row>
        <row r="1431">
          <cell r="A1431" t="str">
            <v>W1960</v>
          </cell>
          <cell r="B1431" t="str">
            <v>SUB ASSEM</v>
          </cell>
          <cell r="C1431" t="str">
            <v>EA</v>
          </cell>
        </row>
        <row r="1432">
          <cell r="A1432" t="str">
            <v>W1968</v>
          </cell>
          <cell r="B1432" t="str">
            <v>SUB ASSEM</v>
          </cell>
          <cell r="C1432" t="str">
            <v>EA</v>
          </cell>
        </row>
        <row r="1433">
          <cell r="A1433" t="str">
            <v>W1976R1</v>
          </cell>
          <cell r="B1433" t="str">
            <v>SUB ASSEM</v>
          </cell>
          <cell r="C1433" t="str">
            <v>EA</v>
          </cell>
        </row>
        <row r="1434">
          <cell r="A1434" t="str">
            <v>W1977</v>
          </cell>
          <cell r="B1434" t="str">
            <v>SUB ASSEM</v>
          </cell>
          <cell r="C1434" t="str">
            <v>EA</v>
          </cell>
        </row>
        <row r="1435">
          <cell r="A1435" t="str">
            <v>W19901</v>
          </cell>
          <cell r="B1435" t="str">
            <v>SUB ASSEM</v>
          </cell>
          <cell r="C1435" t="str">
            <v>EA</v>
          </cell>
        </row>
        <row r="1436">
          <cell r="A1436" t="str">
            <v>W1992</v>
          </cell>
          <cell r="B1436" t="str">
            <v>SUB ASSEM</v>
          </cell>
          <cell r="C1436" t="str">
            <v>EA</v>
          </cell>
        </row>
        <row r="1437">
          <cell r="A1437" t="str">
            <v>W1993R2</v>
          </cell>
          <cell r="B1437" t="str">
            <v>SUB ASSEM</v>
          </cell>
          <cell r="C1437" t="str">
            <v>EA</v>
          </cell>
        </row>
        <row r="1438">
          <cell r="A1438" t="str">
            <v>W1994</v>
          </cell>
          <cell r="B1438" t="str">
            <v>SUB ASSEM</v>
          </cell>
          <cell r="C1438" t="str">
            <v>EA</v>
          </cell>
        </row>
        <row r="1439">
          <cell r="A1439" t="str">
            <v>W2000</v>
          </cell>
          <cell r="B1439" t="str">
            <v>SUB ASSEM</v>
          </cell>
          <cell r="C1439" t="str">
            <v>EA</v>
          </cell>
        </row>
        <row r="1440">
          <cell r="A1440" t="str">
            <v>W2005</v>
          </cell>
          <cell r="B1440" t="str">
            <v>SUB ASSEM</v>
          </cell>
          <cell r="C1440" t="str">
            <v>EA</v>
          </cell>
        </row>
        <row r="1441">
          <cell r="A1441" t="str">
            <v>W2007</v>
          </cell>
          <cell r="B1441" t="str">
            <v>SUB ASSEM</v>
          </cell>
          <cell r="C1441" t="str">
            <v>EA</v>
          </cell>
        </row>
        <row r="1442">
          <cell r="A1442" t="str">
            <v>W2009</v>
          </cell>
          <cell r="B1442" t="str">
            <v>SUB ASSEM</v>
          </cell>
          <cell r="C1442" t="str">
            <v>EA</v>
          </cell>
        </row>
        <row r="1443">
          <cell r="A1443" t="str">
            <v>W2029</v>
          </cell>
          <cell r="B1443" t="str">
            <v>SUB ASSEM</v>
          </cell>
          <cell r="C1443" t="str">
            <v>EA</v>
          </cell>
        </row>
        <row r="1444">
          <cell r="A1444" t="str">
            <v>W2091</v>
          </cell>
          <cell r="B1444" t="str">
            <v>SUB ASSEM</v>
          </cell>
          <cell r="C1444" t="str">
            <v>EA</v>
          </cell>
        </row>
        <row r="1445">
          <cell r="A1445" t="str">
            <v>W2094</v>
          </cell>
          <cell r="B1445" t="str">
            <v>SUB ASSEM</v>
          </cell>
          <cell r="C1445" t="str">
            <v>EA</v>
          </cell>
        </row>
        <row r="1446">
          <cell r="A1446" t="str">
            <v>W2114</v>
          </cell>
          <cell r="B1446" t="str">
            <v>SUB ASSEM</v>
          </cell>
          <cell r="C1446" t="str">
            <v>EA</v>
          </cell>
        </row>
        <row r="1447">
          <cell r="A1447" t="str">
            <v>W2118</v>
          </cell>
          <cell r="B1447" t="str">
            <v>SUB ASSEM</v>
          </cell>
          <cell r="C1447" t="str">
            <v>EA</v>
          </cell>
        </row>
        <row r="1448">
          <cell r="A1448" t="str">
            <v>W2121</v>
          </cell>
          <cell r="B1448" t="str">
            <v>SUB ASSEM</v>
          </cell>
          <cell r="C1448" t="str">
            <v>EA</v>
          </cell>
        </row>
        <row r="1449">
          <cell r="A1449" t="str">
            <v>W2131R3</v>
          </cell>
          <cell r="B1449" t="str">
            <v>SUB ASSEMBLY</v>
          </cell>
          <cell r="C1449" t="str">
            <v>EA</v>
          </cell>
        </row>
        <row r="1450">
          <cell r="A1450" t="str">
            <v>W2135</v>
          </cell>
          <cell r="B1450" t="str">
            <v>SUB ASSEM</v>
          </cell>
          <cell r="C1450" t="str">
            <v>EA</v>
          </cell>
        </row>
        <row r="1451">
          <cell r="A1451" t="str">
            <v>W2135R1</v>
          </cell>
          <cell r="B1451" t="str">
            <v>SUB ASSEM</v>
          </cell>
          <cell r="C1451" t="str">
            <v>EA</v>
          </cell>
        </row>
        <row r="1452">
          <cell r="A1452" t="str">
            <v>W2138</v>
          </cell>
          <cell r="B1452" t="str">
            <v>SUB ASSEM</v>
          </cell>
          <cell r="C1452" t="str">
            <v>EA</v>
          </cell>
        </row>
        <row r="1453">
          <cell r="A1453" t="str">
            <v>W2144</v>
          </cell>
          <cell r="B1453" t="str">
            <v>SUB ASSEM</v>
          </cell>
          <cell r="C1453" t="str">
            <v>EA</v>
          </cell>
        </row>
        <row r="1454">
          <cell r="A1454" t="str">
            <v>W2145</v>
          </cell>
          <cell r="B1454" t="str">
            <v>SUB ASSEM</v>
          </cell>
          <cell r="C1454" t="str">
            <v>EA</v>
          </cell>
        </row>
        <row r="1455">
          <cell r="A1455" t="str">
            <v>W2155</v>
          </cell>
          <cell r="B1455" t="str">
            <v>SUB ASSEM</v>
          </cell>
          <cell r="C1455" t="str">
            <v>EA</v>
          </cell>
        </row>
        <row r="1456">
          <cell r="A1456" t="str">
            <v>W2157</v>
          </cell>
          <cell r="B1456" t="str">
            <v>SUB ASSEM</v>
          </cell>
          <cell r="C1456" t="str">
            <v>EA</v>
          </cell>
        </row>
        <row r="1457">
          <cell r="A1457" t="str">
            <v>W2161</v>
          </cell>
          <cell r="B1457" t="str">
            <v>SUB ASSEM</v>
          </cell>
          <cell r="C1457" t="str">
            <v>EA</v>
          </cell>
        </row>
        <row r="1458">
          <cell r="A1458" t="str">
            <v>W2164</v>
          </cell>
          <cell r="B1458" t="str">
            <v>SUB ASSEM</v>
          </cell>
          <cell r="C1458" t="str">
            <v>EA</v>
          </cell>
        </row>
        <row r="1459">
          <cell r="A1459" t="str">
            <v>W2170</v>
          </cell>
          <cell r="B1459" t="str">
            <v>SUB ASSEM</v>
          </cell>
          <cell r="C1459" t="str">
            <v>EA</v>
          </cell>
        </row>
        <row r="1460">
          <cell r="A1460" t="str">
            <v>W2181</v>
          </cell>
          <cell r="B1460" t="str">
            <v>SUB ASSEM</v>
          </cell>
          <cell r="C1460" t="str">
            <v>EA</v>
          </cell>
        </row>
        <row r="1461">
          <cell r="A1461" t="str">
            <v>W2205</v>
          </cell>
          <cell r="B1461" t="str">
            <v>SUB ASSEM</v>
          </cell>
          <cell r="C1461" t="str">
            <v>EA</v>
          </cell>
        </row>
        <row r="1462">
          <cell r="A1462" t="str">
            <v>W2205R1</v>
          </cell>
          <cell r="B1462" t="str">
            <v>SUB ASSEM</v>
          </cell>
          <cell r="C1462" t="str">
            <v>EA</v>
          </cell>
        </row>
        <row r="1463">
          <cell r="A1463" t="str">
            <v>W2210</v>
          </cell>
          <cell r="B1463" t="str">
            <v>SUB ASSEM</v>
          </cell>
          <cell r="C1463" t="str">
            <v>EA</v>
          </cell>
        </row>
        <row r="1464">
          <cell r="A1464" t="str">
            <v>W2235</v>
          </cell>
          <cell r="B1464" t="str">
            <v>SUB ASSEM</v>
          </cell>
          <cell r="C1464" t="str">
            <v>EA</v>
          </cell>
        </row>
        <row r="1465">
          <cell r="A1465" t="str">
            <v>W2236</v>
          </cell>
          <cell r="B1465" t="str">
            <v>SUB ASSEM</v>
          </cell>
          <cell r="C1465" t="str">
            <v>EA</v>
          </cell>
        </row>
        <row r="1466">
          <cell r="A1466" t="str">
            <v>W2249</v>
          </cell>
          <cell r="B1466" t="str">
            <v>SUB ASSEM</v>
          </cell>
          <cell r="C1466" t="str">
            <v>EA</v>
          </cell>
        </row>
        <row r="1467">
          <cell r="A1467" t="str">
            <v>W2282</v>
          </cell>
          <cell r="B1467" t="str">
            <v>SUB ASSEM</v>
          </cell>
          <cell r="C1467" t="str">
            <v>EA</v>
          </cell>
        </row>
        <row r="1468">
          <cell r="A1468" t="str">
            <v>W2284</v>
          </cell>
          <cell r="B1468" t="str">
            <v>SUB ASSEM</v>
          </cell>
          <cell r="C1468" t="str">
            <v>EA</v>
          </cell>
        </row>
        <row r="1469">
          <cell r="A1469" t="str">
            <v>W2303</v>
          </cell>
          <cell r="B1469" t="str">
            <v>SUB ASSEM</v>
          </cell>
          <cell r="C1469" t="str">
            <v>EA</v>
          </cell>
        </row>
        <row r="1470">
          <cell r="A1470" t="str">
            <v>W2307</v>
          </cell>
          <cell r="B1470" t="str">
            <v>SUB ASSEM</v>
          </cell>
          <cell r="C1470" t="str">
            <v>EA</v>
          </cell>
        </row>
        <row r="1471">
          <cell r="A1471" t="str">
            <v>W2307R1</v>
          </cell>
          <cell r="B1471" t="str">
            <v>SUB ASSEM</v>
          </cell>
          <cell r="C1471" t="str">
            <v>EA</v>
          </cell>
        </row>
        <row r="1472">
          <cell r="A1472" t="str">
            <v>W2307R2</v>
          </cell>
          <cell r="B1472" t="str">
            <v>SUB ASSEM</v>
          </cell>
          <cell r="C1472" t="str">
            <v>EA</v>
          </cell>
        </row>
        <row r="1473">
          <cell r="A1473" t="str">
            <v>W2314</v>
          </cell>
          <cell r="B1473" t="str">
            <v>SUB ASSEM</v>
          </cell>
          <cell r="C1473" t="str">
            <v>EA</v>
          </cell>
        </row>
        <row r="1474">
          <cell r="A1474" t="str">
            <v>W2315</v>
          </cell>
          <cell r="B1474" t="str">
            <v>SUB ASSEM</v>
          </cell>
          <cell r="C1474" t="str">
            <v>EA</v>
          </cell>
        </row>
        <row r="1475">
          <cell r="A1475" t="str">
            <v>W2319</v>
          </cell>
          <cell r="B1475" t="str">
            <v>SUB ASSEM</v>
          </cell>
          <cell r="C1475" t="str">
            <v>EA</v>
          </cell>
        </row>
        <row r="1476">
          <cell r="A1476" t="str">
            <v>W2352</v>
          </cell>
          <cell r="B1476" t="str">
            <v>SUB ASSEM</v>
          </cell>
          <cell r="C1476" t="str">
            <v>EA</v>
          </cell>
        </row>
        <row r="1477">
          <cell r="A1477" t="str">
            <v>W2354</v>
          </cell>
          <cell r="B1477" t="str">
            <v>SUB ASSEM</v>
          </cell>
          <cell r="C1477" t="str">
            <v>EA</v>
          </cell>
        </row>
        <row r="1478">
          <cell r="A1478" t="str">
            <v>W2370</v>
          </cell>
          <cell r="B1478" t="str">
            <v>SUB ASSEM</v>
          </cell>
          <cell r="C1478" t="str">
            <v>EA</v>
          </cell>
        </row>
        <row r="1479">
          <cell r="A1479" t="str">
            <v>W2372</v>
          </cell>
          <cell r="B1479" t="str">
            <v>SUB ASSEM</v>
          </cell>
          <cell r="C1479" t="str">
            <v>EA</v>
          </cell>
        </row>
        <row r="1480">
          <cell r="A1480" t="str">
            <v>W2373</v>
          </cell>
          <cell r="B1480" t="str">
            <v>SUB ASSEM</v>
          </cell>
          <cell r="C1480" t="str">
            <v>EA</v>
          </cell>
        </row>
        <row r="1481">
          <cell r="A1481" t="str">
            <v>W2403</v>
          </cell>
          <cell r="B1481" t="str">
            <v>SUB ASSEM</v>
          </cell>
          <cell r="C1481" t="str">
            <v>EA</v>
          </cell>
        </row>
        <row r="1482">
          <cell r="A1482" t="str">
            <v>W2417</v>
          </cell>
          <cell r="B1482" t="str">
            <v>SUB ASSEM</v>
          </cell>
          <cell r="C1482" t="str">
            <v>EA</v>
          </cell>
        </row>
        <row r="1483">
          <cell r="A1483" t="str">
            <v>W2487</v>
          </cell>
          <cell r="B1483" t="str">
            <v>SUB ASSEM</v>
          </cell>
          <cell r="C1483" t="str">
            <v>EA</v>
          </cell>
        </row>
        <row r="1484">
          <cell r="A1484" t="str">
            <v>W2504</v>
          </cell>
          <cell r="B1484" t="str">
            <v>SUB ASSEM</v>
          </cell>
          <cell r="C1484" t="str">
            <v>EA</v>
          </cell>
        </row>
        <row r="1485">
          <cell r="A1485" t="str">
            <v>W2504R1</v>
          </cell>
          <cell r="B1485" t="str">
            <v>SUB ASSEM</v>
          </cell>
          <cell r="C1485" t="str">
            <v>EA</v>
          </cell>
        </row>
        <row r="1486">
          <cell r="A1486" t="str">
            <v>W2518</v>
          </cell>
          <cell r="B1486" t="str">
            <v>SUB ASSEM</v>
          </cell>
          <cell r="C1486" t="str">
            <v>EA</v>
          </cell>
        </row>
        <row r="1487">
          <cell r="A1487" t="str">
            <v>W2519</v>
          </cell>
          <cell r="B1487" t="str">
            <v>SUB ASSEM</v>
          </cell>
          <cell r="C1487" t="str">
            <v>EA</v>
          </cell>
        </row>
        <row r="1488">
          <cell r="A1488" t="str">
            <v>W2520</v>
          </cell>
          <cell r="B1488" t="str">
            <v>SUB ASSEM</v>
          </cell>
          <cell r="C1488" t="str">
            <v>EA</v>
          </cell>
        </row>
        <row r="1489">
          <cell r="A1489" t="str">
            <v>W2521</v>
          </cell>
          <cell r="B1489" t="str">
            <v>SUB ASSEM</v>
          </cell>
          <cell r="C1489" t="str">
            <v>EA</v>
          </cell>
        </row>
        <row r="1490">
          <cell r="A1490" t="str">
            <v>W2524</v>
          </cell>
          <cell r="B1490" t="str">
            <v>SUB ASSEM</v>
          </cell>
          <cell r="C1490" t="str">
            <v>EA</v>
          </cell>
        </row>
        <row r="1491">
          <cell r="A1491" t="str">
            <v>W2524R1</v>
          </cell>
          <cell r="B1491" t="str">
            <v>SUB ASSEM</v>
          </cell>
          <cell r="C1491" t="str">
            <v>EA</v>
          </cell>
        </row>
        <row r="1492">
          <cell r="A1492" t="str">
            <v>W2579</v>
          </cell>
          <cell r="B1492" t="str">
            <v>SUB ASSEM</v>
          </cell>
          <cell r="C1492" t="str">
            <v>EA</v>
          </cell>
        </row>
        <row r="1493">
          <cell r="A1493" t="str">
            <v>W2609</v>
          </cell>
          <cell r="B1493" t="str">
            <v>SUB ASSEM</v>
          </cell>
          <cell r="C1493" t="str">
            <v>EA</v>
          </cell>
        </row>
        <row r="1494">
          <cell r="A1494" t="str">
            <v>W2632</v>
          </cell>
          <cell r="B1494" t="str">
            <v>SUB ASSEM</v>
          </cell>
          <cell r="C1494" t="str">
            <v>EA</v>
          </cell>
        </row>
        <row r="1495">
          <cell r="A1495" t="str">
            <v>W2658</v>
          </cell>
          <cell r="B1495" t="str">
            <v>SUB ASSEM</v>
          </cell>
          <cell r="C1495" t="str">
            <v>EA</v>
          </cell>
        </row>
        <row r="1496">
          <cell r="A1496" t="str">
            <v>W2660</v>
          </cell>
          <cell r="B1496" t="str">
            <v>SUB ASSEM</v>
          </cell>
          <cell r="C1496" t="str">
            <v>EA</v>
          </cell>
        </row>
        <row r="1497">
          <cell r="A1497" t="str">
            <v>W2675</v>
          </cell>
          <cell r="B1497" t="str">
            <v>SUB ASSEM</v>
          </cell>
          <cell r="C1497" t="str">
            <v>EA</v>
          </cell>
        </row>
        <row r="1498">
          <cell r="A1498" t="str">
            <v>W2677</v>
          </cell>
          <cell r="B1498" t="str">
            <v>SUB ASSEM</v>
          </cell>
          <cell r="C1498" t="str">
            <v>EA</v>
          </cell>
        </row>
        <row r="1499">
          <cell r="A1499" t="str">
            <v>W2695R1</v>
          </cell>
          <cell r="B1499" t="str">
            <v>SUB ASSEM</v>
          </cell>
          <cell r="C1499" t="str">
            <v>EA</v>
          </cell>
        </row>
        <row r="1500">
          <cell r="A1500" t="str">
            <v>W2705</v>
          </cell>
          <cell r="B1500" t="str">
            <v>SUB ASSEM</v>
          </cell>
          <cell r="C1500" t="str">
            <v>EA</v>
          </cell>
        </row>
        <row r="1501">
          <cell r="A1501" t="str">
            <v>W2720</v>
          </cell>
          <cell r="B1501" t="str">
            <v>SUB ASSEM</v>
          </cell>
          <cell r="C1501" t="str">
            <v>EA</v>
          </cell>
        </row>
        <row r="1502">
          <cell r="A1502" t="str">
            <v>W2720R1</v>
          </cell>
          <cell r="B1502" t="str">
            <v>SUB ASSEM</v>
          </cell>
          <cell r="C1502" t="str">
            <v>EA</v>
          </cell>
        </row>
        <row r="1503">
          <cell r="A1503" t="str">
            <v>W2720R2</v>
          </cell>
          <cell r="B1503" t="str">
            <v>SUB ASSEM</v>
          </cell>
          <cell r="C1503" t="str">
            <v>EA</v>
          </cell>
        </row>
        <row r="1504">
          <cell r="A1504" t="str">
            <v>W2730</v>
          </cell>
          <cell r="B1504" t="str">
            <v>SUB ASSEM</v>
          </cell>
          <cell r="C1504" t="str">
            <v>EA</v>
          </cell>
        </row>
        <row r="1505">
          <cell r="A1505" t="str">
            <v>W2731</v>
          </cell>
          <cell r="B1505" t="str">
            <v>SUB ASSEM</v>
          </cell>
          <cell r="C1505" t="str">
            <v>EA</v>
          </cell>
        </row>
        <row r="1506">
          <cell r="A1506" t="str">
            <v>W2739</v>
          </cell>
          <cell r="B1506" t="str">
            <v>SUB ASSEM</v>
          </cell>
          <cell r="C1506" t="str">
            <v>EA</v>
          </cell>
        </row>
        <row r="1507">
          <cell r="A1507" t="str">
            <v>W2814</v>
          </cell>
          <cell r="B1507" t="str">
            <v>SUB ASSEM</v>
          </cell>
          <cell r="C1507" t="str">
            <v>EA</v>
          </cell>
        </row>
        <row r="1508">
          <cell r="A1508" t="str">
            <v>W2830</v>
          </cell>
          <cell r="B1508" t="str">
            <v>SUB ASSEM</v>
          </cell>
          <cell r="C1508" t="str">
            <v>EA</v>
          </cell>
        </row>
        <row r="1509">
          <cell r="A1509" t="str">
            <v>W2862</v>
          </cell>
          <cell r="B1509" t="str">
            <v>SUB ASSEM</v>
          </cell>
          <cell r="C1509" t="str">
            <v>EA</v>
          </cell>
        </row>
        <row r="1510">
          <cell r="A1510" t="str">
            <v>W2868</v>
          </cell>
          <cell r="B1510" t="str">
            <v>SUB ASSEM</v>
          </cell>
          <cell r="C1510" t="str">
            <v>EA</v>
          </cell>
        </row>
        <row r="1511">
          <cell r="A1511" t="str">
            <v>W2869</v>
          </cell>
          <cell r="B1511" t="str">
            <v>SUB ASSEM</v>
          </cell>
          <cell r="C1511" t="str">
            <v>EA</v>
          </cell>
        </row>
        <row r="1512">
          <cell r="A1512" t="str">
            <v>W2887</v>
          </cell>
          <cell r="B1512" t="str">
            <v>SUB ASSEM</v>
          </cell>
          <cell r="C1512" t="str">
            <v>EA</v>
          </cell>
        </row>
        <row r="1513">
          <cell r="A1513" t="str">
            <v>W2887R1</v>
          </cell>
          <cell r="B1513" t="str">
            <v>SUB ASSEM</v>
          </cell>
          <cell r="C1513" t="str">
            <v>EA</v>
          </cell>
        </row>
        <row r="1514">
          <cell r="A1514" t="str">
            <v>W291</v>
          </cell>
          <cell r="B1514" t="str">
            <v>SUBASSEMSterPooleW/TBG</v>
          </cell>
          <cell r="C1514" t="str">
            <v>EA</v>
          </cell>
        </row>
        <row r="1515">
          <cell r="A1515" t="str">
            <v>W2914</v>
          </cell>
          <cell r="B1515" t="str">
            <v>SUBASSEM SterP/W/T/ALLEG</v>
          </cell>
          <cell r="C1515" t="str">
            <v>EA</v>
          </cell>
        </row>
        <row r="1516">
          <cell r="A1516" t="str">
            <v>W2972</v>
          </cell>
          <cell r="B1516" t="str">
            <v>SUB ASSEM</v>
          </cell>
          <cell r="C1516" t="str">
            <v>EA</v>
          </cell>
        </row>
        <row r="1517">
          <cell r="A1517" t="str">
            <v>W2994</v>
          </cell>
          <cell r="B1517" t="str">
            <v>SUB ASSEM</v>
          </cell>
          <cell r="C1517" t="str">
            <v>EA</v>
          </cell>
        </row>
        <row r="1518">
          <cell r="A1518" t="str">
            <v>W3002</v>
          </cell>
          <cell r="B1518" t="str">
            <v>SUB ASSEM</v>
          </cell>
          <cell r="C1518" t="str">
            <v>EA</v>
          </cell>
        </row>
        <row r="1519">
          <cell r="A1519" t="str">
            <v>W302</v>
          </cell>
          <cell r="B1519" t="str">
            <v>SUB ASSEM SterYank/w/ov</v>
          </cell>
          <cell r="C1519" t="str">
            <v>EA</v>
          </cell>
        </row>
        <row r="1520">
          <cell r="A1520" t="str">
            <v>W303</v>
          </cell>
          <cell r="B1520" t="str">
            <v>SUB ASSEM SterYank/w/nt</v>
          </cell>
          <cell r="C1520" t="str">
            <v>EA</v>
          </cell>
        </row>
        <row r="1521">
          <cell r="A1521" t="str">
            <v>W3037</v>
          </cell>
          <cell r="B1521" t="str">
            <v>SUB ASSEM</v>
          </cell>
          <cell r="C1521" t="str">
            <v>EA</v>
          </cell>
        </row>
        <row r="1522">
          <cell r="A1522" t="str">
            <v>W305</v>
          </cell>
          <cell r="B1522" t="str">
            <v>SUB ASSEM SterYank w/o v</v>
          </cell>
          <cell r="C1522" t="str">
            <v>EA</v>
          </cell>
        </row>
        <row r="1523">
          <cell r="A1523" t="str">
            <v>W3057</v>
          </cell>
          <cell r="B1523" t="str">
            <v>SUB ASSEM</v>
          </cell>
          <cell r="C1523" t="str">
            <v>EA</v>
          </cell>
        </row>
        <row r="1524">
          <cell r="A1524" t="str">
            <v>W3057R1</v>
          </cell>
          <cell r="B1524" t="str">
            <v>SUB ASSEM</v>
          </cell>
          <cell r="C1524" t="str">
            <v>EA</v>
          </cell>
        </row>
        <row r="1525">
          <cell r="A1525" t="str">
            <v>W3068</v>
          </cell>
          <cell r="B1525" t="str">
            <v>SUB ASSEM</v>
          </cell>
          <cell r="C1525" t="str">
            <v>EA</v>
          </cell>
        </row>
        <row r="1526">
          <cell r="A1526" t="str">
            <v>W3145</v>
          </cell>
          <cell r="B1526" t="str">
            <v>SUB ASSEM</v>
          </cell>
          <cell r="C1526" t="str">
            <v>EA</v>
          </cell>
        </row>
        <row r="1527">
          <cell r="A1527" t="str">
            <v>W3145R1</v>
          </cell>
          <cell r="B1527" t="str">
            <v>SUB ASSEM</v>
          </cell>
          <cell r="C1527" t="str">
            <v>EA</v>
          </cell>
        </row>
        <row r="1528">
          <cell r="A1528" t="str">
            <v>W3146</v>
          </cell>
          <cell r="B1528" t="str">
            <v>SUB ASSEM</v>
          </cell>
          <cell r="C1528" t="str">
            <v>EA</v>
          </cell>
        </row>
        <row r="1529">
          <cell r="A1529" t="str">
            <v>W3146R1</v>
          </cell>
          <cell r="B1529" t="str">
            <v>SUB ASSEM</v>
          </cell>
          <cell r="C1529" t="str">
            <v>EA</v>
          </cell>
        </row>
        <row r="1530">
          <cell r="A1530" t="str">
            <v>W3220</v>
          </cell>
          <cell r="B1530" t="str">
            <v>SUB ASSEM Ster Minor Pak</v>
          </cell>
          <cell r="C1530" t="str">
            <v>EA</v>
          </cell>
        </row>
        <row r="1531">
          <cell r="A1531" t="str">
            <v>W3312</v>
          </cell>
          <cell r="B1531" t="str">
            <v>SUB ASSEM</v>
          </cell>
          <cell r="C1531" t="str">
            <v>EA</v>
          </cell>
        </row>
        <row r="1532">
          <cell r="A1532" t="str">
            <v>W3431</v>
          </cell>
          <cell r="B1532" t="str">
            <v>SUB ASSEM</v>
          </cell>
          <cell r="C1532" t="str">
            <v>EA</v>
          </cell>
        </row>
        <row r="1533">
          <cell r="A1533" t="str">
            <v>W3511</v>
          </cell>
          <cell r="B1533" t="str">
            <v>SUB ASSEM</v>
          </cell>
          <cell r="C1533" t="str">
            <v>EA</v>
          </cell>
        </row>
        <row r="1534">
          <cell r="A1534" t="str">
            <v>W3527</v>
          </cell>
          <cell r="B1534" t="str">
            <v>SUB ASSEM</v>
          </cell>
          <cell r="C1534" t="str">
            <v>EA</v>
          </cell>
        </row>
        <row r="1535">
          <cell r="A1535" t="str">
            <v>W3569</v>
          </cell>
          <cell r="B1535" t="str">
            <v>SUB ASSEM</v>
          </cell>
          <cell r="C1535" t="str">
            <v>EA</v>
          </cell>
        </row>
        <row r="1536">
          <cell r="A1536" t="str">
            <v>W3609</v>
          </cell>
          <cell r="B1536" t="str">
            <v>SUB ASSEM</v>
          </cell>
          <cell r="C1536" t="str">
            <v>EA</v>
          </cell>
        </row>
        <row r="1537">
          <cell r="A1537" t="str">
            <v>W3629</v>
          </cell>
          <cell r="B1537" t="str">
            <v>SUB ASSEM</v>
          </cell>
          <cell r="C1537" t="str">
            <v>EA</v>
          </cell>
        </row>
        <row r="1538">
          <cell r="A1538" t="str">
            <v>W3638</v>
          </cell>
          <cell r="B1538" t="str">
            <v>SUB ASSEM</v>
          </cell>
          <cell r="C1538" t="str">
            <v>EA</v>
          </cell>
        </row>
        <row r="1539">
          <cell r="A1539" t="str">
            <v>W3646</v>
          </cell>
          <cell r="B1539" t="str">
            <v>SUB ASSEM</v>
          </cell>
          <cell r="C1539" t="str">
            <v>EA</v>
          </cell>
        </row>
        <row r="1540">
          <cell r="A1540" t="str">
            <v>W3654</v>
          </cell>
          <cell r="B1540" t="str">
            <v>SUB ASSEM</v>
          </cell>
          <cell r="C1540" t="str">
            <v>EA</v>
          </cell>
        </row>
        <row r="1541">
          <cell r="A1541" t="str">
            <v>W3655</v>
          </cell>
          <cell r="B1541" t="str">
            <v>SUB ASSEM</v>
          </cell>
          <cell r="C1541" t="str">
            <v>EA</v>
          </cell>
        </row>
        <row r="1542">
          <cell r="A1542" t="str">
            <v>W3656</v>
          </cell>
          <cell r="B1542" t="str">
            <v>SUB ASSEM</v>
          </cell>
          <cell r="C1542" t="str">
            <v>EA</v>
          </cell>
        </row>
        <row r="1543">
          <cell r="A1543" t="str">
            <v>W3658</v>
          </cell>
          <cell r="B1543" t="str">
            <v>SUB ASSEM</v>
          </cell>
          <cell r="C1543" t="str">
            <v>EA</v>
          </cell>
        </row>
        <row r="1544">
          <cell r="A1544" t="str">
            <v>W3738</v>
          </cell>
          <cell r="B1544" t="str">
            <v>SUB ASSEM</v>
          </cell>
          <cell r="C1544" t="str">
            <v>EA</v>
          </cell>
        </row>
        <row r="1545">
          <cell r="A1545" t="str">
            <v>W3906</v>
          </cell>
          <cell r="B1545" t="str">
            <v>SUB ASSEM</v>
          </cell>
          <cell r="C1545" t="str">
            <v>EA</v>
          </cell>
        </row>
        <row r="1546">
          <cell r="A1546" t="str">
            <v>W3906R1</v>
          </cell>
          <cell r="B1546" t="str">
            <v>SUB ASSEM</v>
          </cell>
          <cell r="C1546" t="str">
            <v>EA</v>
          </cell>
        </row>
        <row r="1547">
          <cell r="A1547" t="str">
            <v>W3910</v>
          </cell>
          <cell r="B1547" t="str">
            <v>SUB ASSEM</v>
          </cell>
          <cell r="C1547" t="str">
            <v>EA</v>
          </cell>
        </row>
        <row r="1548">
          <cell r="A1548" t="str">
            <v>W3952</v>
          </cell>
          <cell r="B1548" t="str">
            <v>SUBASS SterTNP/CVP</v>
          </cell>
          <cell r="C1548" t="str">
            <v>EA</v>
          </cell>
        </row>
        <row r="1549">
          <cell r="A1549" t="str">
            <v>W396R1</v>
          </cell>
          <cell r="B1549" t="str">
            <v>SUB ASSEM</v>
          </cell>
          <cell r="C1549" t="str">
            <v>EA</v>
          </cell>
        </row>
        <row r="1550">
          <cell r="A1550" t="str">
            <v>W410</v>
          </cell>
          <cell r="B1550" t="str">
            <v>SUB ASSEMBLY FOR 410</v>
          </cell>
          <cell r="C1550" t="str">
            <v>EA</v>
          </cell>
        </row>
        <row r="1551">
          <cell r="A1551" t="str">
            <v>W411</v>
          </cell>
          <cell r="B1551" t="str">
            <v>SUBASSEMBLY FOR 411</v>
          </cell>
          <cell r="C1551" t="str">
            <v>EA</v>
          </cell>
        </row>
        <row r="1552">
          <cell r="A1552" t="str">
            <v>W412</v>
          </cell>
          <cell r="B1552" t="str">
            <v>SUBASSEMBLY FOR 412</v>
          </cell>
          <cell r="C1552" t="str">
            <v>EA</v>
          </cell>
        </row>
        <row r="1553">
          <cell r="A1553" t="str">
            <v>W413</v>
          </cell>
          <cell r="B1553" t="str">
            <v>SUBASSEMBLY FOR 413</v>
          </cell>
          <cell r="C1553" t="str">
            <v>EA</v>
          </cell>
        </row>
        <row r="1554">
          <cell r="A1554" t="str">
            <v>W4370</v>
          </cell>
          <cell r="B1554" t="str">
            <v>SUB ASSEM</v>
          </cell>
          <cell r="C1554" t="str">
            <v>EA</v>
          </cell>
        </row>
        <row r="1555">
          <cell r="A1555" t="str">
            <v>W4471</v>
          </cell>
          <cell r="B1555" t="str">
            <v>ASS C/LN DRS CHG.TY</v>
          </cell>
          <cell r="C1555" t="str">
            <v>EA</v>
          </cell>
        </row>
        <row r="1556">
          <cell r="A1556" t="str">
            <v>W4478</v>
          </cell>
          <cell r="B1556" t="str">
            <v>SUBASS INV DRS/CHG K</v>
          </cell>
          <cell r="C1556" t="str">
            <v>EA</v>
          </cell>
        </row>
        <row r="1557">
          <cell r="A1557" t="str">
            <v>W4515</v>
          </cell>
          <cell r="B1557" t="str">
            <v>SUB ASSM C/LINE DR.CHG</v>
          </cell>
          <cell r="C1557" t="str">
            <v>EA</v>
          </cell>
        </row>
        <row r="1558">
          <cell r="A1558" t="str">
            <v>W4515R1</v>
          </cell>
          <cell r="B1558" t="str">
            <v>SUB ASSEM</v>
          </cell>
          <cell r="C1558" t="str">
            <v>EA</v>
          </cell>
        </row>
        <row r="1559">
          <cell r="A1559" t="str">
            <v>W4515R2</v>
          </cell>
          <cell r="B1559" t="str">
            <v>SUB ASSEM</v>
          </cell>
          <cell r="C1559" t="str">
            <v>EA</v>
          </cell>
        </row>
        <row r="1560">
          <cell r="A1560" t="str">
            <v>W4626</v>
          </cell>
          <cell r="B1560" t="str">
            <v>SUB ASSM C/LINE DRE.CHG</v>
          </cell>
          <cell r="C1560" t="str">
            <v>EA</v>
          </cell>
        </row>
        <row r="1561">
          <cell r="A1561" t="str">
            <v>W5039</v>
          </cell>
          <cell r="B1561" t="str">
            <v>SUB ASSEM</v>
          </cell>
          <cell r="C1561" t="str">
            <v>EA</v>
          </cell>
        </row>
        <row r="1562">
          <cell r="A1562" t="str">
            <v>W5042</v>
          </cell>
          <cell r="B1562" t="str">
            <v>SUB ASSEMBLY</v>
          </cell>
          <cell r="C1562" t="str">
            <v>EA</v>
          </cell>
        </row>
        <row r="1563">
          <cell r="A1563" t="str">
            <v>W5043</v>
          </cell>
          <cell r="B1563" t="str">
            <v>SUB ASSEM</v>
          </cell>
          <cell r="C1563" t="str">
            <v>EA</v>
          </cell>
        </row>
        <row r="1564">
          <cell r="A1564" t="str">
            <v>W5044</v>
          </cell>
          <cell r="B1564" t="str">
            <v>SUB ASSEM</v>
          </cell>
          <cell r="C1564" t="str">
            <v>EA</v>
          </cell>
        </row>
        <row r="1565">
          <cell r="A1565" t="str">
            <v>W5045</v>
          </cell>
          <cell r="B1565" t="str">
            <v>SUB ASSEM</v>
          </cell>
          <cell r="C1565" t="str">
            <v>EA</v>
          </cell>
        </row>
        <row r="1566">
          <cell r="A1566" t="str">
            <v>W5136</v>
          </cell>
          <cell r="B1566" t="str">
            <v>SUB ASSEM</v>
          </cell>
          <cell r="C1566" t="str">
            <v>EA</v>
          </cell>
        </row>
        <row r="1567">
          <cell r="A1567" t="str">
            <v>W5158</v>
          </cell>
          <cell r="B1567" t="str">
            <v>SUB ASSEM</v>
          </cell>
          <cell r="C1567" t="str">
            <v>EA</v>
          </cell>
        </row>
        <row r="1568">
          <cell r="A1568" t="str">
            <v>W5234</v>
          </cell>
          <cell r="B1568" t="str">
            <v>SUB ASSEM</v>
          </cell>
          <cell r="C1568" t="str">
            <v>EA</v>
          </cell>
        </row>
        <row r="1569">
          <cell r="A1569" t="str">
            <v>W5234R1</v>
          </cell>
          <cell r="B1569" t="str">
            <v>SUB ASSEM</v>
          </cell>
          <cell r="C1569" t="str">
            <v>EA</v>
          </cell>
        </row>
        <row r="1570">
          <cell r="A1570" t="str">
            <v>W5235</v>
          </cell>
          <cell r="B1570" t="str">
            <v>SUB ASSEM</v>
          </cell>
          <cell r="C1570" t="str">
            <v>EA</v>
          </cell>
        </row>
        <row r="1571">
          <cell r="A1571" t="str">
            <v>W5236</v>
          </cell>
          <cell r="B1571" t="str">
            <v>SUB ASSEM</v>
          </cell>
          <cell r="C1571" t="str">
            <v>EA</v>
          </cell>
        </row>
        <row r="1572">
          <cell r="A1572" t="str">
            <v>W5237</v>
          </cell>
          <cell r="B1572" t="str">
            <v>SUB ASSEM</v>
          </cell>
          <cell r="C1572" t="str">
            <v>EA</v>
          </cell>
        </row>
        <row r="1573">
          <cell r="A1573" t="str">
            <v>W5238</v>
          </cell>
          <cell r="B1573" t="str">
            <v>SUB ASSEM</v>
          </cell>
          <cell r="C1573" t="str">
            <v>EA</v>
          </cell>
        </row>
        <row r="1574">
          <cell r="A1574" t="str">
            <v>W5268</v>
          </cell>
          <cell r="B1574" t="str">
            <v>SUB ASSEM</v>
          </cell>
          <cell r="C1574" t="str">
            <v>EA</v>
          </cell>
        </row>
        <row r="1575">
          <cell r="A1575" t="str">
            <v>W5284</v>
          </cell>
          <cell r="B1575" t="str">
            <v>SUB ASSEM</v>
          </cell>
          <cell r="C1575" t="str">
            <v>EA</v>
          </cell>
        </row>
        <row r="1576">
          <cell r="A1576" t="str">
            <v>W5301</v>
          </cell>
          <cell r="B1576" t="str">
            <v>STER BONE MARROW TRY10/RX</v>
          </cell>
          <cell r="C1576" t="str">
            <v>CS</v>
          </cell>
        </row>
        <row r="1577">
          <cell r="A1577" t="str">
            <v>W5365</v>
          </cell>
          <cell r="B1577" t="str">
            <v>SUB ASSEM</v>
          </cell>
          <cell r="C1577" t="str">
            <v>EA</v>
          </cell>
        </row>
        <row r="1578">
          <cell r="A1578" t="str">
            <v>W5410</v>
          </cell>
          <cell r="B1578" t="str">
            <v>SUB ASSEM</v>
          </cell>
          <cell r="C1578" t="str">
            <v>EA</v>
          </cell>
        </row>
        <row r="1579">
          <cell r="A1579" t="str">
            <v>W5410R1</v>
          </cell>
          <cell r="B1579" t="str">
            <v>SUB ASSEM</v>
          </cell>
          <cell r="C1579" t="str">
            <v>EA</v>
          </cell>
        </row>
        <row r="1580">
          <cell r="A1580" t="str">
            <v>W5558</v>
          </cell>
          <cell r="B1580" t="str">
            <v>SUB ASSEM</v>
          </cell>
          <cell r="C1580" t="str">
            <v>EA</v>
          </cell>
        </row>
        <row r="1581">
          <cell r="A1581" t="str">
            <v>W5626</v>
          </cell>
          <cell r="B1581" t="str">
            <v>SUB ASSEM</v>
          </cell>
          <cell r="C1581" t="str">
            <v>EA</v>
          </cell>
        </row>
        <row r="1582">
          <cell r="A1582" t="str">
            <v>W5633</v>
          </cell>
          <cell r="B1582" t="str">
            <v>SUB ASSEM</v>
          </cell>
          <cell r="C1582" t="str">
            <v>EA</v>
          </cell>
        </row>
        <row r="1583">
          <cell r="A1583" t="str">
            <v>W5978</v>
          </cell>
          <cell r="B1583" t="str">
            <v>SUB ASSEM</v>
          </cell>
          <cell r="C1583" t="str">
            <v>EA</v>
          </cell>
        </row>
        <row r="1584">
          <cell r="A1584" t="str">
            <v>W6020R1</v>
          </cell>
          <cell r="B1584" t="str">
            <v>SUB ASSEM</v>
          </cell>
          <cell r="C1584" t="str">
            <v>EA</v>
          </cell>
        </row>
        <row r="1585">
          <cell r="A1585" t="str">
            <v>W6020R2</v>
          </cell>
          <cell r="B1585" t="str">
            <v>SUB ASSEM</v>
          </cell>
          <cell r="C1585" t="str">
            <v>EA</v>
          </cell>
        </row>
        <row r="1586">
          <cell r="A1586" t="str">
            <v>W6020R3</v>
          </cell>
          <cell r="B1586" t="str">
            <v>SUB ASSEMBLY</v>
          </cell>
          <cell r="C1586" t="str">
            <v>EA</v>
          </cell>
        </row>
        <row r="1587">
          <cell r="A1587" t="str">
            <v>W6020R4</v>
          </cell>
          <cell r="B1587" t="str">
            <v>SUB ASSEM</v>
          </cell>
          <cell r="C1587" t="str">
            <v>EA</v>
          </cell>
        </row>
        <row r="1588">
          <cell r="A1588" t="str">
            <v>W6021R1</v>
          </cell>
          <cell r="B1588" t="str">
            <v>SUB ASSEM</v>
          </cell>
          <cell r="C1588" t="str">
            <v>EA</v>
          </cell>
        </row>
        <row r="1589">
          <cell r="A1589" t="str">
            <v>W6021R2</v>
          </cell>
          <cell r="B1589" t="str">
            <v>SUB ASSEM</v>
          </cell>
          <cell r="C1589" t="str">
            <v>EA</v>
          </cell>
        </row>
        <row r="1590">
          <cell r="A1590" t="str">
            <v>W6026R3</v>
          </cell>
          <cell r="B1590" t="str">
            <v>SUB ASSEMBLY</v>
          </cell>
          <cell r="C1590" t="str">
            <v>EA</v>
          </cell>
        </row>
        <row r="1591">
          <cell r="A1591" t="str">
            <v>W6049</v>
          </cell>
          <cell r="B1591" t="str">
            <v>SUB ASSEM</v>
          </cell>
          <cell r="C1591" t="str">
            <v>EA</v>
          </cell>
        </row>
        <row r="1592">
          <cell r="A1592" t="str">
            <v>W6078</v>
          </cell>
          <cell r="B1592" t="str">
            <v>SUB ASSEM</v>
          </cell>
          <cell r="C1592" t="str">
            <v>EA</v>
          </cell>
        </row>
        <row r="1593">
          <cell r="A1593" t="str">
            <v>W6096</v>
          </cell>
          <cell r="B1593" t="str">
            <v>SUB ASSEM</v>
          </cell>
          <cell r="C1593" t="str">
            <v>EA</v>
          </cell>
        </row>
        <row r="1594">
          <cell r="A1594" t="str">
            <v>W6103</v>
          </cell>
          <cell r="B1594" t="str">
            <v>SUB ASSEM</v>
          </cell>
          <cell r="C1594" t="str">
            <v>EA</v>
          </cell>
        </row>
        <row r="1595">
          <cell r="A1595" t="str">
            <v>W6195</v>
          </cell>
          <cell r="B1595" t="str">
            <v>SUB ASSEM</v>
          </cell>
          <cell r="C1595" t="str">
            <v>EA</v>
          </cell>
        </row>
        <row r="1596">
          <cell r="A1596" t="str">
            <v>W6209</v>
          </cell>
          <cell r="B1596" t="str">
            <v>SUB ASSEM</v>
          </cell>
          <cell r="C1596" t="str">
            <v>EA</v>
          </cell>
        </row>
        <row r="1597">
          <cell r="A1597" t="str">
            <v>W6224</v>
          </cell>
          <cell r="B1597" t="str">
            <v>SUB ASSEM</v>
          </cell>
          <cell r="C1597" t="str">
            <v>EA</v>
          </cell>
        </row>
        <row r="1598">
          <cell r="A1598" t="str">
            <v>W6331</v>
          </cell>
          <cell r="B1598" t="str">
            <v>SUB ASSEM</v>
          </cell>
          <cell r="C1598" t="str">
            <v>EA</v>
          </cell>
        </row>
        <row r="1599">
          <cell r="A1599" t="str">
            <v>W6417</v>
          </cell>
          <cell r="B1599" t="str">
            <v>SUB ASSEM</v>
          </cell>
          <cell r="C1599" t="str">
            <v>EA</v>
          </cell>
        </row>
        <row r="1600">
          <cell r="A1600" t="str">
            <v>W6417R1</v>
          </cell>
          <cell r="B1600" t="str">
            <v>SUB ASSEM</v>
          </cell>
          <cell r="C1600" t="str">
            <v>EA</v>
          </cell>
        </row>
        <row r="1601">
          <cell r="A1601" t="str">
            <v>W6447</v>
          </cell>
          <cell r="B1601" t="str">
            <v>SUB ASSEM</v>
          </cell>
          <cell r="C1601" t="str">
            <v>EA</v>
          </cell>
        </row>
        <row r="1602">
          <cell r="A1602" t="str">
            <v>W645</v>
          </cell>
          <cell r="B1602" t="str">
            <v>SUB ASSEM LUMBAR/PED</v>
          </cell>
          <cell r="C1602" t="str">
            <v>EA</v>
          </cell>
        </row>
        <row r="1603">
          <cell r="A1603" t="str">
            <v>W6456</v>
          </cell>
          <cell r="B1603" t="str">
            <v>SUB ASSEM GM 25-645 (PED)</v>
          </cell>
          <cell r="C1603" t="str">
            <v>EA</v>
          </cell>
        </row>
        <row r="1604">
          <cell r="A1604" t="str">
            <v>W645B</v>
          </cell>
          <cell r="B1604" t="str">
            <v>SUB ASSEM</v>
          </cell>
          <cell r="C1604" t="str">
            <v>EA</v>
          </cell>
        </row>
        <row r="1605">
          <cell r="A1605" t="str">
            <v>W646</v>
          </cell>
          <cell r="B1605" t="str">
            <v>SUB ASSEM LUMBAR/PED</v>
          </cell>
          <cell r="C1605" t="str">
            <v>EA</v>
          </cell>
        </row>
        <row r="1606">
          <cell r="A1606" t="str">
            <v>W6468</v>
          </cell>
          <cell r="B1606" t="str">
            <v>SUB ASSEM GM 25-646 (PED)</v>
          </cell>
          <cell r="C1606" t="str">
            <v>EA</v>
          </cell>
        </row>
        <row r="1607">
          <cell r="A1607" t="str">
            <v>W646B</v>
          </cell>
          <cell r="B1607" t="str">
            <v>SUB ASSEM</v>
          </cell>
          <cell r="C1607" t="str">
            <v>EA</v>
          </cell>
        </row>
        <row r="1608">
          <cell r="A1608" t="str">
            <v>W647</v>
          </cell>
          <cell r="B1608" t="str">
            <v>SUB ASSEM LUMBAR TRAY</v>
          </cell>
          <cell r="C1608" t="str">
            <v>EA</v>
          </cell>
        </row>
        <row r="1609">
          <cell r="A1609" t="str">
            <v>W647B</v>
          </cell>
          <cell r="B1609" t="str">
            <v>SUB ASSEM</v>
          </cell>
          <cell r="C1609" t="str">
            <v>EA</v>
          </cell>
        </row>
        <row r="1610">
          <cell r="A1610" t="str">
            <v>W648</v>
          </cell>
          <cell r="B1610" t="str">
            <v>SUB ASSEM LUMBAR TRAY</v>
          </cell>
          <cell r="C1610" t="str">
            <v>EA</v>
          </cell>
        </row>
        <row r="1611">
          <cell r="A1611" t="str">
            <v>W6486</v>
          </cell>
          <cell r="B1611" t="str">
            <v>SUB ASSEM GM 25-648</v>
          </cell>
          <cell r="C1611" t="str">
            <v>EA</v>
          </cell>
        </row>
        <row r="1612">
          <cell r="A1612" t="str">
            <v>W6487</v>
          </cell>
          <cell r="B1612" t="str">
            <v>SUB.ASSEM</v>
          </cell>
          <cell r="C1612" t="str">
            <v>EA</v>
          </cell>
        </row>
        <row r="1613">
          <cell r="A1613" t="str">
            <v>W648A</v>
          </cell>
          <cell r="B1613" t="str">
            <v>SUB ASSEM</v>
          </cell>
          <cell r="C1613" t="str">
            <v>EA</v>
          </cell>
        </row>
        <row r="1614">
          <cell r="A1614" t="str">
            <v>W648B</v>
          </cell>
          <cell r="B1614" t="str">
            <v>SUB ASSEM</v>
          </cell>
          <cell r="C1614" t="str">
            <v>EA</v>
          </cell>
        </row>
        <row r="1615">
          <cell r="A1615" t="str">
            <v>W649</v>
          </cell>
          <cell r="B1615" t="str">
            <v>SUB ASSEM LUMBAR TRAY</v>
          </cell>
          <cell r="C1615" t="str">
            <v>EA</v>
          </cell>
        </row>
        <row r="1616">
          <cell r="A1616" t="str">
            <v>W6496</v>
          </cell>
          <cell r="B1616" t="str">
            <v>SUB ASSEM GM 25-649</v>
          </cell>
          <cell r="C1616" t="str">
            <v>EA</v>
          </cell>
        </row>
        <row r="1617">
          <cell r="A1617" t="str">
            <v>W649A</v>
          </cell>
          <cell r="B1617" t="str">
            <v>SUB ASSEM</v>
          </cell>
          <cell r="C1617" t="str">
            <v>EA</v>
          </cell>
        </row>
        <row r="1618">
          <cell r="A1618" t="str">
            <v>W649B</v>
          </cell>
          <cell r="B1618" t="str">
            <v>SUB ASSEM</v>
          </cell>
          <cell r="C1618" t="str">
            <v>EA</v>
          </cell>
        </row>
        <row r="1619">
          <cell r="A1619" t="str">
            <v>W650</v>
          </cell>
          <cell r="B1619" t="str">
            <v>SUB ASSEM AMNIO TRAY</v>
          </cell>
          <cell r="C1619" t="str">
            <v>EA</v>
          </cell>
        </row>
        <row r="1620">
          <cell r="A1620" t="str">
            <v>W6506</v>
          </cell>
          <cell r="B1620" t="str">
            <v>SUB ASSEM GM 25-650 AMNIO</v>
          </cell>
          <cell r="C1620" t="str">
            <v>EA</v>
          </cell>
        </row>
        <row r="1621">
          <cell r="A1621" t="str">
            <v>W651</v>
          </cell>
          <cell r="B1621" t="str">
            <v>SUB ASSEM BASIC BIOPSY</v>
          </cell>
          <cell r="C1621" t="str">
            <v>EA</v>
          </cell>
        </row>
        <row r="1622">
          <cell r="A1622" t="str">
            <v>W6516</v>
          </cell>
          <cell r="B1622" t="str">
            <v>SUB ASSEM GM 25-651</v>
          </cell>
          <cell r="C1622" t="str">
            <v>EA</v>
          </cell>
        </row>
        <row r="1623">
          <cell r="A1623" t="str">
            <v>W6517</v>
          </cell>
          <cell r="B1623" t="str">
            <v>SUB ASSEM</v>
          </cell>
          <cell r="C1623" t="str">
            <v>EA</v>
          </cell>
        </row>
        <row r="1624">
          <cell r="A1624" t="str">
            <v>W651B</v>
          </cell>
          <cell r="B1624" t="str">
            <v>SUB ASSEM</v>
          </cell>
          <cell r="C1624" t="str">
            <v>EA</v>
          </cell>
        </row>
        <row r="1625">
          <cell r="A1625" t="str">
            <v>W652</v>
          </cell>
          <cell r="B1625" t="str">
            <v>SUB ASSEM BONE BIOPSY</v>
          </cell>
          <cell r="C1625" t="str">
            <v>EA</v>
          </cell>
        </row>
        <row r="1626">
          <cell r="A1626" t="str">
            <v>W6526</v>
          </cell>
          <cell r="B1626" t="str">
            <v>SUB ASSEM GM 25-652</v>
          </cell>
          <cell r="C1626" t="str">
            <v>EA</v>
          </cell>
        </row>
        <row r="1627">
          <cell r="A1627" t="str">
            <v>W6527</v>
          </cell>
          <cell r="B1627" t="str">
            <v>SUB ASSEM</v>
          </cell>
          <cell r="C1627" t="str">
            <v>EA</v>
          </cell>
        </row>
        <row r="1628">
          <cell r="A1628" t="str">
            <v>W653</v>
          </cell>
          <cell r="B1628" t="str">
            <v>SUB ASSEMN BONE BIOPSY</v>
          </cell>
          <cell r="C1628" t="str">
            <v>EA</v>
          </cell>
        </row>
        <row r="1629">
          <cell r="A1629" t="str">
            <v>W6536</v>
          </cell>
          <cell r="B1629" t="str">
            <v>SUB ASSEM GM 25-653</v>
          </cell>
          <cell r="C1629" t="str">
            <v>EA</v>
          </cell>
        </row>
        <row r="1630">
          <cell r="A1630" t="str">
            <v>W653B</v>
          </cell>
          <cell r="B1630" t="str">
            <v>SUB ASSEM</v>
          </cell>
          <cell r="C1630" t="str">
            <v>EA</v>
          </cell>
        </row>
        <row r="1631">
          <cell r="A1631" t="str">
            <v>W654</v>
          </cell>
          <cell r="B1631" t="str">
            <v>SUB ASSEM BONE BIOSPY</v>
          </cell>
          <cell r="C1631" t="str">
            <v>EA</v>
          </cell>
        </row>
        <row r="1632">
          <cell r="A1632" t="str">
            <v>W654B</v>
          </cell>
          <cell r="B1632" t="str">
            <v>SUB ASSEM BONE BIOPSY</v>
          </cell>
          <cell r="C1632" t="str">
            <v>EA</v>
          </cell>
        </row>
        <row r="1633">
          <cell r="A1633" t="str">
            <v>W655</v>
          </cell>
          <cell r="B1633" t="str">
            <v>SUB ASSEM BONE MARROW</v>
          </cell>
          <cell r="C1633" t="str">
            <v>EA</v>
          </cell>
        </row>
        <row r="1634">
          <cell r="A1634" t="str">
            <v>W6553</v>
          </cell>
          <cell r="B1634" t="str">
            <v>SUB ASSEM</v>
          </cell>
          <cell r="C1634" t="str">
            <v>EA</v>
          </cell>
        </row>
        <row r="1635">
          <cell r="A1635" t="str">
            <v>W655B</v>
          </cell>
          <cell r="B1635" t="str">
            <v>SUB ASSEM</v>
          </cell>
          <cell r="C1635" t="str">
            <v>EA</v>
          </cell>
        </row>
        <row r="1636">
          <cell r="A1636" t="str">
            <v>W656</v>
          </cell>
          <cell r="B1636" t="str">
            <v>SUB ASSEM MYELOGRAM TRAY</v>
          </cell>
          <cell r="C1636" t="str">
            <v>EA</v>
          </cell>
        </row>
        <row r="1637">
          <cell r="A1637" t="str">
            <v>W6607</v>
          </cell>
          <cell r="B1637" t="str">
            <v>SUB ASSEM</v>
          </cell>
          <cell r="C1637" t="str">
            <v>EA</v>
          </cell>
        </row>
        <row r="1638">
          <cell r="A1638" t="str">
            <v>W671</v>
          </cell>
          <cell r="B1638" t="str">
            <v>SUB ASSEM</v>
          </cell>
          <cell r="C1638" t="str">
            <v>EA</v>
          </cell>
        </row>
        <row r="1639">
          <cell r="A1639" t="str">
            <v>W6922</v>
          </cell>
          <cell r="B1639" t="str">
            <v>SUB ASSEM</v>
          </cell>
          <cell r="C1639" t="str">
            <v>EA</v>
          </cell>
        </row>
        <row r="1640">
          <cell r="A1640" t="str">
            <v>W7028</v>
          </cell>
          <cell r="B1640" t="str">
            <v>SUB ASSEM</v>
          </cell>
          <cell r="C1640" t="str">
            <v>EA</v>
          </cell>
        </row>
        <row r="1641">
          <cell r="A1641" t="str">
            <v>W7049</v>
          </cell>
          <cell r="B1641" t="str">
            <v>SUB ASSEM</v>
          </cell>
          <cell r="C1641" t="str">
            <v>EA</v>
          </cell>
        </row>
        <row r="1642">
          <cell r="A1642" t="str">
            <v>W7049R2</v>
          </cell>
          <cell r="B1642" t="str">
            <v>SUB ASSEM</v>
          </cell>
          <cell r="C1642" t="str">
            <v>EA</v>
          </cell>
        </row>
        <row r="1643">
          <cell r="A1643" t="str">
            <v>W7428</v>
          </cell>
          <cell r="B1643" t="str">
            <v>SUB ASSEM</v>
          </cell>
          <cell r="C1643" t="str">
            <v>EA</v>
          </cell>
        </row>
        <row r="1644">
          <cell r="A1644" t="str">
            <v>W7465</v>
          </cell>
          <cell r="B1644" t="str">
            <v>SUB ASSEM</v>
          </cell>
          <cell r="C1644" t="str">
            <v>EA</v>
          </cell>
        </row>
        <row r="1645">
          <cell r="A1645" t="str">
            <v>W7465R1</v>
          </cell>
          <cell r="B1645" t="str">
            <v>SUB ASSEM</v>
          </cell>
          <cell r="C1645" t="str">
            <v>EA</v>
          </cell>
        </row>
        <row r="1646">
          <cell r="A1646" t="str">
            <v>W7791</v>
          </cell>
          <cell r="B1646" t="str">
            <v>SUB ASSEM</v>
          </cell>
          <cell r="C1646" t="str">
            <v>EA</v>
          </cell>
        </row>
        <row r="1647">
          <cell r="A1647" t="str">
            <v>W7791R1</v>
          </cell>
          <cell r="B1647" t="str">
            <v>SUB ASSEMBLY</v>
          </cell>
          <cell r="C1647" t="str">
            <v>EA</v>
          </cell>
        </row>
        <row r="1648">
          <cell r="A1648" t="str">
            <v>W7998</v>
          </cell>
          <cell r="B1648" t="str">
            <v>SUB ASSEM</v>
          </cell>
          <cell r="C1648" t="str">
            <v>EA</v>
          </cell>
        </row>
        <row r="1649">
          <cell r="A1649" t="str">
            <v>W7998R1</v>
          </cell>
          <cell r="B1649" t="str">
            <v>SUB ASSEM</v>
          </cell>
          <cell r="C1649" t="str">
            <v>EA</v>
          </cell>
        </row>
        <row r="1650">
          <cell r="A1650" t="str">
            <v>W8078</v>
          </cell>
          <cell r="B1650" t="str">
            <v>SUB ASSEM</v>
          </cell>
          <cell r="C1650" t="str">
            <v>EA</v>
          </cell>
        </row>
        <row r="1651">
          <cell r="A1651" t="str">
            <v>W8079</v>
          </cell>
          <cell r="B1651" t="str">
            <v>SUB ASSEMBLY</v>
          </cell>
          <cell r="C1651" t="str">
            <v>EA</v>
          </cell>
        </row>
        <row r="1652">
          <cell r="A1652" t="str">
            <v>W8088</v>
          </cell>
          <cell r="B1652" t="str">
            <v>N/SUBASS SterDaly/On</v>
          </cell>
          <cell r="C1652" t="str">
            <v>EA</v>
          </cell>
        </row>
        <row r="1653">
          <cell r="A1653" t="str">
            <v>W8131</v>
          </cell>
          <cell r="B1653" t="str">
            <v>SUBASS SterC/Ln D/C</v>
          </cell>
          <cell r="C1653" t="str">
            <v>EA</v>
          </cell>
        </row>
        <row r="1654">
          <cell r="A1654" t="str">
            <v>W825</v>
          </cell>
          <cell r="B1654" t="str">
            <v>SUB ASSEM SterTPN/CVPTr</v>
          </cell>
          <cell r="C1654" t="str">
            <v>EA</v>
          </cell>
        </row>
        <row r="1655">
          <cell r="A1655" t="str">
            <v>W827</v>
          </cell>
          <cell r="B1655" t="str">
            <v>SUB ASSEM SterTPN/CVPTr</v>
          </cell>
          <cell r="C1655" t="str">
            <v>EA</v>
          </cell>
        </row>
        <row r="1656">
          <cell r="A1656" t="str">
            <v>W828</v>
          </cell>
          <cell r="B1656" t="str">
            <v>SUB ASSEM SterTPN/CVPTr</v>
          </cell>
          <cell r="C1656" t="str">
            <v>EA</v>
          </cell>
        </row>
        <row r="1657">
          <cell r="A1657" t="str">
            <v>W829</v>
          </cell>
          <cell r="B1657" t="str">
            <v>SUB ASSEM SterTPN/CVPTr</v>
          </cell>
          <cell r="C1657" t="str">
            <v>EA</v>
          </cell>
        </row>
        <row r="1658">
          <cell r="A1658" t="str">
            <v>W835</v>
          </cell>
          <cell r="B1658" t="str">
            <v>SUB ASSEM STERC/LNE D/T</v>
          </cell>
          <cell r="C1658" t="str">
            <v>EA</v>
          </cell>
        </row>
        <row r="1659">
          <cell r="A1659" t="str">
            <v>W8635</v>
          </cell>
          <cell r="B1659" t="str">
            <v>SUB ASSEM</v>
          </cell>
          <cell r="C1659" t="str">
            <v>EA</v>
          </cell>
        </row>
        <row r="1660">
          <cell r="A1660" t="str">
            <v>W8744</v>
          </cell>
          <cell r="B1660" t="str">
            <v>SUB ASSEM</v>
          </cell>
          <cell r="C1660" t="str">
            <v>EA</v>
          </cell>
        </row>
        <row r="1661">
          <cell r="A1661" t="str">
            <v>W8765</v>
          </cell>
          <cell r="B1661" t="str">
            <v>SUB ASSEM</v>
          </cell>
          <cell r="C1661" t="str">
            <v>EA</v>
          </cell>
        </row>
        <row r="1662">
          <cell r="A1662" t="str">
            <v>W8917</v>
          </cell>
          <cell r="B1662" t="str">
            <v>SUB ASSEM</v>
          </cell>
          <cell r="C1662" t="str">
            <v>EA</v>
          </cell>
        </row>
        <row r="1663">
          <cell r="A1663" t="str">
            <v>W8917R1</v>
          </cell>
          <cell r="B1663" t="str">
            <v>SUB ASSEM</v>
          </cell>
          <cell r="C1663" t="str">
            <v>EA</v>
          </cell>
        </row>
        <row r="1664">
          <cell r="A1664" t="str">
            <v>W9102R1</v>
          </cell>
          <cell r="B1664" t="str">
            <v>SUB ASSEM</v>
          </cell>
          <cell r="C1664" t="str">
            <v>EA</v>
          </cell>
        </row>
        <row r="1665">
          <cell r="A1665" t="str">
            <v>W9102R2</v>
          </cell>
          <cell r="B1665" t="str">
            <v>SUB ASSEM</v>
          </cell>
          <cell r="C1665" t="str">
            <v>EA</v>
          </cell>
        </row>
        <row r="1666">
          <cell r="A1666" t="str">
            <v>W9141R1</v>
          </cell>
          <cell r="B1666" t="str">
            <v>SUB ASSEM</v>
          </cell>
          <cell r="C1666" t="str">
            <v>EA</v>
          </cell>
        </row>
        <row r="1667">
          <cell r="A1667" t="str">
            <v>W945</v>
          </cell>
          <cell r="B1667" t="str">
            <v>SUB ASSEM SAFETY PED LUMB</v>
          </cell>
          <cell r="C1667" t="str">
            <v>EA</v>
          </cell>
        </row>
        <row r="1668">
          <cell r="A1668" t="str">
            <v>W946</v>
          </cell>
          <cell r="B1668" t="str">
            <v>SUB ASSEM SAFETY PED LUMB</v>
          </cell>
          <cell r="C1668" t="str">
            <v>EA</v>
          </cell>
        </row>
        <row r="1669">
          <cell r="A1669" t="str">
            <v>W947</v>
          </cell>
          <cell r="B1669" t="str">
            <v>SUB ASSEM SAFETY LUMBAR</v>
          </cell>
          <cell r="C1669" t="str">
            <v>EA</v>
          </cell>
        </row>
        <row r="1670">
          <cell r="A1670" t="str">
            <v>W948</v>
          </cell>
          <cell r="B1670" t="str">
            <v>SUB ASSEM SAFETY LUMBAR</v>
          </cell>
          <cell r="C1670" t="str">
            <v>EA</v>
          </cell>
        </row>
        <row r="1671">
          <cell r="A1671" t="str">
            <v>W949</v>
          </cell>
          <cell r="B1671" t="str">
            <v>SUB ASSEM SAFETY LUMBAR</v>
          </cell>
          <cell r="C1671" t="str">
            <v>EA</v>
          </cell>
        </row>
        <row r="1672">
          <cell r="A1672" t="str">
            <v>W950</v>
          </cell>
          <cell r="B1672" t="str">
            <v>SUB ASSEM SAFETY AMNIO</v>
          </cell>
          <cell r="C1672" t="str">
            <v>EA</v>
          </cell>
        </row>
        <row r="1673">
          <cell r="A1673" t="str">
            <v>W951</v>
          </cell>
          <cell r="B1673" t="str">
            <v>SUB ASSEM SAFETY BasicBio</v>
          </cell>
          <cell r="C1673" t="str">
            <v>EA</v>
          </cell>
        </row>
        <row r="1674">
          <cell r="A1674" t="str">
            <v>W9517</v>
          </cell>
          <cell r="B1674" t="str">
            <v>SUB ASSEM</v>
          </cell>
          <cell r="C1674" t="str">
            <v>EA</v>
          </cell>
        </row>
        <row r="1675">
          <cell r="A1675" t="str">
            <v>W952</v>
          </cell>
          <cell r="B1675" t="str">
            <v>SUB ASSEM SAFETY BONE MRW</v>
          </cell>
          <cell r="C1675" t="str">
            <v>EA</v>
          </cell>
        </row>
        <row r="1676">
          <cell r="A1676" t="str">
            <v>W953</v>
          </cell>
          <cell r="B1676" t="str">
            <v>SUB ASSEM SAFETY BONE MRW</v>
          </cell>
          <cell r="C1676" t="str">
            <v>EA</v>
          </cell>
        </row>
        <row r="1677">
          <cell r="A1677" t="str">
            <v>W954</v>
          </cell>
          <cell r="B1677" t="str">
            <v>SUB ASSEM SAFETY BONE MRW</v>
          </cell>
          <cell r="C1677" t="str">
            <v>EA</v>
          </cell>
        </row>
        <row r="1678">
          <cell r="A1678" t="str">
            <v>W955</v>
          </cell>
          <cell r="B1678" t="str">
            <v>SUB ASSEM SAFETY BONE MRW</v>
          </cell>
          <cell r="C1678" t="str">
            <v>EA</v>
          </cell>
        </row>
        <row r="1679">
          <cell r="A1679" t="str">
            <v>W956</v>
          </cell>
          <cell r="B1679" t="str">
            <v>SUB ASSEM SAFETY MYELOGRM</v>
          </cell>
          <cell r="C1679" t="str">
            <v>EA</v>
          </cell>
        </row>
        <row r="1680">
          <cell r="A1680" t="str">
            <v>W9563</v>
          </cell>
          <cell r="B1680" t="str">
            <v>SUB ASSEM</v>
          </cell>
          <cell r="C1680" t="str">
            <v>EA</v>
          </cell>
        </row>
        <row r="1681">
          <cell r="A1681" t="str">
            <v>W957</v>
          </cell>
          <cell r="B1681" t="str">
            <v>SUB ASSEM</v>
          </cell>
          <cell r="C1681" t="str">
            <v>EA</v>
          </cell>
        </row>
        <row r="1682">
          <cell r="A1682" t="str">
            <v>W957B</v>
          </cell>
          <cell r="B1682" t="str">
            <v>SUB ASSEMBLY</v>
          </cell>
          <cell r="C1682" t="str">
            <v>EA</v>
          </cell>
        </row>
        <row r="1683">
          <cell r="A1683" t="str">
            <v>W962</v>
          </cell>
          <cell r="B1683" t="str">
            <v>SUB ASSEM PARACENTESIS</v>
          </cell>
          <cell r="C1683" t="str">
            <v>EA</v>
          </cell>
        </row>
        <row r="1684">
          <cell r="A1684" t="str">
            <v>W962B</v>
          </cell>
          <cell r="B1684" t="str">
            <v>SUB ASSEM</v>
          </cell>
          <cell r="C1684" t="str">
            <v>EA</v>
          </cell>
        </row>
        <row r="1685">
          <cell r="A1685" t="str">
            <v>W973</v>
          </cell>
          <cell r="B1685" t="str">
            <v>SubAssmSftyDeluxPedLumb</v>
          </cell>
          <cell r="C1685" t="str">
            <v>EA</v>
          </cell>
        </row>
        <row r="1686">
          <cell r="A1686" t="str">
            <v>W974</v>
          </cell>
          <cell r="B1686" t="str">
            <v>SubAssemblySaftyDelxLumbr</v>
          </cell>
          <cell r="C1686" t="str">
            <v>EA</v>
          </cell>
        </row>
        <row r="1687">
          <cell r="A1687" t="str">
            <v>W975</v>
          </cell>
          <cell r="B1687" t="str">
            <v>SubAssmSftyDeluxLumbrPuct</v>
          </cell>
          <cell r="C1687" t="str">
            <v>EA</v>
          </cell>
        </row>
        <row r="1688">
          <cell r="A1688" t="str">
            <v>W976</v>
          </cell>
          <cell r="B1688" t="str">
            <v>SubAssem SaftyDeluxAmnio</v>
          </cell>
          <cell r="C1688" t="str">
            <v>EA</v>
          </cell>
        </row>
        <row r="1689">
          <cell r="A1689" t="str">
            <v>W977</v>
          </cell>
          <cell r="B1689" t="str">
            <v>SubAssmblySoftTissueTray</v>
          </cell>
          <cell r="C1689" t="str">
            <v>EA</v>
          </cell>
        </row>
        <row r="1690">
          <cell r="A1690" t="str">
            <v>W978</v>
          </cell>
          <cell r="B1690" t="str">
            <v>SubAssmSaftyDeluxMyelogrm</v>
          </cell>
          <cell r="C1690" t="str">
            <v>EA</v>
          </cell>
        </row>
        <row r="1691">
          <cell r="A1691" t="str">
            <v>W979</v>
          </cell>
          <cell r="B1691" t="str">
            <v>SubAssemblySaftyDelxArtho</v>
          </cell>
          <cell r="C1691" t="str">
            <v>EA</v>
          </cell>
        </row>
        <row r="1692">
          <cell r="A1692" t="str">
            <v>W9809</v>
          </cell>
          <cell r="B1692" t="str">
            <v>SUB ASSEMBLY</v>
          </cell>
          <cell r="C1692" t="str">
            <v>EA</v>
          </cell>
        </row>
        <row r="1693">
          <cell r="A1693" t="str">
            <v>W985</v>
          </cell>
          <cell r="B1693" t="str">
            <v>SUBASSEMSAFTYDELUXBONEMRW</v>
          </cell>
          <cell r="C1693" t="str">
            <v>EA</v>
          </cell>
        </row>
        <row r="1694">
          <cell r="A1694" t="str">
            <v>W986</v>
          </cell>
          <cell r="B1694" t="str">
            <v>SUBASSEMSAFTYDELUXBONEMRW</v>
          </cell>
          <cell r="C1694" t="str">
            <v>EA</v>
          </cell>
        </row>
        <row r="1695">
          <cell r="A1695" t="str">
            <v>W987</v>
          </cell>
          <cell r="B1695" t="str">
            <v>SUBASSEMSAFTYDELUXBONEMRW</v>
          </cell>
          <cell r="C1695" t="str">
            <v>EA</v>
          </cell>
        </row>
        <row r="1696">
          <cell r="A1696" t="str">
            <v>W988</v>
          </cell>
          <cell r="B1696" t="str">
            <v>SUB ASSEM</v>
          </cell>
          <cell r="C1696" t="str">
            <v>EA</v>
          </cell>
        </row>
        <row r="1697">
          <cell r="A1697" t="str">
            <v>W989</v>
          </cell>
          <cell r="B1697" t="str">
            <v>SUB ASSEM</v>
          </cell>
          <cell r="C1697" t="str">
            <v>EA</v>
          </cell>
        </row>
        <row r="1698">
          <cell r="A1698" t="str">
            <v>WPPCD622</v>
          </cell>
          <cell r="B1698" t="str">
            <v>SUB ASSEM</v>
          </cell>
          <cell r="C1698" t="str">
            <v>EA</v>
          </cell>
        </row>
        <row r="1699">
          <cell r="A1699" t="str">
            <v>WPPCD645</v>
          </cell>
          <cell r="B1699" t="str">
            <v>SUB ASSEM PYROGEN TEST</v>
          </cell>
          <cell r="C1699" t="str">
            <v>EA</v>
          </cell>
        </row>
        <row r="1700">
          <cell r="A1700" t="str">
            <v>WPPCD650</v>
          </cell>
          <cell r="B1700" t="str">
            <v>SUB ASSEM PYROGEN TEST</v>
          </cell>
          <cell r="C1700" t="str">
            <v>EA</v>
          </cell>
        </row>
        <row r="1701">
          <cell r="A1701" t="str">
            <v>WPPCD655</v>
          </cell>
          <cell r="B1701" t="str">
            <v>SUB ASSEM</v>
          </cell>
          <cell r="C1701" t="str">
            <v>EA</v>
          </cell>
        </row>
        <row r="1702">
          <cell r="A1702" t="str">
            <v>WPPCD945</v>
          </cell>
          <cell r="B1702" t="str">
            <v>SUB ASSEM</v>
          </cell>
          <cell r="C1702" t="str">
            <v>EA</v>
          </cell>
        </row>
        <row r="1703">
          <cell r="A1703" t="str">
            <v>WPPCD974</v>
          </cell>
          <cell r="B1703" t="str">
            <v>SUB ASSEM PYROGEN TEST</v>
          </cell>
          <cell r="C1703" t="str">
            <v>EA</v>
          </cell>
        </row>
        <row r="1704">
          <cell r="A1704" t="str">
            <v>WPPCD985</v>
          </cell>
          <cell r="B1704" t="str">
            <v>SUB ASSEM</v>
          </cell>
          <cell r="C1704" t="str">
            <v>EA</v>
          </cell>
        </row>
        <row r="1705">
          <cell r="A1705" t="str">
            <v>WPPCD988</v>
          </cell>
          <cell r="B1705" t="str">
            <v>SUB ASSEM</v>
          </cell>
          <cell r="C1705" t="str">
            <v>EA</v>
          </cell>
        </row>
        <row r="1706">
          <cell r="A1706" t="str">
            <v>WPPCR988</v>
          </cell>
          <cell r="B1706" t="str">
            <v>SUB ASSEM TEST</v>
          </cell>
          <cell r="C1706" t="str">
            <v>EA</v>
          </cell>
        </row>
        <row r="1707">
          <cell r="A1707" t="str">
            <v>Z9631A</v>
          </cell>
          <cell r="B1707" t="str">
            <v>10CC Syringe Kit</v>
          </cell>
          <cell r="C1707" t="str">
            <v>EA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 List"/>
      <sheetName val="Sheet1 (2)"/>
      <sheetName val="Cardinal Health Complaints"/>
      <sheetName val="Sheet5"/>
      <sheetName val="Sheet4"/>
      <sheetName val="4th QTR Complaint Chart"/>
      <sheetName val="Open Compl"/>
      <sheetName val="Complaint log"/>
      <sheetName val="Busse Complaint log (2)"/>
      <sheetName val="Display Complaint log"/>
      <sheetName val="Trend Analysis"/>
      <sheetName val="Trend Analysis Chart"/>
      <sheetName val="MDR"/>
      <sheetName val="Device Cmplnt Form "/>
      <sheetName val="Cat Description"/>
      <sheetName val="Investigation Report"/>
      <sheetName val="Decision on Distributed Product"/>
      <sheetName val="File-Storage location"/>
      <sheetName val="Sheet3"/>
      <sheetName val=" Reply Letter template"/>
      <sheetName val="Reply letter template "/>
      <sheetName val="2004 complaints"/>
      <sheetName val="1-05 to 8-05"/>
      <sheetName val="2005"/>
      <sheetName val="2006 Jan-May"/>
      <sheetName val="Jun - Dec 2006 Complaint Chart"/>
      <sheetName val="2006 June-Dec"/>
      <sheetName val="Complaint Chart 2005"/>
      <sheetName val="COMPLAINT CHART JAN-JUNE 2007"/>
      <sheetName val="Sheet1"/>
      <sheetName val="Sheet2"/>
      <sheetName val="Acknowlegement letter"/>
      <sheetName val="Cat#302 Complaints"/>
      <sheetName val="Pkg Complaint"/>
      <sheetName val="Complaint quest. 120104"/>
    </sheetNames>
    <sheetDataSet>
      <sheetData sheetId="0">
        <row r="2">
          <cell r="A2">
            <v>133</v>
          </cell>
          <cell r="B2" t="str">
            <v>Ster 7Mm St Curette</v>
          </cell>
        </row>
        <row r="3">
          <cell r="A3">
            <v>134</v>
          </cell>
          <cell r="B3" t="str">
            <v>Ster 8Mm St Curette</v>
          </cell>
        </row>
        <row r="4">
          <cell r="A4">
            <v>135</v>
          </cell>
          <cell r="B4" t="str">
            <v>Ster 9Mm Straight Curette</v>
          </cell>
        </row>
        <row r="5">
          <cell r="A5">
            <v>136</v>
          </cell>
          <cell r="B5" t="str">
            <v>Ster 10Mm  Straight Curette</v>
          </cell>
        </row>
        <row r="6">
          <cell r="A6">
            <v>137</v>
          </cell>
          <cell r="B6" t="str">
            <v>Ster 11Mm Straight Curette</v>
          </cell>
        </row>
        <row r="7">
          <cell r="A7">
            <v>138</v>
          </cell>
          <cell r="B7" t="str">
            <v>Ster 12Mm Straight Curette</v>
          </cell>
        </row>
        <row r="8">
          <cell r="A8">
            <v>139</v>
          </cell>
          <cell r="B8" t="str">
            <v>Ster 14Mm Straight  Curette</v>
          </cell>
        </row>
        <row r="9">
          <cell r="A9">
            <v>140</v>
          </cell>
          <cell r="B9" t="str">
            <v>Bulk 2 Oz Kraton Bulb Syringe</v>
          </cell>
        </row>
        <row r="10">
          <cell r="A10">
            <v>141</v>
          </cell>
          <cell r="B10" t="str">
            <v>Ster Bulb Syringe, 1 Oz.</v>
          </cell>
        </row>
        <row r="11">
          <cell r="A11">
            <v>142</v>
          </cell>
          <cell r="B11" t="str">
            <v>Sterile 2 Oz Bulb Syringe</v>
          </cell>
        </row>
        <row r="12">
          <cell r="A12">
            <v>143</v>
          </cell>
          <cell r="B12" t="str">
            <v>Sterile 3 Oz Bulb Syringe</v>
          </cell>
        </row>
        <row r="13">
          <cell r="A13">
            <v>144</v>
          </cell>
          <cell r="B13" t="str">
            <v>Bulk 2 Oz Ear/Ulcer Syringe</v>
          </cell>
        </row>
        <row r="14">
          <cell r="A14">
            <v>145</v>
          </cell>
          <cell r="B14" t="str">
            <v>Bulk 3 Oz Ear/Ulcer Syringe</v>
          </cell>
        </row>
        <row r="15">
          <cell r="A15">
            <v>146</v>
          </cell>
          <cell r="B15" t="str">
            <v>Bulk 1 Oz Ear/Ulcer Syringe</v>
          </cell>
        </row>
        <row r="16">
          <cell r="A16">
            <v>147</v>
          </cell>
          <cell r="B16" t="str">
            <v>Bulk 3 Oz Kraton Bulb Syringe</v>
          </cell>
        </row>
        <row r="17">
          <cell r="A17">
            <v>148</v>
          </cell>
          <cell r="B17" t="str">
            <v>Sterile 2 Oz Kraton Bulb Syringe</v>
          </cell>
        </row>
        <row r="18">
          <cell r="A18">
            <v>149</v>
          </cell>
          <cell r="B18" t="str">
            <v>Sterile 3 Oz Kraton Bulb Syringe</v>
          </cell>
        </row>
        <row r="19">
          <cell r="A19">
            <v>150</v>
          </cell>
          <cell r="B19" t="str">
            <v>Ster 6Ft 1/2 Tubing</v>
          </cell>
        </row>
        <row r="20">
          <cell r="A20">
            <v>151</v>
          </cell>
          <cell r="B20" t="str">
            <v>Ster N C 6Ft Tubing W/Hdle</v>
          </cell>
        </row>
        <row r="21">
          <cell r="A21">
            <v>153</v>
          </cell>
          <cell r="B21" t="str">
            <v>Ster Tubing  W/Handle /Adaptor</v>
          </cell>
        </row>
        <row r="22">
          <cell r="A22">
            <v>154</v>
          </cell>
          <cell r="B22" t="str">
            <v>Ster 6Ft Tubing, 1/4" I.D. 6' Long</v>
          </cell>
        </row>
        <row r="23">
          <cell r="A23">
            <v>155</v>
          </cell>
          <cell r="B23" t="str">
            <v>Ster 10Ft Tubing, 1/4" I.D.</v>
          </cell>
        </row>
        <row r="24">
          <cell r="A24">
            <v>156</v>
          </cell>
          <cell r="B24" t="str">
            <v>Ster 12Ft Tubing, 1/4" I.D.</v>
          </cell>
        </row>
        <row r="25">
          <cell r="A25">
            <v>157</v>
          </cell>
          <cell r="B25" t="str">
            <v>Ster 6Ft Tubing, 3/16" I.D.</v>
          </cell>
        </row>
        <row r="26">
          <cell r="A26">
            <v>162</v>
          </cell>
          <cell r="B26" t="str">
            <v>Ster 8 Fr Frazier Suction</v>
          </cell>
        </row>
        <row r="27">
          <cell r="A27">
            <v>163</v>
          </cell>
          <cell r="B27" t="str">
            <v>Sterile Frazier 10Fr</v>
          </cell>
        </row>
        <row r="28">
          <cell r="A28">
            <v>164</v>
          </cell>
          <cell r="B28" t="str">
            <v>Sterile 12Fr Frazier</v>
          </cell>
        </row>
        <row r="29">
          <cell r="A29">
            <v>165</v>
          </cell>
          <cell r="B29" t="str">
            <v>Ster 18Fr 30Cm Sigmoidoscope</v>
          </cell>
        </row>
        <row r="30">
          <cell r="A30">
            <v>167</v>
          </cell>
          <cell r="B30" t="str">
            <v>Ster Sigmoid  W/6' Tubing, 30Cm</v>
          </cell>
        </row>
        <row r="31">
          <cell r="A31">
            <v>198</v>
          </cell>
          <cell r="B31" t="str">
            <v>Deluxe Staff Protection Kit</v>
          </cell>
        </row>
        <row r="32">
          <cell r="A32">
            <v>199</v>
          </cell>
          <cell r="B32" t="str">
            <v>White Open Back Gown, P E Coated</v>
          </cell>
        </row>
        <row r="33">
          <cell r="A33">
            <v>200</v>
          </cell>
          <cell r="B33" t="str">
            <v>White Gown, P E Coated  Full Back</v>
          </cell>
        </row>
        <row r="34">
          <cell r="A34">
            <v>202</v>
          </cell>
          <cell r="B34" t="str">
            <v>Isolation Gown Full Back</v>
          </cell>
        </row>
        <row r="35">
          <cell r="A35">
            <v>203</v>
          </cell>
          <cell r="B35" t="str">
            <v>Yellow P E Coated Gown/Full/Knit</v>
          </cell>
        </row>
        <row r="36">
          <cell r="A36">
            <v>205</v>
          </cell>
          <cell r="B36" t="str">
            <v>White P E Coated Gown/Full</v>
          </cell>
        </row>
        <row r="37">
          <cell r="A37">
            <v>206</v>
          </cell>
          <cell r="B37" t="str">
            <v>Ster 3Mm Small Laminaria</v>
          </cell>
        </row>
        <row r="38">
          <cell r="A38">
            <v>207</v>
          </cell>
          <cell r="B38" t="str">
            <v>Ster 4Mm Medium Laminaria</v>
          </cell>
        </row>
        <row r="39">
          <cell r="A39">
            <v>208</v>
          </cell>
          <cell r="B39" t="str">
            <v>Ster 5Mm Large Laminaria</v>
          </cell>
        </row>
        <row r="40">
          <cell r="A40">
            <v>209</v>
          </cell>
          <cell r="B40" t="str">
            <v>Laminaria Cervical Dilator, X-Large</v>
          </cell>
        </row>
        <row r="41">
          <cell r="A41">
            <v>211</v>
          </cell>
          <cell r="B41" t="str">
            <v>X- Large Islolation Gown</v>
          </cell>
        </row>
        <row r="42">
          <cell r="A42">
            <v>212</v>
          </cell>
          <cell r="B42" t="str">
            <v>Coveralls, Open Sleeve Large</v>
          </cell>
        </row>
        <row r="43">
          <cell r="A43">
            <v>213</v>
          </cell>
          <cell r="B43" t="str">
            <v>Coveralls, Elastic Cuffs X- Large</v>
          </cell>
        </row>
        <row r="44">
          <cell r="A44">
            <v>214</v>
          </cell>
          <cell r="B44" t="str">
            <v>Coveralls, Elastic Cuffs Large</v>
          </cell>
        </row>
        <row r="45">
          <cell r="A45">
            <v>215</v>
          </cell>
          <cell r="B45" t="str">
            <v>Coveralls, Elastic Cuffs X-Large</v>
          </cell>
        </row>
        <row r="46">
          <cell r="A46">
            <v>219</v>
          </cell>
          <cell r="B46" t="str">
            <v>Coveralls Poly Coated, Elastic Cuffs</v>
          </cell>
        </row>
        <row r="47">
          <cell r="A47">
            <v>222</v>
          </cell>
          <cell r="B47" t="str">
            <v>Sms White Labcoat S/M</v>
          </cell>
        </row>
        <row r="48">
          <cell r="A48">
            <v>224</v>
          </cell>
          <cell r="B48" t="str">
            <v>Blue Lab Coats Sm/Med</v>
          </cell>
        </row>
        <row r="49">
          <cell r="A49">
            <v>225</v>
          </cell>
          <cell r="B49" t="str">
            <v>Sms Labcoat White:Large/ Xl Knit Cuffs</v>
          </cell>
        </row>
        <row r="50">
          <cell r="A50">
            <v>226</v>
          </cell>
          <cell r="B50" t="str">
            <v>White Lab Coats Sm/Med</v>
          </cell>
        </row>
        <row r="51">
          <cell r="A51">
            <v>227</v>
          </cell>
          <cell r="B51" t="str">
            <v>Blue Lab Coats Lg/X-Lg</v>
          </cell>
        </row>
        <row r="52">
          <cell r="A52">
            <v>228</v>
          </cell>
          <cell r="B52" t="str">
            <v>White Lab Coats Lg/X-Lg</v>
          </cell>
        </row>
        <row r="53">
          <cell r="A53">
            <v>229</v>
          </cell>
          <cell r="B53" t="str">
            <v>Sms White X X L</v>
          </cell>
        </row>
        <row r="54">
          <cell r="A54">
            <v>231</v>
          </cell>
          <cell r="B54" t="str">
            <v>Sms W/ X X X L G Lab Coat</v>
          </cell>
        </row>
        <row r="55">
          <cell r="A55">
            <v>235</v>
          </cell>
          <cell r="B55" t="str">
            <v>Personal Protection Gown</v>
          </cell>
        </row>
        <row r="56">
          <cell r="A56">
            <v>242</v>
          </cell>
          <cell r="B56" t="str">
            <v>Sms Yellow Isolation Gown</v>
          </cell>
        </row>
        <row r="57">
          <cell r="A57">
            <v>245</v>
          </cell>
          <cell r="B57" t="str">
            <v>Sms Blue Xl Coverall Open Cuffs</v>
          </cell>
        </row>
        <row r="58">
          <cell r="A58">
            <v>246</v>
          </cell>
          <cell r="B58" t="str">
            <v>Sms Blue Xl Coverall Open Cuff</v>
          </cell>
        </row>
        <row r="59">
          <cell r="A59">
            <v>247</v>
          </cell>
          <cell r="B59" t="str">
            <v>Sms White Lg Coverall Elastic Wrist Cuff Open Ankle</v>
          </cell>
        </row>
        <row r="60">
          <cell r="A60">
            <v>248</v>
          </cell>
          <cell r="B60" t="str">
            <v>Sms White Xl Coverall Elastic Wrist Cuff Open Ankle</v>
          </cell>
        </row>
        <row r="61">
          <cell r="A61">
            <v>250</v>
          </cell>
          <cell r="B61" t="str">
            <v>Apron, Plastic 28" X 46"</v>
          </cell>
        </row>
        <row r="62">
          <cell r="A62">
            <v>268</v>
          </cell>
          <cell r="B62" t="str">
            <v>Large Bouffant Cap 21" Blue</v>
          </cell>
        </row>
        <row r="63">
          <cell r="A63">
            <v>279</v>
          </cell>
          <cell r="B63" t="str">
            <v>Ster 7Mm Cvd Curette O/ Tip</v>
          </cell>
        </row>
        <row r="64">
          <cell r="A64">
            <v>280</v>
          </cell>
          <cell r="B64" t="str">
            <v>Ster 8Mm Cvd Curette O/Tip</v>
          </cell>
        </row>
        <row r="65">
          <cell r="A65">
            <v>281</v>
          </cell>
          <cell r="B65" t="str">
            <v>Ster 9Mm Curved Curette</v>
          </cell>
        </row>
        <row r="66">
          <cell r="A66">
            <v>282</v>
          </cell>
          <cell r="B66" t="str">
            <v>Ster 10Mm Curved Curette</v>
          </cell>
        </row>
        <row r="67">
          <cell r="A67">
            <v>283</v>
          </cell>
          <cell r="B67" t="str">
            <v>Ster 11Mm Curved Curette</v>
          </cell>
        </row>
        <row r="68">
          <cell r="A68">
            <v>284</v>
          </cell>
          <cell r="B68" t="str">
            <v>Ster 12Mm Curved Curette</v>
          </cell>
        </row>
        <row r="69">
          <cell r="A69">
            <v>285</v>
          </cell>
          <cell r="B69" t="str">
            <v>Ster 14Mm Curved  Curette</v>
          </cell>
        </row>
        <row r="70">
          <cell r="A70">
            <v>290</v>
          </cell>
          <cell r="B70" t="str">
            <v>Ster Poole Suction Instrument,</v>
          </cell>
        </row>
        <row r="71">
          <cell r="A71">
            <v>291</v>
          </cell>
          <cell r="B71" t="str">
            <v>Ster Poole Suction Instr.W 6' Non-Cond Tubing</v>
          </cell>
        </row>
        <row r="72">
          <cell r="A72">
            <v>296</v>
          </cell>
          <cell r="B72" t="str">
            <v>Ster Yank W/O Vent Open Tip</v>
          </cell>
        </row>
        <row r="73">
          <cell r="A73">
            <v>297</v>
          </cell>
          <cell r="B73" t="str">
            <v>Ster Yankauer W/Vent Open Tip</v>
          </cell>
        </row>
        <row r="74">
          <cell r="A74">
            <v>298</v>
          </cell>
          <cell r="B74" t="str">
            <v>Ster Yankauer W/O Vent Bulb Tip</v>
          </cell>
        </row>
        <row r="75">
          <cell r="A75">
            <v>299</v>
          </cell>
          <cell r="B75" t="str">
            <v>Ster Yankauer W/ Vent  Bulb Tip</v>
          </cell>
        </row>
        <row r="76">
          <cell r="A76">
            <v>302</v>
          </cell>
          <cell r="B76" t="str">
            <v>Ster Yankauer W/O Vent, W 6' N/ C Tubing</v>
          </cell>
        </row>
        <row r="77">
          <cell r="A77">
            <v>303</v>
          </cell>
          <cell r="B77" t="str">
            <v>Ster Yankauer W Vent W6' N/ C Tubing</v>
          </cell>
        </row>
        <row r="78">
          <cell r="A78">
            <v>305</v>
          </cell>
          <cell r="B78" t="str">
            <v>Ster Yankauer  W/O Vent, W 10' N/ C Tubing</v>
          </cell>
        </row>
        <row r="79">
          <cell r="A79">
            <v>327</v>
          </cell>
          <cell r="B79" t="str">
            <v>Lge. Bouffant Spunbonded Kool Cap 21" White</v>
          </cell>
        </row>
        <row r="80">
          <cell r="A80">
            <v>328</v>
          </cell>
          <cell r="B80" t="str">
            <v>Lg Bouffant Spunbonded Cap 21" Blue</v>
          </cell>
        </row>
        <row r="81">
          <cell r="A81">
            <v>329</v>
          </cell>
          <cell r="B81" t="str">
            <v>Lge. Bouffant Spunbonded Kool Cap 21" Green</v>
          </cell>
        </row>
        <row r="82">
          <cell r="A82">
            <v>330</v>
          </cell>
          <cell r="B82" t="str">
            <v>X-Lg Bouffant Spunbonded Kool Cap 24" White</v>
          </cell>
        </row>
        <row r="83">
          <cell r="A83">
            <v>331</v>
          </cell>
          <cell r="B83" t="str">
            <v>X-Lg Bouffant Spunbonded Kool Cap 24" Blue</v>
          </cell>
        </row>
        <row r="84">
          <cell r="A84">
            <v>332</v>
          </cell>
          <cell r="B84" t="str">
            <v>X-Lg  Bouffant Spunbonded Kool Cap 24" Green</v>
          </cell>
        </row>
        <row r="85">
          <cell r="A85">
            <v>335</v>
          </cell>
          <cell r="B85" t="str">
            <v>Tie-Back Kaycel Surgeon'S Cap, Blue-Green</v>
          </cell>
        </row>
        <row r="86">
          <cell r="A86">
            <v>338</v>
          </cell>
          <cell r="B86" t="str">
            <v>Shoe Cover-Non-Conductive W/O Strip, Universal</v>
          </cell>
        </row>
        <row r="87">
          <cell r="A87">
            <v>340</v>
          </cell>
          <cell r="B87" t="str">
            <v>Shoe Cover-Non-Conductive, Disp Pk</v>
          </cell>
        </row>
        <row r="88">
          <cell r="A88">
            <v>346</v>
          </cell>
          <cell r="B88" t="str">
            <v>Sur-Step Non-Conductive W/O Strip Bulk Pk</v>
          </cell>
        </row>
        <row r="89">
          <cell r="A89">
            <v>347</v>
          </cell>
          <cell r="B89" t="str">
            <v>X L Sur - Step Shoe Cover</v>
          </cell>
        </row>
        <row r="90">
          <cell r="A90">
            <v>348</v>
          </cell>
          <cell r="B90" t="str">
            <v>Sur-Step Non-Conductive Shoe Covers</v>
          </cell>
        </row>
        <row r="91">
          <cell r="A91">
            <v>370</v>
          </cell>
          <cell r="B91" t="str">
            <v>Yellow Isolation Mask /Earloops/Nosepiece</v>
          </cell>
        </row>
        <row r="92">
          <cell r="A92">
            <v>371</v>
          </cell>
          <cell r="B92" t="str">
            <v>Blue Procedure Mask W/Earloops/Nosepiece</v>
          </cell>
        </row>
        <row r="93">
          <cell r="A93">
            <v>372</v>
          </cell>
          <cell r="B93" t="str">
            <v>Fluid Resistant Procedure  Mask</v>
          </cell>
        </row>
        <row r="94">
          <cell r="A94">
            <v>373</v>
          </cell>
          <cell r="B94" t="str">
            <v>Mask W/Wraparound Face Shield</v>
          </cell>
        </row>
        <row r="95">
          <cell r="A95">
            <v>383</v>
          </cell>
          <cell r="B95" t="str">
            <v>Surgeons Mask Non-Glass, Blue</v>
          </cell>
        </row>
        <row r="96">
          <cell r="A96">
            <v>384</v>
          </cell>
          <cell r="B96" t="str">
            <v>Sterile Umbilical Cord Clamp</v>
          </cell>
        </row>
        <row r="97">
          <cell r="A97">
            <v>385</v>
          </cell>
          <cell r="B97" t="str">
            <v>Bulk Umbilical Cord Clamp</v>
          </cell>
        </row>
        <row r="98">
          <cell r="A98">
            <v>386</v>
          </cell>
          <cell r="B98" t="str">
            <v>Sterile Circumcision Tray</v>
          </cell>
        </row>
        <row r="99">
          <cell r="A99">
            <v>387</v>
          </cell>
          <cell r="B99" t="str">
            <v>Amniotic Perforator</v>
          </cell>
        </row>
        <row r="100">
          <cell r="A100">
            <v>388</v>
          </cell>
          <cell r="B100" t="str">
            <v>Non- Sterile  Obstetrical Kit Pouch</v>
          </cell>
        </row>
        <row r="101">
          <cell r="A101">
            <v>389</v>
          </cell>
          <cell r="B101" t="str">
            <v>Sterile Obstetrical Kit Box</v>
          </cell>
        </row>
        <row r="102">
          <cell r="A102">
            <v>400</v>
          </cell>
          <cell r="B102" t="str">
            <v>16 Oz. Sterile Sponge Bowl</v>
          </cell>
        </row>
        <row r="103">
          <cell r="A103">
            <v>401</v>
          </cell>
          <cell r="B103" t="str">
            <v>35Oz. Sterile Sponge Bowl</v>
          </cell>
        </row>
        <row r="104">
          <cell r="A104">
            <v>402</v>
          </cell>
          <cell r="B104" t="str">
            <v>16 Oz. Non-Sterile Sponge Bowl</v>
          </cell>
        </row>
        <row r="105">
          <cell r="A105">
            <v>403</v>
          </cell>
          <cell r="B105" t="str">
            <v>35 Oz. Non-Sterile Sponge Bowl</v>
          </cell>
        </row>
        <row r="106">
          <cell r="A106">
            <v>405</v>
          </cell>
          <cell r="B106" t="str">
            <v>Sterile  40Cc Mucus Specimen Trap  W/Extra Cap</v>
          </cell>
        </row>
        <row r="107">
          <cell r="A107">
            <v>406</v>
          </cell>
          <cell r="B107" t="str">
            <v>Sterile 40Cc Mucus Specimen Trap</v>
          </cell>
        </row>
        <row r="108">
          <cell r="A108">
            <v>407</v>
          </cell>
          <cell r="B108" t="str">
            <v>80Cc Sterile Mucus Specimen Trap</v>
          </cell>
        </row>
        <row r="109">
          <cell r="A109">
            <v>410</v>
          </cell>
          <cell r="B109" t="str">
            <v>Female Catheter Kit</v>
          </cell>
        </row>
        <row r="110">
          <cell r="A110">
            <v>411</v>
          </cell>
          <cell r="B110" t="str">
            <v>Adult Female Catheter Kit</v>
          </cell>
        </row>
        <row r="111">
          <cell r="A111">
            <v>412</v>
          </cell>
          <cell r="B111" t="str">
            <v>Pediatric Catheter Kit</v>
          </cell>
        </row>
        <row r="112">
          <cell r="A112">
            <v>413</v>
          </cell>
          <cell r="B112" t="str">
            <v>Infant Catheter Kit</v>
          </cell>
        </row>
        <row r="113">
          <cell r="A113">
            <v>420</v>
          </cell>
          <cell r="B113" t="str">
            <v>Specimen 8 Oz. Container W/Lids</v>
          </cell>
        </row>
        <row r="114">
          <cell r="A114">
            <v>450</v>
          </cell>
          <cell r="B114" t="str">
            <v>Fecal Container 1/2 Oz.</v>
          </cell>
        </row>
        <row r="115">
          <cell r="A115">
            <v>460</v>
          </cell>
          <cell r="B115" t="str">
            <v>Calculi Strainer</v>
          </cell>
        </row>
        <row r="116">
          <cell r="A116">
            <v>490</v>
          </cell>
          <cell r="B116" t="str">
            <v>Denture Cup, Plastic, W/Lid 8 Oz.</v>
          </cell>
        </row>
        <row r="117">
          <cell r="A117">
            <v>501</v>
          </cell>
          <cell r="B117" t="str">
            <v>5 In 1 Connector, Sterile</v>
          </cell>
        </row>
        <row r="118">
          <cell r="A118">
            <v>502</v>
          </cell>
          <cell r="B118" t="str">
            <v>Sterile Sims Connector</v>
          </cell>
        </row>
        <row r="119">
          <cell r="A119">
            <v>503</v>
          </cell>
          <cell r="B119" t="str">
            <v>Sterile T Connector</v>
          </cell>
        </row>
        <row r="120">
          <cell r="A120">
            <v>504</v>
          </cell>
          <cell r="B120" t="str">
            <v>Ster 6Mm 1/4In Straight Connector</v>
          </cell>
        </row>
        <row r="121">
          <cell r="A121">
            <v>505</v>
          </cell>
          <cell r="B121" t="str">
            <v>Ster 8Mm 5/16 Straight Connector</v>
          </cell>
        </row>
        <row r="122">
          <cell r="A122">
            <v>506</v>
          </cell>
          <cell r="B122" t="str">
            <v>Ster 10Mm 3/8" Straight Connector</v>
          </cell>
        </row>
        <row r="123">
          <cell r="A123">
            <v>507</v>
          </cell>
          <cell r="B123" t="str">
            <v>Sterile 1/4 Y Connector</v>
          </cell>
        </row>
        <row r="124">
          <cell r="A124">
            <v>508</v>
          </cell>
          <cell r="B124" t="str">
            <v>Sterile 3/8" Y Connector</v>
          </cell>
        </row>
        <row r="125">
          <cell r="A125">
            <v>509</v>
          </cell>
          <cell r="B125" t="str">
            <v>Sterile 6 In 1 Connector</v>
          </cell>
        </row>
        <row r="126">
          <cell r="A126">
            <v>510</v>
          </cell>
          <cell r="B126" t="str">
            <v>Sterile Catheter Plug</v>
          </cell>
        </row>
        <row r="127">
          <cell r="A127">
            <v>511</v>
          </cell>
          <cell r="B127" t="str">
            <v>Clean 5 In 1 Connector</v>
          </cell>
        </row>
        <row r="128">
          <cell r="A128">
            <v>512</v>
          </cell>
          <cell r="B128" t="str">
            <v>Clean Sims Connector</v>
          </cell>
        </row>
        <row r="129">
          <cell r="A129">
            <v>513</v>
          </cell>
          <cell r="B129" t="str">
            <v>Clean T Connector</v>
          </cell>
        </row>
        <row r="130">
          <cell r="A130">
            <v>514</v>
          </cell>
          <cell r="B130" t="str">
            <v>Clean 1/4" Straight Connector</v>
          </cell>
        </row>
        <row r="131">
          <cell r="A131">
            <v>515</v>
          </cell>
          <cell r="B131" t="str">
            <v>Clean 5/16In Straight Connector</v>
          </cell>
        </row>
        <row r="132">
          <cell r="A132">
            <v>516</v>
          </cell>
          <cell r="B132" t="str">
            <v>Clean 3/8" Straight Connector</v>
          </cell>
        </row>
        <row r="133">
          <cell r="A133">
            <v>517</v>
          </cell>
          <cell r="B133" t="str">
            <v>Clean 1/4In Y Connector</v>
          </cell>
        </row>
        <row r="134">
          <cell r="A134">
            <v>518</v>
          </cell>
          <cell r="B134" t="str">
            <v>Clean 3/8 In Y Connector</v>
          </cell>
        </row>
        <row r="135">
          <cell r="A135">
            <v>519</v>
          </cell>
          <cell r="B135" t="str">
            <v>Clean 6 In 1 Y Connector</v>
          </cell>
        </row>
        <row r="136">
          <cell r="A136">
            <v>546</v>
          </cell>
          <cell r="B136" t="str">
            <v>Sterile E. R. Laceration Tray W/ Safety Component</v>
          </cell>
        </row>
        <row r="137">
          <cell r="A137">
            <v>549</v>
          </cell>
          <cell r="B137" t="str">
            <v>Sterile E R Laceration Safety Tray</v>
          </cell>
        </row>
        <row r="138">
          <cell r="A138">
            <v>558</v>
          </cell>
          <cell r="B138" t="str">
            <v>Sterile Incision &amp; Drainage Tray W/ Safety Components</v>
          </cell>
        </row>
        <row r="139">
          <cell r="A139">
            <v>597</v>
          </cell>
          <cell r="B139" t="str">
            <v>Sterile Saf-T-Cube 1 Per Bag Latex-Free</v>
          </cell>
        </row>
        <row r="140">
          <cell r="A140">
            <v>598</v>
          </cell>
          <cell r="B140" t="str">
            <v>Sterile Saf-T Cube 3/Pk</v>
          </cell>
        </row>
        <row r="141">
          <cell r="A141">
            <v>610</v>
          </cell>
          <cell r="B141" t="str">
            <v>Soft-Loc Sontara Ice Bag W/Wide Mouth Zip Closure</v>
          </cell>
        </row>
        <row r="142">
          <cell r="A142">
            <v>611</v>
          </cell>
          <cell r="B142" t="str">
            <v>Soft - Loc Sontara X - Large Ice Bag</v>
          </cell>
        </row>
        <row r="143">
          <cell r="A143">
            <v>612</v>
          </cell>
          <cell r="B143" t="str">
            <v>Soft- Loc Sontara Ice Bag With Wide Mouth Zip Closure</v>
          </cell>
        </row>
        <row r="144">
          <cell r="A144">
            <v>613</v>
          </cell>
          <cell r="B144" t="str">
            <v>Soft - Loc Sontara Ice Bag W/Wide Mouth Zip Closure</v>
          </cell>
        </row>
        <row r="145">
          <cell r="A145">
            <v>616</v>
          </cell>
          <cell r="B145" t="str">
            <v>Large Stockinette Ice Bag</v>
          </cell>
        </row>
        <row r="146">
          <cell r="A146">
            <v>617</v>
          </cell>
          <cell r="B146" t="str">
            <v>X Large Stockinette Ice Bag</v>
          </cell>
        </row>
        <row r="147">
          <cell r="A147">
            <v>630</v>
          </cell>
          <cell r="B147" t="str">
            <v>Sterile J- Style Bone Marrow/Aspiration Needle</v>
          </cell>
        </row>
        <row r="148">
          <cell r="A148">
            <v>631</v>
          </cell>
          <cell r="B148" t="str">
            <v>Sterile I- Style Sternal-Iliac Aspiration Needle</v>
          </cell>
        </row>
        <row r="149">
          <cell r="A149">
            <v>645</v>
          </cell>
          <cell r="B149" t="str">
            <v>Sterile , Pediatric Lumbar Puncture Tray</v>
          </cell>
        </row>
        <row r="150">
          <cell r="A150">
            <v>646</v>
          </cell>
          <cell r="B150" t="str">
            <v>Sterile, Infant Lumbar Puncture Tray</v>
          </cell>
        </row>
        <row r="151">
          <cell r="A151">
            <v>647</v>
          </cell>
          <cell r="B151" t="str">
            <v>Sterile, Adult Lumbar Puncture Tray 18G X 3.5" Needle</v>
          </cell>
        </row>
        <row r="152">
          <cell r="A152">
            <v>648</v>
          </cell>
          <cell r="B152" t="str">
            <v>Sterile, Adult Lumbar Puncture Tray 20G X 3.5" Needle</v>
          </cell>
        </row>
        <row r="153">
          <cell r="A153">
            <v>649</v>
          </cell>
          <cell r="B153" t="str">
            <v>Sterile, Adult Lumbar Puncture Tray 22G X 3.5" Needle</v>
          </cell>
        </row>
        <row r="154">
          <cell r="A154">
            <v>650</v>
          </cell>
          <cell r="B154" t="str">
            <v>Sterile, Amniocentesis Tray 20G X 3.5" Needle</v>
          </cell>
        </row>
        <row r="155">
          <cell r="A155">
            <v>651</v>
          </cell>
          <cell r="B155" t="str">
            <v>Sterile, Biopsy Tray, No Needle</v>
          </cell>
        </row>
        <row r="156">
          <cell r="A156">
            <v>652</v>
          </cell>
          <cell r="B156" t="str">
            <v>Sterile Bone Marrow Biopsy W/ J &amp; I Needles</v>
          </cell>
        </row>
        <row r="157">
          <cell r="A157">
            <v>653</v>
          </cell>
          <cell r="B157" t="str">
            <v>Sterile, Bone Marrow  Biopsy Tray 11G X 4"  Jamshidi Style</v>
          </cell>
        </row>
        <row r="158">
          <cell r="A158">
            <v>654</v>
          </cell>
          <cell r="B158" t="str">
            <v>Sterile,  Bone Marrow Biopsy Tray</v>
          </cell>
        </row>
        <row r="159">
          <cell r="A159">
            <v>655</v>
          </cell>
          <cell r="B159" t="str">
            <v>Sterile, Bone Marrow Biopsy Tray 15G X 3/8" To 1 7/8" Illinois Style Needle</v>
          </cell>
        </row>
        <row r="160">
          <cell r="A160">
            <v>656</v>
          </cell>
          <cell r="B160" t="str">
            <v>Myelogram Tray 25G X 5/8" Needle</v>
          </cell>
        </row>
        <row r="161">
          <cell r="A161">
            <v>670</v>
          </cell>
          <cell r="B161" t="str">
            <v>Sterile Single Shot Epidural Tray</v>
          </cell>
        </row>
        <row r="162">
          <cell r="A162">
            <v>671</v>
          </cell>
          <cell r="B162" t="str">
            <v>Sterile Continuous Epidural Tray</v>
          </cell>
        </row>
        <row r="163">
          <cell r="A163">
            <v>672</v>
          </cell>
          <cell r="B163" t="str">
            <v>Sterile Basic Nerve Block Tray</v>
          </cell>
        </row>
        <row r="164">
          <cell r="A164">
            <v>680</v>
          </cell>
          <cell r="B164" t="str">
            <v>Sterile Self-Adhering Utility Drape Kaycel 18" X 26"</v>
          </cell>
        </row>
        <row r="165">
          <cell r="A165">
            <v>694</v>
          </cell>
          <cell r="B165" t="str">
            <v>Non-Ster 18X26 Fens Towel 3''/Fen</v>
          </cell>
        </row>
        <row r="166">
          <cell r="A166">
            <v>695</v>
          </cell>
          <cell r="B166" t="str">
            <v>Non-Sterile Towel Bulk 18" X 26"</v>
          </cell>
        </row>
        <row r="167">
          <cell r="A167">
            <v>696</v>
          </cell>
          <cell r="B167" t="str">
            <v>Sterile Towel Drape 18" X 26"</v>
          </cell>
        </row>
        <row r="168">
          <cell r="A168">
            <v>697</v>
          </cell>
          <cell r="B168" t="str">
            <v>Sterile Fenestrated Drape 18" X 26"</v>
          </cell>
        </row>
        <row r="169">
          <cell r="A169">
            <v>698</v>
          </cell>
          <cell r="B169" t="str">
            <v>Sterile Polylined Drape W/3'' Fen &amp; Adhesive Patch</v>
          </cell>
        </row>
        <row r="170">
          <cell r="A170">
            <v>700</v>
          </cell>
          <cell r="B170" t="str">
            <v>Shroud Kit (Adult) 54" X 108"</v>
          </cell>
        </row>
        <row r="171">
          <cell r="A171">
            <v>701</v>
          </cell>
          <cell r="B171" t="str">
            <v>Shroud Kit (Child) 54" X 72"</v>
          </cell>
        </row>
        <row r="172">
          <cell r="A172">
            <v>702</v>
          </cell>
          <cell r="B172" t="str">
            <v>Plastic Shroud Sheet 54" X 108"</v>
          </cell>
        </row>
        <row r="173">
          <cell r="A173">
            <v>703</v>
          </cell>
          <cell r="B173" t="str">
            <v>Tracheostomy Care Set W/ Forceps &amp; Gloves</v>
          </cell>
        </row>
        <row r="174">
          <cell r="A174">
            <v>706</v>
          </cell>
          <cell r="B174" t="str">
            <v>Tracheostomy Care Set W/ Suction Catheter e.</v>
          </cell>
        </row>
        <row r="175">
          <cell r="A175">
            <v>707</v>
          </cell>
          <cell r="B175" t="str">
            <v>Trach Dressings Pre-Cut Gauze, 4"X4"</v>
          </cell>
        </row>
        <row r="176">
          <cell r="A176">
            <v>710</v>
          </cell>
          <cell r="B176" t="str">
            <v>Ster Tracheostomy Care Set</v>
          </cell>
        </row>
        <row r="177">
          <cell r="A177">
            <v>711</v>
          </cell>
          <cell r="B177" t="str">
            <v>Ster Tracheostomy Care Set W/Gloves</v>
          </cell>
        </row>
        <row r="178">
          <cell r="A178">
            <v>713</v>
          </cell>
          <cell r="B178" t="str">
            <v>Tracheostomy Care Set W/ Removable Basin</v>
          </cell>
        </row>
        <row r="179">
          <cell r="A179">
            <v>714</v>
          </cell>
          <cell r="B179" t="str">
            <v>Ster Tracheostomy Set W/Hydrogen Peroxide</v>
          </cell>
        </row>
        <row r="180">
          <cell r="A180">
            <v>715</v>
          </cell>
          <cell r="B180" t="str">
            <v>Ster Trach  Set W/  Gloves</v>
          </cell>
        </row>
        <row r="181">
          <cell r="A181">
            <v>716</v>
          </cell>
          <cell r="B181" t="str">
            <v>Sterile Skin Staple Remover</v>
          </cell>
        </row>
        <row r="182">
          <cell r="A182">
            <v>717</v>
          </cell>
          <cell r="B182" t="str">
            <v>Ster Suture Remov.Kit W/Lit Scissors /Posi-Grip Forceps</v>
          </cell>
        </row>
        <row r="183">
          <cell r="A183">
            <v>718</v>
          </cell>
          <cell r="B183" t="str">
            <v>Srk W/Littauer Scissors &amp; 4" Metal Forceps</v>
          </cell>
        </row>
        <row r="184">
          <cell r="A184">
            <v>723</v>
          </cell>
          <cell r="B184" t="str">
            <v>Suture Removal Kit W/ Floor Grade Instruments Iris Scissor</v>
          </cell>
        </row>
        <row r="185">
          <cell r="A185">
            <v>724</v>
          </cell>
          <cell r="B185" t="str">
            <v>Suture Removal Kit W/Prep Pads</v>
          </cell>
        </row>
        <row r="186">
          <cell r="A186">
            <v>725</v>
          </cell>
          <cell r="B186" t="str">
            <v>Shroud Kit (Adult) 54" X 108"</v>
          </cell>
        </row>
        <row r="187">
          <cell r="A187">
            <v>726</v>
          </cell>
          <cell r="B187" t="str">
            <v>Suture Removal Kit W/ Floor Grade Instruments Litt. Scissor</v>
          </cell>
        </row>
        <row r="188">
          <cell r="A188">
            <v>727</v>
          </cell>
          <cell r="B188" t="str">
            <v>Shroud Kit (X-Large) 72" X 108"</v>
          </cell>
        </row>
        <row r="189">
          <cell r="A189">
            <v>728</v>
          </cell>
          <cell r="B189" t="str">
            <v>Shroud Sheet (X-Large) 72" X 108"</v>
          </cell>
        </row>
        <row r="190">
          <cell r="A190">
            <v>729</v>
          </cell>
          <cell r="B190" t="str">
            <v>Suture Removal Kit W/ Iris Scissors</v>
          </cell>
        </row>
        <row r="191">
          <cell r="A191">
            <v>732</v>
          </cell>
          <cell r="B191" t="str">
            <v>Sterile Suture Removal Kit</v>
          </cell>
        </row>
        <row r="192">
          <cell r="A192">
            <v>736</v>
          </cell>
          <cell r="B192" t="str">
            <v>Plastic Microscope Coverslips 22Mm Sq</v>
          </cell>
        </row>
        <row r="193">
          <cell r="A193">
            <v>737</v>
          </cell>
          <cell r="B193" t="str">
            <v>Suture Removal Kit W/ Plastic Handle Scissors</v>
          </cell>
        </row>
        <row r="194">
          <cell r="A194">
            <v>744</v>
          </cell>
          <cell r="B194" t="str">
            <v>Sterile Sharp Debridement Tray</v>
          </cell>
        </row>
        <row r="195">
          <cell r="A195">
            <v>746</v>
          </cell>
          <cell r="B195" t="str">
            <v>Sterile E R Laceration Tray W/ Cloth Towels</v>
          </cell>
        </row>
        <row r="196">
          <cell r="A196">
            <v>747</v>
          </cell>
          <cell r="B196" t="str">
            <v>E R Laceration Tray</v>
          </cell>
        </row>
        <row r="197">
          <cell r="A197">
            <v>748</v>
          </cell>
          <cell r="B197" t="str">
            <v>E R Laceration Tray With Saf-Shield</v>
          </cell>
        </row>
        <row r="198">
          <cell r="A198">
            <v>749</v>
          </cell>
          <cell r="B198" t="str">
            <v>E R Laceration Tray W/ Webster Needleholder</v>
          </cell>
        </row>
        <row r="199">
          <cell r="A199">
            <v>750</v>
          </cell>
          <cell r="B199" t="str">
            <v>Ster Minor Laceration Tray</v>
          </cell>
        </row>
        <row r="200">
          <cell r="A200">
            <v>751</v>
          </cell>
          <cell r="B200" t="str">
            <v>Ster Minor Laceration Pk</v>
          </cell>
        </row>
        <row r="201">
          <cell r="A201">
            <v>752</v>
          </cell>
          <cell r="B201" t="str">
            <v>Ster Instrument  Tray  General Purpose</v>
          </cell>
        </row>
        <row r="202">
          <cell r="A202">
            <v>753</v>
          </cell>
          <cell r="B202" t="str">
            <v>Ster General Purpose Tray</v>
          </cell>
        </row>
        <row r="203">
          <cell r="A203">
            <v>754</v>
          </cell>
          <cell r="B203" t="str">
            <v>Ster General Purpose Tray</v>
          </cell>
        </row>
        <row r="204">
          <cell r="A204">
            <v>755</v>
          </cell>
          <cell r="B204" t="str">
            <v>Ster Instrument Tray</v>
          </cell>
        </row>
        <row r="205">
          <cell r="A205">
            <v>756</v>
          </cell>
          <cell r="B205" t="str">
            <v>Ster Deluxe Wound Closure W/ Instruments</v>
          </cell>
        </row>
        <row r="206">
          <cell r="A206">
            <v>757</v>
          </cell>
          <cell r="B206" t="str">
            <v>Ster Deluxe Facial Wound Closure</v>
          </cell>
        </row>
        <row r="207">
          <cell r="A207">
            <v>758</v>
          </cell>
          <cell r="B207" t="str">
            <v>Ster Incision &amp; Drainage  Tray</v>
          </cell>
        </row>
        <row r="208">
          <cell r="A208">
            <v>759</v>
          </cell>
          <cell r="B208" t="str">
            <v>Ster Dressing Chg Tray W/Instr./ Abdo Pad</v>
          </cell>
        </row>
        <row r="209">
          <cell r="A209">
            <v>766</v>
          </cell>
          <cell r="B209" t="str">
            <v>Sterile Saf- Shield</v>
          </cell>
        </row>
        <row r="210">
          <cell r="A210">
            <v>767</v>
          </cell>
          <cell r="B210" t="str">
            <v>Bulk Non-Sterile Saf- Shield</v>
          </cell>
        </row>
        <row r="211">
          <cell r="A211">
            <v>770</v>
          </cell>
          <cell r="B211" t="str">
            <v>Ster Skin Staple Remover, Disp. Pk</v>
          </cell>
        </row>
        <row r="212">
          <cell r="A212">
            <v>772</v>
          </cell>
          <cell r="B212" t="str">
            <v>Sterile Skin Staple Remover</v>
          </cell>
        </row>
        <row r="213">
          <cell r="A213">
            <v>773</v>
          </cell>
          <cell r="B213" t="str">
            <v>Sterile Sharp/Blunt Nurses Scissors 51/2"</v>
          </cell>
        </row>
        <row r="214">
          <cell r="A214">
            <v>775</v>
          </cell>
          <cell r="B214" t="str">
            <v>Sterile Straight Kelly Hemostat 5 1/2"</v>
          </cell>
        </row>
        <row r="215">
          <cell r="A215">
            <v>791</v>
          </cell>
          <cell r="B215" t="str">
            <v>Tape Measure Newborn 24"</v>
          </cell>
        </row>
        <row r="216">
          <cell r="A216">
            <v>795</v>
          </cell>
          <cell r="B216" t="str">
            <v>Tape Measure Pediatric 36"</v>
          </cell>
        </row>
        <row r="217">
          <cell r="A217">
            <v>799</v>
          </cell>
          <cell r="B217" t="str">
            <v>Tracheostomy Care Set W/ Forceps</v>
          </cell>
        </row>
        <row r="218">
          <cell r="A218">
            <v>800</v>
          </cell>
          <cell r="B218" t="str">
            <v>Tracheostomy Care Set W/Saline</v>
          </cell>
        </row>
        <row r="219">
          <cell r="A219">
            <v>802</v>
          </cell>
          <cell r="B219" t="str">
            <v>Professional Towel, Absorbent 13 1/2"X19"</v>
          </cell>
        </row>
        <row r="220">
          <cell r="A220">
            <v>810</v>
          </cell>
          <cell r="B220" t="str">
            <v>Bib, Geriatric, Plastic 14"X22"</v>
          </cell>
        </row>
        <row r="221">
          <cell r="A221">
            <v>815</v>
          </cell>
          <cell r="B221" t="str">
            <v>Plastic Pillow Case Protector 21"X28"</v>
          </cell>
        </row>
        <row r="222">
          <cell r="A222">
            <v>818</v>
          </cell>
          <cell r="B222" t="str">
            <v>Sterile I V Start Kit W/ Sepp And Tegaderm Dressing</v>
          </cell>
        </row>
        <row r="223">
          <cell r="A223">
            <v>820</v>
          </cell>
          <cell r="B223" t="str">
            <v>Sterile Latex Free I V Start Kit With Tegaderm</v>
          </cell>
        </row>
        <row r="224">
          <cell r="A224">
            <v>822</v>
          </cell>
          <cell r="B224" t="str">
            <v>Sterile Iv Start Kit</v>
          </cell>
        </row>
        <row r="225">
          <cell r="A225">
            <v>825</v>
          </cell>
          <cell r="B225" t="str">
            <v>Sterile Tpn/ Cvp Tray</v>
          </cell>
        </row>
        <row r="226">
          <cell r="A226">
            <v>828</v>
          </cell>
          <cell r="B226" t="str">
            <v>Ster Tpn/Cvp Dressing Chg Tray W/ Bio Dressing</v>
          </cell>
        </row>
        <row r="227">
          <cell r="A227">
            <v>829</v>
          </cell>
          <cell r="B227" t="str">
            <v>Ster Tpn/Cvp Dressing Chg Tray W/ Tegaderm</v>
          </cell>
        </row>
        <row r="228">
          <cell r="A228">
            <v>831</v>
          </cell>
          <cell r="B228" t="str">
            <v>Sterile V A D Access Kit</v>
          </cell>
        </row>
        <row r="229">
          <cell r="A229">
            <v>832</v>
          </cell>
          <cell r="B229" t="str">
            <v>Sterile C V C Dressing Change Tray</v>
          </cell>
        </row>
        <row r="230">
          <cell r="A230">
            <v>834</v>
          </cell>
          <cell r="B230" t="str">
            <v>Sterile Central Line Dressing Change Tray</v>
          </cell>
        </row>
        <row r="231">
          <cell r="A231">
            <v>835</v>
          </cell>
          <cell r="B231" t="str">
            <v>Ster. Dressing Change Tray W/Chloraprep</v>
          </cell>
        </row>
        <row r="232">
          <cell r="A232">
            <v>836</v>
          </cell>
          <cell r="B232" t="str">
            <v>Sterile Central Line Dressing Change Tray W/Chloraprep</v>
          </cell>
        </row>
        <row r="233">
          <cell r="A233">
            <v>837</v>
          </cell>
          <cell r="B233" t="str">
            <v>Sterile Central Line Dressing Change Tray W/Chloraprep</v>
          </cell>
        </row>
        <row r="234">
          <cell r="A234">
            <v>843</v>
          </cell>
          <cell r="B234" t="str">
            <v>15''X 15'' Csr Wrap, Physician Pack</v>
          </cell>
        </row>
        <row r="235">
          <cell r="A235">
            <v>845</v>
          </cell>
          <cell r="B235" t="str">
            <v>12''X 12' Standard Wrap</v>
          </cell>
        </row>
        <row r="236">
          <cell r="A236">
            <v>846</v>
          </cell>
          <cell r="B236" t="str">
            <v>18''X 18'' Standard Wrap</v>
          </cell>
        </row>
        <row r="237">
          <cell r="A237">
            <v>847</v>
          </cell>
          <cell r="B237" t="str">
            <v>24"X24" Standard Wrap</v>
          </cell>
        </row>
        <row r="238">
          <cell r="A238">
            <v>848</v>
          </cell>
          <cell r="B238" t="str">
            <v>30"X30" Standard Wrap</v>
          </cell>
        </row>
        <row r="239">
          <cell r="A239">
            <v>849</v>
          </cell>
          <cell r="B239" t="str">
            <v>36"X36" Standard Wrap</v>
          </cell>
        </row>
        <row r="240">
          <cell r="A240">
            <v>850</v>
          </cell>
          <cell r="B240" t="str">
            <v>Standard Wrap 12" X 12"</v>
          </cell>
        </row>
        <row r="241">
          <cell r="A241">
            <v>851</v>
          </cell>
          <cell r="B241" t="str">
            <v>Standard Wrap 15" X 15"</v>
          </cell>
        </row>
        <row r="242">
          <cell r="A242">
            <v>852</v>
          </cell>
          <cell r="B242" t="str">
            <v>Standard Wrap 20" X 20"</v>
          </cell>
        </row>
        <row r="243">
          <cell r="A243">
            <v>853</v>
          </cell>
          <cell r="B243" t="str">
            <v>Standard Wrap 24" X 24"</v>
          </cell>
        </row>
        <row r="244">
          <cell r="A244">
            <v>854</v>
          </cell>
          <cell r="B244" t="str">
            <v>Standard Wrap 30" X 30"</v>
          </cell>
        </row>
        <row r="245">
          <cell r="A245">
            <v>855</v>
          </cell>
          <cell r="B245" t="str">
            <v>Standard Wrap 36" X 36"</v>
          </cell>
        </row>
        <row r="246">
          <cell r="A246">
            <v>856</v>
          </cell>
          <cell r="B246" t="str">
            <v>Standard Wrap 40" X 40"</v>
          </cell>
        </row>
        <row r="247">
          <cell r="A247">
            <v>857</v>
          </cell>
          <cell r="B247" t="str">
            <v>Standard Wrap 45" X 45"</v>
          </cell>
        </row>
        <row r="248">
          <cell r="A248">
            <v>858</v>
          </cell>
          <cell r="B248" t="str">
            <v>Standard Wrap 54" X 54"</v>
          </cell>
        </row>
        <row r="249">
          <cell r="A249">
            <v>895</v>
          </cell>
          <cell r="B249" t="str">
            <v>Sterile I V Start Kit W/ Tegaderm First Aid Dressing With Label</v>
          </cell>
        </row>
        <row r="250">
          <cell r="A250">
            <v>901</v>
          </cell>
          <cell r="B250" t="str">
            <v>White Post-Mortem Bag W/ I D Tags</v>
          </cell>
        </row>
        <row r="251">
          <cell r="A251">
            <v>902</v>
          </cell>
          <cell r="B251" t="str">
            <v>Yellow  Post Mortem Bag W/ I D Tags</v>
          </cell>
        </row>
        <row r="252">
          <cell r="A252">
            <v>903</v>
          </cell>
          <cell r="B252" t="str">
            <v>Yellow Post Mortem Kit, W/ Components</v>
          </cell>
        </row>
        <row r="253">
          <cell r="A253">
            <v>904</v>
          </cell>
          <cell r="B253" t="str">
            <v>White Post Mortem  Kit, W/Components</v>
          </cell>
        </row>
        <row r="254">
          <cell r="A254">
            <v>905</v>
          </cell>
          <cell r="B254" t="str">
            <v>Infant Post Mortem Bag , W/ Tags White</v>
          </cell>
        </row>
        <row r="255">
          <cell r="A255">
            <v>906</v>
          </cell>
          <cell r="B255" t="str">
            <v>Pediatric White Post Mortem Bag With Straight Zipper</v>
          </cell>
        </row>
        <row r="256">
          <cell r="A256">
            <v>907</v>
          </cell>
          <cell r="B256" t="str">
            <v>Post Mortem Bag W/ Curved Zipper, White</v>
          </cell>
        </row>
        <row r="257">
          <cell r="A257">
            <v>908</v>
          </cell>
          <cell r="B257" t="str">
            <v>Post Mortem Bag Curved Zipper, W/ Components White</v>
          </cell>
        </row>
        <row r="258">
          <cell r="A258">
            <v>909</v>
          </cell>
          <cell r="B258" t="str">
            <v>Xl Heavy D/Wh/Post/M/K</v>
          </cell>
        </row>
        <row r="259">
          <cell r="A259">
            <v>911</v>
          </cell>
          <cell r="B259" t="str">
            <v>Heavy Duty Post Mortem Kit</v>
          </cell>
        </row>
        <row r="260">
          <cell r="A260">
            <v>913</v>
          </cell>
          <cell r="B260" t="str">
            <v>X-Large Shroud Kit With Post Mortem Bag</v>
          </cell>
        </row>
        <row r="261">
          <cell r="A261">
            <v>914</v>
          </cell>
          <cell r="B261" t="str">
            <v>Pvc Free Straight Zipper White</v>
          </cell>
        </row>
        <row r="262">
          <cell r="A262">
            <v>915</v>
          </cell>
          <cell r="B262" t="str">
            <v>Pvc Free Straight  Zipper Post Mortem Kit White</v>
          </cell>
        </row>
        <row r="263">
          <cell r="A263">
            <v>916</v>
          </cell>
          <cell r="B263" t="str">
            <v>Pvc Free Post Mortem Bag Curved Zipper  White</v>
          </cell>
        </row>
        <row r="264">
          <cell r="A264">
            <v>918</v>
          </cell>
          <cell r="B264" t="str">
            <v>Pvc Free Post Mortem Bag Heavy Duty With Wrap- Around Zipper</v>
          </cell>
        </row>
        <row r="265">
          <cell r="A265">
            <v>945</v>
          </cell>
          <cell r="B265" t="str">
            <v>Infant Lumbar Tray With Safety Needles</v>
          </cell>
        </row>
        <row r="266">
          <cell r="A266">
            <v>946</v>
          </cell>
          <cell r="B266" t="str">
            <v>Pediatric Infant Lumbar Tray With Safety Needles</v>
          </cell>
        </row>
        <row r="267">
          <cell r="A267">
            <v>947</v>
          </cell>
          <cell r="B267" t="str">
            <v>Sterile Lumbar  Puncture Tray Safety W/ 18G X 3.5 Spinal Needle</v>
          </cell>
        </row>
        <row r="268">
          <cell r="A268">
            <v>948</v>
          </cell>
          <cell r="B268" t="str">
            <v>Lumbar Puncture Tray W/Safety Needles</v>
          </cell>
        </row>
        <row r="269">
          <cell r="A269">
            <v>949</v>
          </cell>
          <cell r="B269" t="str">
            <v>Sterile Lumbar Puncture Safety Tray</v>
          </cell>
        </row>
        <row r="270">
          <cell r="A270">
            <v>950</v>
          </cell>
          <cell r="B270" t="str">
            <v>Sterile Amnio Safety Tray</v>
          </cell>
        </row>
        <row r="271">
          <cell r="A271">
            <v>951</v>
          </cell>
          <cell r="B271" t="str">
            <v>Sterile Basic Tissue Biopsy Safety Tray</v>
          </cell>
        </row>
        <row r="272">
          <cell r="A272">
            <v>952</v>
          </cell>
          <cell r="B272" t="str">
            <v>Sterile Bone Marrow Biopsy Safety Tray</v>
          </cell>
        </row>
        <row r="273">
          <cell r="A273">
            <v>953</v>
          </cell>
          <cell r="B273" t="str">
            <v>Bone Marrow Biopsy Tray  Safety</v>
          </cell>
        </row>
        <row r="274">
          <cell r="A274">
            <v>954</v>
          </cell>
          <cell r="B274" t="str">
            <v>Bone Marrow Biopsy Tray  Safety</v>
          </cell>
        </row>
        <row r="275">
          <cell r="A275">
            <v>955</v>
          </cell>
          <cell r="B275" t="str">
            <v>Bone Marrow Biopsy Tray Safety</v>
          </cell>
        </row>
        <row r="276">
          <cell r="A276">
            <v>956</v>
          </cell>
          <cell r="B276" t="str">
            <v>Myelogram Tray With Safety Needles</v>
          </cell>
        </row>
        <row r="277">
          <cell r="A277">
            <v>957</v>
          </cell>
          <cell r="B277" t="str">
            <v>Safety Arthrogram Tray</v>
          </cell>
        </row>
        <row r="278">
          <cell r="A278">
            <v>1002</v>
          </cell>
          <cell r="B278" t="str">
            <v>10X22 Scr 22 Grade</v>
          </cell>
        </row>
        <row r="279">
          <cell r="A279" t="str">
            <v>1291</v>
          </cell>
          <cell r="B279" t="str">
            <v>Myelogram Tray</v>
          </cell>
        </row>
        <row r="280">
          <cell r="A280">
            <v>1338</v>
          </cell>
          <cell r="B280" t="str">
            <v>Bulk 7Mm Straight Curette</v>
          </cell>
        </row>
        <row r="281">
          <cell r="A281">
            <v>1348</v>
          </cell>
          <cell r="B281" t="str">
            <v>Bulk 8Mm Straight Curette</v>
          </cell>
        </row>
        <row r="282">
          <cell r="A282">
            <v>1358</v>
          </cell>
          <cell r="B282" t="str">
            <v>Bulk 9Mm Straight Curette</v>
          </cell>
        </row>
        <row r="283">
          <cell r="A283">
            <v>1368</v>
          </cell>
          <cell r="B283" t="str">
            <v>Bulk 10Mm Straight Curette</v>
          </cell>
        </row>
        <row r="284">
          <cell r="A284">
            <v>1378</v>
          </cell>
          <cell r="B284" t="str">
            <v>Bulk 11Mm Straight Curette</v>
          </cell>
        </row>
        <row r="285">
          <cell r="A285">
            <v>1388</v>
          </cell>
          <cell r="B285" t="str">
            <v>Bulk 12Mm Straight Curette</v>
          </cell>
        </row>
        <row r="286">
          <cell r="A286">
            <v>1398</v>
          </cell>
          <cell r="B286" t="str">
            <v>Bulk 14Mm Str.Curette</v>
          </cell>
        </row>
        <row r="287">
          <cell r="A287">
            <v>1426</v>
          </cell>
          <cell r="B287" t="str">
            <v>Gm 25-402 Ster 2Oz Bulb Syringe</v>
          </cell>
        </row>
        <row r="288">
          <cell r="A288">
            <v>1434</v>
          </cell>
          <cell r="B288" t="str">
            <v>Bulk 3 Oz Bulb Syringe</v>
          </cell>
        </row>
        <row r="289">
          <cell r="A289">
            <v>1443</v>
          </cell>
          <cell r="B289" t="str">
            <v>Pressure Sore Dressing Change Tray</v>
          </cell>
        </row>
        <row r="290">
          <cell r="A290">
            <v>1444</v>
          </cell>
          <cell r="B290" t="str">
            <v>Allg#8794-1 2Oz Blb Syr</v>
          </cell>
        </row>
        <row r="291">
          <cell r="A291">
            <v>1506</v>
          </cell>
          <cell r="B291" t="str">
            <v>Bulk 1/2" Male Adaptor</v>
          </cell>
        </row>
        <row r="292">
          <cell r="A292">
            <v>1508</v>
          </cell>
          <cell r="B292" t="str">
            <v>Bulk Handle For 1/2" Tubing</v>
          </cell>
        </row>
        <row r="293">
          <cell r="A293">
            <v>1539</v>
          </cell>
          <cell r="B293" t="str">
            <v>Suction  Tubing</v>
          </cell>
        </row>
        <row r="294">
          <cell r="A294">
            <v>1540</v>
          </cell>
          <cell r="B294" t="str">
            <v>Sterile 10'X3/8" Tubing</v>
          </cell>
        </row>
        <row r="295">
          <cell r="A295">
            <v>1612</v>
          </cell>
          <cell r="B295" t="str">
            <v>Bulk 8 Fr Frazier</v>
          </cell>
        </row>
        <row r="296">
          <cell r="A296">
            <v>1613</v>
          </cell>
          <cell r="B296" t="str">
            <v>Bulk 10 Fr Frazier</v>
          </cell>
        </row>
        <row r="297">
          <cell r="A297">
            <v>1649</v>
          </cell>
          <cell r="B297" t="str">
            <v>Bulk 12 Fr Frazier</v>
          </cell>
        </row>
        <row r="298">
          <cell r="A298">
            <v>1697</v>
          </cell>
          <cell r="B298" t="str">
            <v>Ster Dressing Chg Tray</v>
          </cell>
        </row>
        <row r="299">
          <cell r="A299">
            <v>1744</v>
          </cell>
          <cell r="B299" t="str">
            <v>Protex #950361 Adult Shoud</v>
          </cell>
        </row>
        <row r="300">
          <cell r="A300">
            <v>1745</v>
          </cell>
          <cell r="B300" t="str">
            <v>Protex #950362 Child Shoud</v>
          </cell>
        </row>
        <row r="301">
          <cell r="A301">
            <v>1746</v>
          </cell>
          <cell r="B301" t="str">
            <v>Protex #950365 Ex-Lg Shoud</v>
          </cell>
        </row>
        <row r="302">
          <cell r="A302">
            <v>1747</v>
          </cell>
          <cell r="B302" t="str">
            <v>Protex #950358 Post Mortem</v>
          </cell>
        </row>
        <row r="303">
          <cell r="A303">
            <v>1748</v>
          </cell>
          <cell r="B303" t="str">
            <v>Protex #950259 Body Bag</v>
          </cell>
        </row>
        <row r="304">
          <cell r="A304">
            <v>1749</v>
          </cell>
          <cell r="B304" t="str">
            <v>Protex #950359 Post Mortem Bag</v>
          </cell>
        </row>
        <row r="305">
          <cell r="A305">
            <v>1846</v>
          </cell>
          <cell r="B305" t="str">
            <v>Sterile Dressing Change Tray</v>
          </cell>
        </row>
        <row r="306">
          <cell r="A306">
            <v>1859</v>
          </cell>
          <cell r="B306" t="str">
            <v>Sterile Dress Chg Tray #25-1859</v>
          </cell>
        </row>
        <row r="307">
          <cell r="A307">
            <v>1950</v>
          </cell>
          <cell r="B307" t="str">
            <v>Sterile Peripheral Nerve Block Basic Support Tray</v>
          </cell>
        </row>
        <row r="308">
          <cell r="A308">
            <v>2026</v>
          </cell>
          <cell r="B308" t="str">
            <v>Ster Dress Chg Tray G M 25-2026</v>
          </cell>
        </row>
        <row r="309">
          <cell r="A309">
            <v>2044</v>
          </cell>
          <cell r="B309" t="str">
            <v>Premier Yellow Proced Gown</v>
          </cell>
        </row>
        <row r="310">
          <cell r="A310">
            <v>2067</v>
          </cell>
          <cell r="B310" t="str">
            <v>Ster Trach Set W/Cath/Sal</v>
          </cell>
        </row>
        <row r="311">
          <cell r="A311" t="str">
            <v>2598</v>
          </cell>
          <cell r="B311" t="str">
            <v>Epidural Pain Pack</v>
          </cell>
        </row>
        <row r="312">
          <cell r="A312" t="str">
            <v>2685</v>
          </cell>
          <cell r="B312" t="str">
            <v>Gm Ster. E. R. Tray</v>
          </cell>
        </row>
        <row r="313">
          <cell r="A313">
            <v>2691</v>
          </cell>
          <cell r="B313" t="str">
            <v>Sterile Gm 25-2691 E. R.  Tray</v>
          </cell>
        </row>
        <row r="314">
          <cell r="A314">
            <v>2798</v>
          </cell>
          <cell r="B314" t="str">
            <v>Bulk 7Mm Crvd Curette</v>
          </cell>
        </row>
        <row r="315">
          <cell r="A315">
            <v>2808</v>
          </cell>
          <cell r="B315" t="str">
            <v>Bulk 8Mm Crvd Curette</v>
          </cell>
        </row>
        <row r="316">
          <cell r="A316">
            <v>2818</v>
          </cell>
          <cell r="B316" t="str">
            <v>Bulk 9Mm Crvd Curette</v>
          </cell>
        </row>
        <row r="317">
          <cell r="A317">
            <v>2828</v>
          </cell>
          <cell r="B317" t="str">
            <v>Bulk 10Mm Crvd Curette</v>
          </cell>
        </row>
        <row r="318">
          <cell r="A318">
            <v>2838</v>
          </cell>
          <cell r="B318" t="str">
            <v>Bulk 11Mm Crvd Curette</v>
          </cell>
        </row>
        <row r="319">
          <cell r="A319">
            <v>2848</v>
          </cell>
          <cell r="B319" t="str">
            <v>Bulk 12Mm Crvd Curette</v>
          </cell>
        </row>
        <row r="320">
          <cell r="A320">
            <v>2858</v>
          </cell>
          <cell r="B320" t="str">
            <v>Bulk 14Mm Curved Curette</v>
          </cell>
        </row>
        <row r="321">
          <cell r="A321">
            <v>2920</v>
          </cell>
          <cell r="B321" t="str">
            <v>Bulk Poole Suction</v>
          </cell>
        </row>
        <row r="322">
          <cell r="A322">
            <v>2966</v>
          </cell>
          <cell r="B322" t="str">
            <v>Bulk Yankauer W/O Vent</v>
          </cell>
        </row>
        <row r="323">
          <cell r="A323">
            <v>2976</v>
          </cell>
          <cell r="B323" t="str">
            <v>Bulk Yank W/Vent</v>
          </cell>
        </row>
        <row r="324">
          <cell r="A324">
            <v>2986</v>
          </cell>
          <cell r="B324" t="str">
            <v>Bulk Yank W/O Vent Bulb Tip</v>
          </cell>
        </row>
        <row r="325">
          <cell r="A325">
            <v>2996</v>
          </cell>
          <cell r="B325" t="str">
            <v>Bulk Yank W/Vent Bulb Tip</v>
          </cell>
        </row>
        <row r="326">
          <cell r="A326">
            <v>3220</v>
          </cell>
          <cell r="B326" t="str">
            <v>Sterile Minor Pack</v>
          </cell>
        </row>
        <row r="327">
          <cell r="A327">
            <v>3270</v>
          </cell>
          <cell r="B327" t="str">
            <v>N/Sterile Towel Drape</v>
          </cell>
        </row>
        <row r="328">
          <cell r="A328">
            <v>3405</v>
          </cell>
          <cell r="B328" t="str">
            <v>Abco Shoecover Disp 510946 W/O Strip</v>
          </cell>
        </row>
        <row r="329">
          <cell r="A329">
            <v>3719</v>
          </cell>
          <cell r="B329" t="str">
            <v>Blue Proc. Mask/1000Pk/#9513230</v>
          </cell>
        </row>
        <row r="330">
          <cell r="A330">
            <v>4067</v>
          </cell>
          <cell r="B330" t="str">
            <v>Ster 40Cc Spec/ C30200-176</v>
          </cell>
        </row>
        <row r="331">
          <cell r="A331">
            <v>4079</v>
          </cell>
          <cell r="B331" t="str">
            <v>80Cc Vial &amp; Cap /O Tube</v>
          </cell>
        </row>
        <row r="332">
          <cell r="A332">
            <v>4114</v>
          </cell>
          <cell r="B332" t="str">
            <v>Cardinal Private Label Adult Female Catheter Kit</v>
          </cell>
        </row>
        <row r="333">
          <cell r="A333">
            <v>4604</v>
          </cell>
          <cell r="B333" t="str">
            <v>Cardinal Privatel Label Calculi Strainer</v>
          </cell>
        </row>
        <row r="334">
          <cell r="A334">
            <v>4605</v>
          </cell>
          <cell r="B334" t="str">
            <v>Mgm Private Label Calculi Strainer</v>
          </cell>
        </row>
        <row r="335">
          <cell r="A335">
            <v>4606</v>
          </cell>
          <cell r="B335" t="str">
            <v>N/Ster 40Cc Mucus Trap</v>
          </cell>
        </row>
        <row r="336">
          <cell r="A336">
            <v>5100</v>
          </cell>
          <cell r="B336" t="str">
            <v>5/1 Straight Connector</v>
          </cell>
        </row>
        <row r="337">
          <cell r="A337">
            <v>5425</v>
          </cell>
          <cell r="B337" t="str">
            <v>Ster Ssk/P.Forcep G M#25-5425</v>
          </cell>
        </row>
        <row r="338">
          <cell r="A338">
            <v>5427</v>
          </cell>
          <cell r="B338" t="str">
            <v>Ster Ssk/M.Forcep G M#25-5427</v>
          </cell>
        </row>
        <row r="339">
          <cell r="A339">
            <v>5840</v>
          </cell>
          <cell r="B339" t="str">
            <v>Mgm I V Start Kit W/ Tegaderm Dressing</v>
          </cell>
        </row>
        <row r="340">
          <cell r="A340">
            <v>5890</v>
          </cell>
          <cell r="B340" t="str">
            <v>Gm I V Start Kit/ Bioclusive Dressing #25-5890</v>
          </cell>
        </row>
        <row r="341">
          <cell r="A341">
            <v>6102</v>
          </cell>
          <cell r="B341" t="str">
            <v>O&amp;M-Zib40811 Ice Bg</v>
          </cell>
        </row>
        <row r="342">
          <cell r="A342">
            <v>6112</v>
          </cell>
          <cell r="B342" t="str">
            <v>O&amp;M Zib41116 Ice Bg</v>
          </cell>
        </row>
        <row r="343">
          <cell r="A343">
            <v>6162</v>
          </cell>
          <cell r="B343" t="str">
            <v>O&amp;M Zib30811 Stockinet</v>
          </cell>
        </row>
        <row r="344">
          <cell r="A344">
            <v>6340</v>
          </cell>
          <cell r="B344" t="str">
            <v>Bulk Towel Cl W/ Pocket</v>
          </cell>
        </row>
        <row r="345">
          <cell r="A345">
            <v>6366</v>
          </cell>
          <cell r="B345" t="str">
            <v>Ster Bib-Fens Twl G M#25-515</v>
          </cell>
        </row>
        <row r="346">
          <cell r="A346">
            <v>6367</v>
          </cell>
          <cell r="B346" t="str">
            <v>Ster Fens Towel G M#25-517</v>
          </cell>
        </row>
        <row r="347">
          <cell r="A347">
            <v>6598</v>
          </cell>
          <cell r="B347" t="str">
            <v>18"X26" Fens Towel/ Adh Patch</v>
          </cell>
        </row>
        <row r="348">
          <cell r="A348">
            <v>6710</v>
          </cell>
          <cell r="B348" t="str">
            <v>Non-Sterile Absorbent Kaycelª Towel, Blue</v>
          </cell>
        </row>
        <row r="349">
          <cell r="A349">
            <v>6711</v>
          </cell>
          <cell r="B349" t="str">
            <v>19 1/2 X 23 Aborb.Towel,Blue</v>
          </cell>
        </row>
        <row r="350">
          <cell r="A350">
            <v>6935</v>
          </cell>
          <cell r="B350" t="str">
            <v>19 1/2 X 28 In Twl Blue</v>
          </cell>
        </row>
        <row r="351">
          <cell r="A351">
            <v>6960</v>
          </cell>
          <cell r="B351" t="str">
            <v>Towel Drape 18" X 26" White/White, Bulk Pack</v>
          </cell>
        </row>
        <row r="352">
          <cell r="A352">
            <v>6970</v>
          </cell>
          <cell r="B352" t="str">
            <v>18"X26" Fenestrated Towel, White, Bulk</v>
          </cell>
        </row>
        <row r="353">
          <cell r="A353">
            <v>6980</v>
          </cell>
          <cell r="B353" t="str">
            <v>18X26 N/F Twl B/W/Poly Jr</v>
          </cell>
        </row>
        <row r="354">
          <cell r="A354">
            <v>7000</v>
          </cell>
          <cell r="B354" t="str">
            <v>Cardinal 27950-060A Shroud Kit</v>
          </cell>
        </row>
        <row r="355">
          <cell r="A355">
            <v>7002</v>
          </cell>
          <cell r="B355" t="str">
            <v>O&amp;M-Pm600S Shrd Kit</v>
          </cell>
        </row>
        <row r="356">
          <cell r="A356">
            <v>7036</v>
          </cell>
          <cell r="B356" t="str">
            <v>Gm # 25-703 Sterile Trach Tray</v>
          </cell>
        </row>
        <row r="357">
          <cell r="A357">
            <v>7136</v>
          </cell>
          <cell r="B357" t="str">
            <v>Gm Ster Trach Set # 25-713</v>
          </cell>
        </row>
        <row r="358">
          <cell r="A358">
            <v>7156</v>
          </cell>
          <cell r="B358" t="str">
            <v>Gm #25-715 Sterile Trach Set</v>
          </cell>
        </row>
        <row r="359">
          <cell r="A359">
            <v>7166</v>
          </cell>
          <cell r="B359" t="str">
            <v>Gm Ster Staple Rem/25-716</v>
          </cell>
        </row>
        <row r="360">
          <cell r="A360">
            <v>7169</v>
          </cell>
          <cell r="B360" t="str">
            <v>Bulk Skin Staple Remover</v>
          </cell>
        </row>
        <row r="361">
          <cell r="A361">
            <v>7190</v>
          </cell>
          <cell r="B361" t="str">
            <v>Sterile Plastic Posi-Grip Forceps</v>
          </cell>
        </row>
        <row r="362">
          <cell r="A362">
            <v>7195</v>
          </cell>
          <cell r="B362" t="str">
            <v>Non-Sterile Plastic Posi-Grip Forceps</v>
          </cell>
        </row>
        <row r="363">
          <cell r="A363">
            <v>7197</v>
          </cell>
          <cell r="B363" t="str">
            <v>Bulk Posi Grip Forceps</v>
          </cell>
        </row>
        <row r="364">
          <cell r="A364">
            <v>7200</v>
          </cell>
          <cell r="B364" t="str">
            <v>Metal Scissors S/B</v>
          </cell>
        </row>
        <row r="365">
          <cell r="A365">
            <v>7208</v>
          </cell>
          <cell r="B365" t="str">
            <v>Abco Ster Suture Kit#266000</v>
          </cell>
        </row>
        <row r="366">
          <cell r="A366">
            <v>7246</v>
          </cell>
          <cell r="B366" t="str">
            <v>Ster 5-1/4" Scissors</v>
          </cell>
        </row>
        <row r="367">
          <cell r="A367">
            <v>7270</v>
          </cell>
          <cell r="B367" t="str">
            <v>Cardinal 27950-070A Xl Shroud Kit</v>
          </cell>
        </row>
        <row r="368">
          <cell r="A368">
            <v>7590</v>
          </cell>
          <cell r="B368" t="str">
            <v>Bulk Green Forcep</v>
          </cell>
        </row>
        <row r="369">
          <cell r="A369">
            <v>9010</v>
          </cell>
          <cell r="B369" t="str">
            <v>Cardinal 27950-040 Pm Bag Straight</v>
          </cell>
        </row>
        <row r="370">
          <cell r="A370">
            <v>9012</v>
          </cell>
          <cell r="B370" t="str">
            <v>O&amp;M-Pm400B Bg Adlt</v>
          </cell>
        </row>
        <row r="371">
          <cell r="A371">
            <v>9040</v>
          </cell>
          <cell r="B371" t="str">
            <v>Cardinal 27950-080 Pm Kit White, Str Zipper</v>
          </cell>
        </row>
        <row r="372">
          <cell r="A372">
            <v>9042</v>
          </cell>
          <cell r="B372" t="str">
            <v>O&amp;M-400K Pm Kt Adlt</v>
          </cell>
        </row>
        <row r="373">
          <cell r="A373">
            <v>9054</v>
          </cell>
          <cell r="B373" t="str">
            <v>Cardinal 27950-030 Pm Bag Infant</v>
          </cell>
        </row>
        <row r="374">
          <cell r="A374">
            <v>9070</v>
          </cell>
          <cell r="B374" t="str">
            <v>Cardinal 27950-050 Pm Bag White Curved Zipper</v>
          </cell>
        </row>
        <row r="375">
          <cell r="A375">
            <v>9072</v>
          </cell>
          <cell r="B375" t="str">
            <v>O&amp;M-Pm500B P/M Bg Adlt</v>
          </cell>
        </row>
        <row r="376">
          <cell r="A376">
            <v>9080</v>
          </cell>
          <cell r="B376" t="str">
            <v>Cardinal 27950-090 Pm Kit White Curved Zipper</v>
          </cell>
        </row>
        <row r="377">
          <cell r="A377">
            <v>9082</v>
          </cell>
          <cell r="B377" t="str">
            <v>O&amp;M Pm500K Pm Bag Cvd</v>
          </cell>
        </row>
        <row r="378">
          <cell r="A378">
            <v>9110</v>
          </cell>
          <cell r="B378" t="str">
            <v>Cardinal 27950-110 Heavy Duty Pm Kit</v>
          </cell>
        </row>
        <row r="379">
          <cell r="A379">
            <v>9112</v>
          </cell>
          <cell r="B379" t="str">
            <v>O&amp;M Pm700K Pm Bag</v>
          </cell>
        </row>
        <row r="380">
          <cell r="A380">
            <v>9364</v>
          </cell>
          <cell r="B380" t="str">
            <v>Sterile Suture Tray</v>
          </cell>
        </row>
        <row r="381">
          <cell r="A381">
            <v>9384</v>
          </cell>
          <cell r="B381" t="str">
            <v>Ster Tpn/Cvp Dress Chg Tray</v>
          </cell>
        </row>
        <row r="382">
          <cell r="A382">
            <v>266000</v>
          </cell>
          <cell r="B382" t="str">
            <v>Abco Ster Srk</v>
          </cell>
        </row>
        <row r="383">
          <cell r="A383">
            <v>510945</v>
          </cell>
          <cell r="B383" t="str">
            <v>Abco Shoecover</v>
          </cell>
        </row>
        <row r="384">
          <cell r="A384">
            <v>510946</v>
          </cell>
          <cell r="B384" t="str">
            <v>Abco Shoecover</v>
          </cell>
        </row>
        <row r="385">
          <cell r="A385">
            <v>510959</v>
          </cell>
          <cell r="B385" t="str">
            <v>Abco Shoecover</v>
          </cell>
        </row>
        <row r="386">
          <cell r="A386">
            <v>510960</v>
          </cell>
          <cell r="B386" t="str">
            <v>Abco Shoecover</v>
          </cell>
        </row>
        <row r="387">
          <cell r="A387" t="str">
            <v>060a</v>
          </cell>
          <cell r="B387" t="str">
            <v>Cardinal 27950-060A Shroud Kit</v>
          </cell>
        </row>
        <row r="388">
          <cell r="A388" t="str">
            <v>070a</v>
          </cell>
          <cell r="B388" t="str">
            <v>Cardinal 27950-070A Xl Shroud Kit</v>
          </cell>
        </row>
        <row r="389">
          <cell r="A389" t="str">
            <v>25-2026</v>
          </cell>
          <cell r="B389" t="str">
            <v>Ster Dres Chg Tray</v>
          </cell>
        </row>
        <row r="390">
          <cell r="A390" t="str">
            <v>25-2685</v>
          </cell>
          <cell r="B390" t="str">
            <v>St. Gm E. R Tray</v>
          </cell>
        </row>
        <row r="391">
          <cell r="A391" t="str">
            <v>25-2691</v>
          </cell>
          <cell r="B391" t="str">
            <v>Ster. Gm E.R. Tray</v>
          </cell>
        </row>
        <row r="392">
          <cell r="A392" t="str">
            <v>25-2748</v>
          </cell>
          <cell r="B392" t="str">
            <v>Gm Private Label E. R. Laceration Tray</v>
          </cell>
        </row>
        <row r="393">
          <cell r="A393" t="str">
            <v>25-2835</v>
          </cell>
          <cell r="B393" t="str">
            <v>Gm Private Label Central Line Dressing Change Tray</v>
          </cell>
        </row>
        <row r="394">
          <cell r="A394" t="str">
            <v>25-340</v>
          </cell>
          <cell r="B394" t="str">
            <v>Gm S/Cover Disp</v>
          </cell>
        </row>
        <row r="395">
          <cell r="A395" t="str">
            <v>25-402</v>
          </cell>
          <cell r="B395" t="str">
            <v>Gm Private Label 2Oz Bulb</v>
          </cell>
        </row>
        <row r="396">
          <cell r="A396" t="str">
            <v>25-460</v>
          </cell>
          <cell r="B396" t="str">
            <v>Mgm Private Label Calculi Strainer</v>
          </cell>
        </row>
        <row r="397">
          <cell r="A397" t="str">
            <v>25-515</v>
          </cell>
          <cell r="B397" t="str">
            <v>Sterile Polylined Drape</v>
          </cell>
        </row>
        <row r="398">
          <cell r="A398" t="str">
            <v>25-517</v>
          </cell>
          <cell r="B398" t="str">
            <v>Gm 18X26 Fens/ Drape</v>
          </cell>
        </row>
        <row r="399">
          <cell r="A399" t="str">
            <v>25-5425</v>
          </cell>
          <cell r="B399" t="str">
            <v>Gm Suture Removal Kit</v>
          </cell>
        </row>
        <row r="400">
          <cell r="A400" t="str">
            <v>25-5427</v>
          </cell>
          <cell r="B400" t="str">
            <v>Gm Suture Removal Kit</v>
          </cell>
        </row>
        <row r="401">
          <cell r="A401" t="str">
            <v>25-5737</v>
          </cell>
          <cell r="B401" t="str">
            <v>Gm Private Label Suture Removal Kit W/ Littauer</v>
          </cell>
        </row>
        <row r="402">
          <cell r="A402" t="str">
            <v>25-5818</v>
          </cell>
          <cell r="B402" t="str">
            <v>Gm Private Label I. V. Start Kit</v>
          </cell>
        </row>
        <row r="403">
          <cell r="A403" t="str">
            <v>25-5840</v>
          </cell>
          <cell r="B403" t="str">
            <v>Gm I V Start Kit/ Tegaderm Dressing</v>
          </cell>
        </row>
        <row r="404">
          <cell r="A404" t="str">
            <v>25-5862</v>
          </cell>
          <cell r="B404" t="str">
            <v>Gm I V Start Kit/ Pvp Prep Pad</v>
          </cell>
        </row>
        <row r="405">
          <cell r="A405" t="str">
            <v>25-5890</v>
          </cell>
          <cell r="B405" t="str">
            <v>Gm I V Start Kit/ Bioclusive</v>
          </cell>
        </row>
        <row r="406">
          <cell r="A406" t="str">
            <v>25-703</v>
          </cell>
          <cell r="B406" t="str">
            <v>Gm Ster Trach Set</v>
          </cell>
        </row>
        <row r="407">
          <cell r="A407" t="str">
            <v>25-713</v>
          </cell>
          <cell r="B407" t="str">
            <v>Gm Str Trach Set</v>
          </cell>
        </row>
        <row r="408">
          <cell r="A408" t="str">
            <v>25-715</v>
          </cell>
          <cell r="B408" t="str">
            <v>Gm Ster Trach Set</v>
          </cell>
        </row>
        <row r="409">
          <cell r="A409" t="str">
            <v>25-716</v>
          </cell>
          <cell r="B409" t="str">
            <v>Gm Staple Remover</v>
          </cell>
        </row>
        <row r="410">
          <cell r="A410" t="str">
            <v>3t4185</v>
          </cell>
          <cell r="B410" t="str">
            <v>Allegiance Caluculi Strainer N/Ster</v>
          </cell>
        </row>
        <row r="411">
          <cell r="A411" t="str">
            <v>716-imc</v>
          </cell>
          <cell r="B411" t="str">
            <v>Ster Imco Sample Removal</v>
          </cell>
        </row>
        <row r="412">
          <cell r="A412" t="str">
            <v>K71</v>
          </cell>
          <cell r="B412" t="str">
            <v>Medi-Vac Sterile 8Fr Frazier Suction Instrument</v>
          </cell>
        </row>
        <row r="413">
          <cell r="A413" t="str">
            <v>k72</v>
          </cell>
          <cell r="B413" t="str">
            <v>Medi-Vac Ster 10Fr Frazier Instrument</v>
          </cell>
        </row>
        <row r="414">
          <cell r="A414" t="str">
            <v>k73</v>
          </cell>
          <cell r="B414" t="str">
            <v>Medi-Vac Sterile 12Fr Frazier Suction Instrument</v>
          </cell>
        </row>
        <row r="415">
          <cell r="A415" t="str">
            <v>k770</v>
          </cell>
          <cell r="B415" t="str">
            <v>Ster Poole Suction Instrument</v>
          </cell>
        </row>
        <row r="416">
          <cell r="A416" t="str">
            <v>k776</v>
          </cell>
          <cell r="B416" t="str">
            <v>Ster Poole Instrument W/6Fg Tubing</v>
          </cell>
        </row>
        <row r="417">
          <cell r="A417" t="str">
            <v>N1010</v>
          </cell>
          <cell r="B417" t="str">
            <v>Ster Alleg 10Ft X 3/8" Single Use Usction Tubing</v>
          </cell>
        </row>
        <row r="418">
          <cell r="A418" t="str">
            <v>pm400b</v>
          </cell>
          <cell r="B418" t="str">
            <v>O&amp;M Pm Bag Adult</v>
          </cell>
        </row>
        <row r="419">
          <cell r="A419" t="str">
            <v>PM400k</v>
          </cell>
          <cell r="B419" t="str">
            <v>O&amp;M Pm Kit  Adult</v>
          </cell>
        </row>
        <row r="420">
          <cell r="A420" t="str">
            <v>pm500b</v>
          </cell>
          <cell r="B420" t="str">
            <v>O&amp;M Pm Bag Adult</v>
          </cell>
        </row>
        <row r="421">
          <cell r="A421" t="str">
            <v>pm500k</v>
          </cell>
          <cell r="B421" t="str">
            <v>O&amp;M Cvd Pm Bag</v>
          </cell>
        </row>
        <row r="422">
          <cell r="A422" t="str">
            <v>pm600s</v>
          </cell>
          <cell r="B422" t="str">
            <v>O&amp;M Pm Shroud Kit</v>
          </cell>
        </row>
        <row r="423">
          <cell r="A423" t="str">
            <v>pm700k</v>
          </cell>
          <cell r="B423" t="str">
            <v>O&amp;M Heavy Duty Pm Bag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1/1000</v>
          </cell>
          <cell r="B1" t="str">
            <v>LABEL STOCK 6"X4" 1UP</v>
          </cell>
        </row>
        <row r="2">
          <cell r="A2" t="str">
            <v>1/1001</v>
          </cell>
          <cell r="B2" t="str">
            <v>LABEL STOCK-1.75"X.5" 3UP</v>
          </cell>
        </row>
        <row r="3">
          <cell r="A3" t="str">
            <v>1/1002</v>
          </cell>
          <cell r="B3" t="str">
            <v>LABEL STOCK-3 X 4, 2UP</v>
          </cell>
        </row>
        <row r="4">
          <cell r="A4" t="str">
            <v>1/1003</v>
          </cell>
          <cell r="B4" t="str">
            <v>UNGUMMED LABEL 6 X 4"</v>
          </cell>
        </row>
        <row r="5">
          <cell r="A5" t="str">
            <v>1/1004</v>
          </cell>
          <cell r="B5" t="str">
            <v>UNGUMMED LABEL 5"X8.5"</v>
          </cell>
        </row>
        <row r="6">
          <cell r="A6" t="str">
            <v>2/199</v>
          </cell>
          <cell r="B6" t="str">
            <v>4x1 Natl Rubr Latx Caut L</v>
          </cell>
        </row>
        <row r="7">
          <cell r="A7" t="str">
            <v>2/200</v>
          </cell>
          <cell r="B7" t="str">
            <v>2x.5 Nat Rb Ltx Caut Labl</v>
          </cell>
        </row>
        <row r="8">
          <cell r="A8" t="str">
            <v>2/300</v>
          </cell>
          <cell r="B8" t="str">
            <v>4x1 Dry Nat Rb Ltx Caut L</v>
          </cell>
        </row>
        <row r="9">
          <cell r="A9" t="str">
            <v>2/400</v>
          </cell>
          <cell r="B9" t="str">
            <v>2x.5Dry Nat Rb Ltx Caut L</v>
          </cell>
        </row>
        <row r="10">
          <cell r="A10" t="str">
            <v>2/1000</v>
          </cell>
          <cell r="B10" t="str">
            <v>RIBBONS-BLACK,6"WIDE</v>
          </cell>
        </row>
        <row r="11">
          <cell r="A11" t="str">
            <v>2/1001</v>
          </cell>
          <cell r="B11" t="str">
            <v>RIBBON-BLACK,5.12" WIDE</v>
          </cell>
        </row>
        <row r="12">
          <cell r="A12" t="str">
            <v>2/1002</v>
          </cell>
          <cell r="B12" t="str">
            <v>RIBBON-WHITE MATTE 2"WIDE</v>
          </cell>
        </row>
        <row r="13">
          <cell r="A13" t="str">
            <v>2/1003</v>
          </cell>
          <cell r="B13" t="str">
            <v>WHITE MATTE RIBBON,3 7/16</v>
          </cell>
        </row>
        <row r="14">
          <cell r="A14" t="str">
            <v>3/214</v>
          </cell>
          <cell r="B14" t="str">
            <v>GM#25-214/215 Ship Label</v>
          </cell>
        </row>
        <row r="15">
          <cell r="A15" t="str">
            <v>3/218</v>
          </cell>
          <cell r="B15" t="str">
            <v>GM#25-218/219 Ship Label</v>
          </cell>
        </row>
        <row r="16">
          <cell r="A16" t="str">
            <v>3/218SL</v>
          </cell>
          <cell r="B16" t="str">
            <v>McKesson#25-218/9 Shpr L</v>
          </cell>
        </row>
        <row r="17">
          <cell r="A17" t="str">
            <v>3/327</v>
          </cell>
          <cell r="B17" t="str">
            <v>GM#25-327/328/329 S/Label</v>
          </cell>
        </row>
        <row r="18">
          <cell r="A18" t="str">
            <v>3/327A</v>
          </cell>
          <cell r="B18" t="str">
            <v>GM#25-327/328/329Disp.Lab</v>
          </cell>
        </row>
        <row r="19">
          <cell r="A19" t="str">
            <v>3/327DL</v>
          </cell>
          <cell r="B19" t="str">
            <v>McKesson#25-327/8/9 DispL</v>
          </cell>
        </row>
        <row r="20">
          <cell r="A20" t="str">
            <v>3/327SL</v>
          </cell>
          <cell r="B20" t="str">
            <v>McKesson#25-327/8/9 ShprL</v>
          </cell>
        </row>
        <row r="21">
          <cell r="A21" t="str">
            <v>3/330A</v>
          </cell>
          <cell r="B21" t="str">
            <v>GM#25-330/331/332Disp.Lab</v>
          </cell>
        </row>
        <row r="22">
          <cell r="A22" t="str">
            <v>3/330DL</v>
          </cell>
          <cell r="B22" t="str">
            <v>McKesson#25-330/1/2 DispL</v>
          </cell>
        </row>
        <row r="23">
          <cell r="A23" t="str">
            <v>3/330SL</v>
          </cell>
          <cell r="B23" t="str">
            <v>McKesson#25-330/1/2 ShprL</v>
          </cell>
        </row>
        <row r="24">
          <cell r="A24" t="str">
            <v>3/372B</v>
          </cell>
          <cell r="B24" t="str">
            <v>Knit Elastic for Earloops</v>
          </cell>
        </row>
        <row r="25">
          <cell r="A25" t="str">
            <v>3/379</v>
          </cell>
          <cell r="B25" t="str">
            <v>Poly Cotton Thin 60/PC</v>
          </cell>
        </row>
        <row r="26">
          <cell r="A26" t="str">
            <v>3/379LF</v>
          </cell>
          <cell r="B26" t="str">
            <v>Latex Free Polyester Spdx</v>
          </cell>
        </row>
        <row r="27">
          <cell r="A27" t="str">
            <v>3/380</v>
          </cell>
          <cell r="B27" t="str">
            <v>GN280SP Cotton for Masks</v>
          </cell>
        </row>
        <row r="28">
          <cell r="A28" t="str">
            <v>3/380LF</v>
          </cell>
          <cell r="B28" t="str">
            <v>Latex Free Cotton Spandex</v>
          </cell>
        </row>
        <row r="29">
          <cell r="A29" t="str">
            <v>3/946</v>
          </cell>
          <cell r="B29" t="str">
            <v>ABCO#510946/960 Ship Labl</v>
          </cell>
        </row>
        <row r="30">
          <cell r="A30" t="str">
            <v>3/959</v>
          </cell>
          <cell r="B30" t="str">
            <v>ABCO#510945/959 Ship Labl</v>
          </cell>
        </row>
        <row r="31">
          <cell r="A31" t="str">
            <v>3/960</v>
          </cell>
          <cell r="B31" t="str">
            <v>ABCO#510946/960Disp Label</v>
          </cell>
        </row>
        <row r="32">
          <cell r="A32" t="str">
            <v>3/1000</v>
          </cell>
          <cell r="B32" t="str">
            <v>INK - PMS 287 BLUE</v>
          </cell>
        </row>
        <row r="33">
          <cell r="A33" t="str">
            <v>3/1001</v>
          </cell>
          <cell r="B33" t="str">
            <v>INK-PROCESS BLACK 15000</v>
          </cell>
        </row>
        <row r="34">
          <cell r="A34" t="str">
            <v>3/1002</v>
          </cell>
          <cell r="B34" t="str">
            <v>INK - PMS 280 BLUE</v>
          </cell>
        </row>
        <row r="35">
          <cell r="A35" t="str">
            <v>3/1003</v>
          </cell>
          <cell r="B35" t="str">
            <v>INK- PMS 301 BLUE</v>
          </cell>
        </row>
        <row r="36">
          <cell r="A36" t="str">
            <v>3/1004</v>
          </cell>
          <cell r="B36" t="str">
            <v>INK - PMS 3425 GREEN</v>
          </cell>
        </row>
        <row r="37">
          <cell r="A37" t="str">
            <v>3/1005</v>
          </cell>
          <cell r="B37" t="str">
            <v>INK - PMS 221 MAROON</v>
          </cell>
        </row>
        <row r="38">
          <cell r="A38" t="str">
            <v>3/1006</v>
          </cell>
          <cell r="B38" t="str">
            <v>STAMP INK, 60-2 DARK BLUE</v>
          </cell>
        </row>
        <row r="39">
          <cell r="A39" t="str">
            <v>4/016</v>
          </cell>
          <cell r="B39" t="str">
            <v>24x25.5 Poly-Wicketed Bag</v>
          </cell>
        </row>
        <row r="40">
          <cell r="A40" t="str">
            <v>4/020</v>
          </cell>
          <cell r="B40" t="str">
            <v>35x37 Poly-Lg Wicket Bag</v>
          </cell>
        </row>
        <row r="41">
          <cell r="A41" t="str">
            <v>4/026</v>
          </cell>
          <cell r="B41" t="str">
            <v>INSERT FOR 16/35 BOWL</v>
          </cell>
        </row>
        <row r="42">
          <cell r="A42" t="str">
            <v>4/036</v>
          </cell>
          <cell r="B42" t="str">
            <v>INSERT FOR 35OZ BOWL</v>
          </cell>
        </row>
        <row r="43">
          <cell r="A43" t="str">
            <v>4/1000</v>
          </cell>
          <cell r="B43" t="str">
            <v>ISOPROPYL ALCOHOL,99%</v>
          </cell>
        </row>
        <row r="44">
          <cell r="A44" t="str">
            <v>4/1001</v>
          </cell>
          <cell r="B44" t="str">
            <v>VC-1</v>
          </cell>
        </row>
        <row r="45">
          <cell r="A45" t="str">
            <v>4/1002</v>
          </cell>
          <cell r="B45" t="str">
            <v>SILICONE THREAD LUBRICANT</v>
          </cell>
        </row>
        <row r="46">
          <cell r="A46" t="str">
            <v>4/1003</v>
          </cell>
          <cell r="B46" t="str">
            <v>SILICONE RELEASE COMPOUND</v>
          </cell>
        </row>
        <row r="47">
          <cell r="A47" t="str">
            <v>6/667</v>
          </cell>
          <cell r="B47" t="str">
            <v>HM#1097 Glue</v>
          </cell>
        </row>
        <row r="48">
          <cell r="A48">
            <v>10</v>
          </cell>
          <cell r="B48" t="str">
            <v>Catalogs</v>
          </cell>
        </row>
        <row r="49">
          <cell r="A49">
            <v>11</v>
          </cell>
          <cell r="B49" t="str">
            <v>HOSP PRICE LIST ZONE 1</v>
          </cell>
        </row>
        <row r="50">
          <cell r="A50">
            <v>12</v>
          </cell>
          <cell r="B50" t="str">
            <v>HOSP PRICE LIST ZONE 2</v>
          </cell>
        </row>
        <row r="51">
          <cell r="A51">
            <v>13</v>
          </cell>
          <cell r="B51" t="str">
            <v>HOSP PRICE LIST ZONE 3</v>
          </cell>
        </row>
        <row r="52">
          <cell r="A52">
            <v>14</v>
          </cell>
          <cell r="B52" t="str">
            <v>DEALERS PRICE LIST ZONE 1</v>
          </cell>
        </row>
        <row r="53">
          <cell r="A53">
            <v>15</v>
          </cell>
          <cell r="B53" t="str">
            <v>DEALERS PRICE LIST ZONE 2</v>
          </cell>
        </row>
        <row r="54">
          <cell r="A54">
            <v>16</v>
          </cell>
          <cell r="B54" t="str">
            <v>DEALERS PRICE LIST ZONE 3</v>
          </cell>
        </row>
        <row r="55">
          <cell r="A55">
            <v>17</v>
          </cell>
          <cell r="B55" t="str">
            <v>PHYSICIAN SUPPLY LIST</v>
          </cell>
        </row>
        <row r="56">
          <cell r="A56">
            <v>18</v>
          </cell>
          <cell r="B56" t="str">
            <v>PHYSICIAN SPLY ZONE 1</v>
          </cell>
        </row>
        <row r="57">
          <cell r="A57">
            <v>19</v>
          </cell>
          <cell r="B57" t="str">
            <v>PHYSICIAN SPLY ZONE 2</v>
          </cell>
        </row>
        <row r="58">
          <cell r="A58">
            <v>20</v>
          </cell>
          <cell r="B58" t="str">
            <v>PHYSICIAN ZONE 3</v>
          </cell>
        </row>
        <row r="59">
          <cell r="A59">
            <v>21</v>
          </cell>
          <cell r="B59" t="str">
            <v>WOUND CLOSURE BROCHURES</v>
          </cell>
        </row>
        <row r="60">
          <cell r="A60">
            <v>22</v>
          </cell>
          <cell r="B60" t="str">
            <v>SUR STEP BROCHURES</v>
          </cell>
        </row>
        <row r="61">
          <cell r="A61">
            <v>30</v>
          </cell>
          <cell r="B61" t="str">
            <v>N D I PRICE LIST</v>
          </cell>
        </row>
        <row r="62">
          <cell r="A62">
            <v>31</v>
          </cell>
          <cell r="B62" t="str">
            <v>N D I LITERATURE</v>
          </cell>
        </row>
        <row r="63">
          <cell r="A63" t="str">
            <v>97-92016</v>
          </cell>
          <cell r="B63" t="str">
            <v>HS/DE 36X36 CSR WRAP/100</v>
          </cell>
        </row>
        <row r="64">
          <cell r="A64" t="str">
            <v>97-93039</v>
          </cell>
          <cell r="B64" t="str">
            <v>Ster P/Lined Fen TWL/300</v>
          </cell>
        </row>
        <row r="65">
          <cell r="A65" t="str">
            <v>97-93347</v>
          </cell>
          <cell r="B65" t="str">
            <v>HS/DE 12X12 CSR WRAP/100</v>
          </cell>
        </row>
        <row r="66">
          <cell r="A66" t="str">
            <v>97-94683</v>
          </cell>
          <cell r="B66" t="str">
            <v>HS/DE 18X18 CSR WRAP/100</v>
          </cell>
        </row>
        <row r="67">
          <cell r="A67" t="str">
            <v>97-96950</v>
          </cell>
          <cell r="B67" t="str">
            <v>HS/DE 24X24 CSR WRAP/100</v>
          </cell>
        </row>
        <row r="68">
          <cell r="A68" t="str">
            <v>97-98187</v>
          </cell>
          <cell r="B68" t="str">
            <v>HS/DE 30X30 CSR WRAP/100</v>
          </cell>
        </row>
        <row r="69">
          <cell r="A69" t="str">
            <v>97-99687</v>
          </cell>
          <cell r="B69" t="str">
            <v>Ster P/Lined N/Fen T/300C</v>
          </cell>
        </row>
        <row r="70">
          <cell r="A70">
            <v>133</v>
          </cell>
          <cell r="B70" t="str">
            <v>Ster 7mm Str. Curette /25</v>
          </cell>
        </row>
        <row r="71">
          <cell r="A71">
            <v>134</v>
          </cell>
          <cell r="B71" t="str">
            <v>Ster 8mm Str. Curette/25</v>
          </cell>
        </row>
        <row r="72">
          <cell r="A72">
            <v>135</v>
          </cell>
          <cell r="B72" t="str">
            <v>Ster 9mm Str. Curette/25</v>
          </cell>
        </row>
        <row r="73">
          <cell r="A73">
            <v>136</v>
          </cell>
          <cell r="B73" t="str">
            <v>Ster 10mm Str. Curette/25</v>
          </cell>
        </row>
        <row r="74">
          <cell r="A74">
            <v>137</v>
          </cell>
          <cell r="B74" t="str">
            <v>Ster 11mm Str. Curette/25</v>
          </cell>
        </row>
        <row r="75">
          <cell r="A75">
            <v>138</v>
          </cell>
          <cell r="B75" t="str">
            <v>Ster 12mm Str. Curette/25</v>
          </cell>
        </row>
        <row r="76">
          <cell r="A76">
            <v>139</v>
          </cell>
          <cell r="B76" t="str">
            <v>Ster 14mm Str. Curette/25</v>
          </cell>
        </row>
        <row r="77">
          <cell r="A77" t="str">
            <v>139SL</v>
          </cell>
          <cell r="B77" t="str">
            <v>OUTER CTN L/BARCODE</v>
          </cell>
        </row>
        <row r="78">
          <cell r="A78">
            <v>140</v>
          </cell>
          <cell r="B78" t="str">
            <v>N/Ster 2OZ K/Bulb Syr/200</v>
          </cell>
        </row>
        <row r="79">
          <cell r="A79">
            <v>141</v>
          </cell>
          <cell r="B79" t="str">
            <v>Ster 1oz Bulb Syringe 50c</v>
          </cell>
        </row>
        <row r="80">
          <cell r="A80" t="str">
            <v>141SL</v>
          </cell>
          <cell r="B80" t="str">
            <v>OUTER CTN LABELW/BARCODE</v>
          </cell>
        </row>
        <row r="81">
          <cell r="A81">
            <v>142</v>
          </cell>
          <cell r="B81" t="str">
            <v>Ster 2oz Bulb Syringe/50</v>
          </cell>
        </row>
        <row r="82">
          <cell r="A82" t="str">
            <v>142SL</v>
          </cell>
          <cell r="B82" t="str">
            <v>OUTER CTN LABELW/BARCODE</v>
          </cell>
        </row>
        <row r="83">
          <cell r="A83">
            <v>143</v>
          </cell>
          <cell r="B83" t="str">
            <v>Ster 3oz Bulb Syringe/50</v>
          </cell>
        </row>
        <row r="84">
          <cell r="A84" t="str">
            <v>143SL</v>
          </cell>
          <cell r="B84" t="str">
            <v>OUTER CTN LABEL W/BARCODE</v>
          </cell>
        </row>
        <row r="85">
          <cell r="A85">
            <v>144</v>
          </cell>
          <cell r="B85" t="str">
            <v>Bulk 2oz Bulb Syringe/200</v>
          </cell>
        </row>
        <row r="86">
          <cell r="A86" t="str">
            <v>144SL</v>
          </cell>
          <cell r="B86" t="str">
            <v>SHPR LBL/BARCODE FOR 144</v>
          </cell>
        </row>
        <row r="87">
          <cell r="A87">
            <v>145</v>
          </cell>
          <cell r="B87" t="str">
            <v>Bulk 3oz Bulb Syringe/100</v>
          </cell>
        </row>
        <row r="88">
          <cell r="A88" t="str">
            <v>145SL</v>
          </cell>
          <cell r="B88" t="str">
            <v>SHPR LBL/BARCODE FOR 145</v>
          </cell>
        </row>
        <row r="89">
          <cell r="A89">
            <v>146</v>
          </cell>
          <cell r="B89" t="str">
            <v>N/Ster 1oz B.Syr Nlgo/200</v>
          </cell>
        </row>
        <row r="90">
          <cell r="A90" t="str">
            <v>146SL</v>
          </cell>
          <cell r="B90" t="str">
            <v>SHPR LBL/BARCODE FOR 146</v>
          </cell>
        </row>
        <row r="91">
          <cell r="A91">
            <v>147</v>
          </cell>
          <cell r="B91" t="str">
            <v>N/Ster 3oz K/Bulb Syr/100</v>
          </cell>
        </row>
        <row r="92">
          <cell r="A92">
            <v>148</v>
          </cell>
          <cell r="B92" t="str">
            <v>Ster 2OZ K/Bulb Syringe24</v>
          </cell>
        </row>
        <row r="93">
          <cell r="A93">
            <v>149</v>
          </cell>
          <cell r="B93" t="str">
            <v>Ster 3OZ K/Bulb Syringe12</v>
          </cell>
        </row>
        <row r="94">
          <cell r="A94">
            <v>150</v>
          </cell>
          <cell r="B94" t="str">
            <v>Ster 1/2"Tubing&amp;Handle/25</v>
          </cell>
        </row>
        <row r="95">
          <cell r="A95">
            <v>151</v>
          </cell>
          <cell r="B95" t="str">
            <v>Ster 1/2"Tubing&amp;Handle/25</v>
          </cell>
        </row>
        <row r="96">
          <cell r="A96">
            <v>153</v>
          </cell>
          <cell r="B96" t="str">
            <v>Ster 3/8"Tubing&amp;Handle/25</v>
          </cell>
        </row>
        <row r="97">
          <cell r="A97">
            <v>154</v>
          </cell>
          <cell r="B97" t="str">
            <v>Ster 6' x 1/4" Tubing/50</v>
          </cell>
        </row>
        <row r="98">
          <cell r="A98" t="str">
            <v>154SL</v>
          </cell>
          <cell r="B98" t="str">
            <v>OUTER CTN LABEL W/BARCODE</v>
          </cell>
        </row>
        <row r="99">
          <cell r="A99">
            <v>155</v>
          </cell>
          <cell r="B99" t="str">
            <v>Ster 10' x 1/4" Tubing/50</v>
          </cell>
        </row>
        <row r="100">
          <cell r="A100" t="str">
            <v>155SL</v>
          </cell>
          <cell r="B100" t="str">
            <v>Shpr lbl/barcode for 155</v>
          </cell>
        </row>
        <row r="101">
          <cell r="A101">
            <v>157</v>
          </cell>
          <cell r="B101" t="str">
            <v>Ster 6' x 3/16" Tubing/50</v>
          </cell>
        </row>
        <row r="102">
          <cell r="A102" t="str">
            <v>157SL</v>
          </cell>
          <cell r="B102" t="str">
            <v>OUTER CTN LABEL W/BARCODE</v>
          </cell>
        </row>
        <row r="103">
          <cell r="A103">
            <v>162</v>
          </cell>
          <cell r="B103" t="str">
            <v>Ster 8FR Frazier/50</v>
          </cell>
        </row>
        <row r="104">
          <cell r="A104" t="str">
            <v>162SL</v>
          </cell>
          <cell r="B104" t="str">
            <v>Shpr Lbl w/Barcode for162</v>
          </cell>
        </row>
        <row r="105">
          <cell r="A105">
            <v>163</v>
          </cell>
          <cell r="B105" t="str">
            <v>Ster 10FR Frazier/50</v>
          </cell>
        </row>
        <row r="106">
          <cell r="A106" t="str">
            <v>163SL</v>
          </cell>
          <cell r="B106" t="str">
            <v>Shpr Lbl w/Barcode for163</v>
          </cell>
        </row>
        <row r="107">
          <cell r="A107">
            <v>164</v>
          </cell>
          <cell r="B107" t="str">
            <v>Ster 12FR Frazier/50</v>
          </cell>
        </row>
        <row r="108">
          <cell r="A108" t="str">
            <v>164SL</v>
          </cell>
          <cell r="B108" t="str">
            <v>Shpr Lbl w/Barcode for164</v>
          </cell>
        </row>
        <row r="109">
          <cell r="A109">
            <v>165</v>
          </cell>
          <cell r="B109" t="str">
            <v>Ster 18FR Sigmoid/50</v>
          </cell>
        </row>
        <row r="110">
          <cell r="A110">
            <v>167</v>
          </cell>
          <cell r="B110" t="str">
            <v>Ster Sigmoid w/ Tubing/20</v>
          </cell>
        </row>
        <row r="111">
          <cell r="A111" t="str">
            <v>174TP</v>
          </cell>
          <cell r="B111" t="str">
            <v>TIDI Comps for/P.Mort Kit</v>
          </cell>
        </row>
        <row r="112">
          <cell r="A112" t="str">
            <v>196SL</v>
          </cell>
          <cell r="B112" t="str">
            <v>SHPR LBL/BARCODE FOR 196</v>
          </cell>
        </row>
        <row r="113">
          <cell r="A113" t="str">
            <v>197SL</v>
          </cell>
          <cell r="B113" t="str">
            <v>SHPR LBL/BARCODE FOR 197</v>
          </cell>
        </row>
        <row r="114">
          <cell r="A114">
            <v>198</v>
          </cell>
          <cell r="B114" t="str">
            <v>NS/DSTAFF/P/KITWHT/F/B/20</v>
          </cell>
        </row>
        <row r="115">
          <cell r="A115" t="str">
            <v>198SL</v>
          </cell>
          <cell r="B115" t="str">
            <v>SHPR LBL/BARCODE FOR 198</v>
          </cell>
        </row>
        <row r="116">
          <cell r="A116">
            <v>199</v>
          </cell>
          <cell r="B116" t="str">
            <v>WHT P/C/GWN/ W/OP/BACK 50</v>
          </cell>
        </row>
        <row r="117">
          <cell r="A117">
            <v>200</v>
          </cell>
          <cell r="B117" t="str">
            <v>Wht P/C Gwn/W/F/Back/50CS</v>
          </cell>
        </row>
        <row r="118">
          <cell r="A118">
            <v>201</v>
          </cell>
          <cell r="B118" t="str">
            <v>YLW P/C GWN W/OP/BACK 50C</v>
          </cell>
        </row>
        <row r="119">
          <cell r="A119">
            <v>202</v>
          </cell>
          <cell r="B119" t="str">
            <v>Yellow Isolation Gown/50</v>
          </cell>
        </row>
        <row r="120">
          <cell r="A120">
            <v>203</v>
          </cell>
          <cell r="B120" t="str">
            <v>YLW GWN F/BACK/W/K/CUF/50</v>
          </cell>
        </row>
        <row r="121">
          <cell r="A121">
            <v>204</v>
          </cell>
          <cell r="B121" t="str">
            <v>Ster Isolation Gown/20</v>
          </cell>
        </row>
        <row r="122">
          <cell r="A122" t="str">
            <v>204SL</v>
          </cell>
          <cell r="B122" t="str">
            <v>SHPR LBL/ BARCODE FOR 204</v>
          </cell>
        </row>
        <row r="123">
          <cell r="A123">
            <v>205</v>
          </cell>
          <cell r="B123" t="str">
            <v>W/Gwn/F/Back/w/K/Cuff/50C</v>
          </cell>
        </row>
        <row r="124">
          <cell r="A124">
            <v>206</v>
          </cell>
          <cell r="B124" t="str">
            <v>Ster 3mm Sm Laminaria/48</v>
          </cell>
        </row>
        <row r="125">
          <cell r="A125" t="str">
            <v>206SL</v>
          </cell>
          <cell r="B125" t="str">
            <v>Shpr Lbl/Barcode for 206</v>
          </cell>
        </row>
        <row r="126">
          <cell r="A126">
            <v>207</v>
          </cell>
          <cell r="B126" t="str">
            <v>Ster 4mm Med Laminaria/48</v>
          </cell>
        </row>
        <row r="127">
          <cell r="A127" t="str">
            <v>207SL</v>
          </cell>
          <cell r="B127" t="str">
            <v>Shpr Lbl/Barcode for 207</v>
          </cell>
        </row>
        <row r="128">
          <cell r="A128">
            <v>208</v>
          </cell>
          <cell r="B128" t="str">
            <v>Ster 5mm Lg Laminaria/48</v>
          </cell>
        </row>
        <row r="129">
          <cell r="A129" t="str">
            <v>208SL</v>
          </cell>
          <cell r="B129" t="str">
            <v>Shpr Lbl/Barcode for 208</v>
          </cell>
        </row>
        <row r="130">
          <cell r="A130">
            <v>209</v>
          </cell>
          <cell r="B130" t="str">
            <v>Ster 6mm XL Laminaria/48</v>
          </cell>
        </row>
        <row r="131">
          <cell r="A131" t="str">
            <v>209SL</v>
          </cell>
          <cell r="B131" t="str">
            <v>Shpr Lbl/Barcode for 209</v>
          </cell>
        </row>
        <row r="132">
          <cell r="A132">
            <v>210</v>
          </cell>
          <cell r="B132" t="str">
            <v>Blue P/E Gnw W/OP/B/W/C50</v>
          </cell>
        </row>
        <row r="133">
          <cell r="A133">
            <v>212</v>
          </cell>
          <cell r="B133" t="str">
            <v>Lg Coverall Open Cuff/25</v>
          </cell>
        </row>
        <row r="134">
          <cell r="A134">
            <v>213</v>
          </cell>
          <cell r="B134" t="str">
            <v>Wh XL Coverall Open/B/25C</v>
          </cell>
        </row>
        <row r="135">
          <cell r="A135">
            <v>214</v>
          </cell>
          <cell r="B135" t="str">
            <v>Lg Coverall Elast Cuff/25</v>
          </cell>
        </row>
        <row r="136">
          <cell r="A136">
            <v>215</v>
          </cell>
          <cell r="B136" t="str">
            <v>Wh XL Coverall E/Cuff 25c</v>
          </cell>
        </row>
        <row r="137">
          <cell r="A137">
            <v>219</v>
          </cell>
          <cell r="B137" t="str">
            <v>XL P/C /Coverall/W/E/C/25</v>
          </cell>
        </row>
        <row r="138">
          <cell r="A138">
            <v>224</v>
          </cell>
          <cell r="B138" t="str">
            <v>Blue Sm/Med labcoat 30/cs</v>
          </cell>
        </row>
        <row r="139">
          <cell r="A139">
            <v>226</v>
          </cell>
          <cell r="B139" t="str">
            <v>White Sm/Med Labcoat/30</v>
          </cell>
        </row>
        <row r="140">
          <cell r="A140">
            <v>227</v>
          </cell>
          <cell r="B140" t="str">
            <v>Blue LG /XL Labcoat/30cs</v>
          </cell>
        </row>
        <row r="141">
          <cell r="A141">
            <v>228</v>
          </cell>
          <cell r="B141" t="str">
            <v>White Lg/XL Labcoat/30</v>
          </cell>
        </row>
        <row r="142">
          <cell r="A142">
            <v>230</v>
          </cell>
          <cell r="B142" t="str">
            <v>Blue Gwn W/OP/Back/K/C/50</v>
          </cell>
        </row>
        <row r="143">
          <cell r="A143">
            <v>233</v>
          </cell>
          <cell r="B143" t="str">
            <v>Ylw P/C/ Gwn W/F/Back 50C</v>
          </cell>
        </row>
        <row r="144">
          <cell r="A144">
            <v>235</v>
          </cell>
          <cell r="B144" t="str">
            <v>BLUE PE GOWN/THUMBCUFF/75</v>
          </cell>
        </row>
        <row r="145">
          <cell r="A145">
            <v>250</v>
          </cell>
          <cell r="B145" t="str">
            <v>Plastic Apron/144</v>
          </cell>
        </row>
        <row r="146">
          <cell r="A146">
            <v>268</v>
          </cell>
          <cell r="B146" t="str">
            <v>Blue Lg Bouffant Cap/500</v>
          </cell>
        </row>
        <row r="147">
          <cell r="A147">
            <v>270</v>
          </cell>
          <cell r="B147" t="str">
            <v>White Lg Bouffant Cap/500</v>
          </cell>
        </row>
        <row r="148">
          <cell r="A148">
            <v>279</v>
          </cell>
          <cell r="B148" t="str">
            <v>Ster 7MM Cvd Curette/25</v>
          </cell>
        </row>
        <row r="149">
          <cell r="A149">
            <v>280</v>
          </cell>
          <cell r="B149" t="str">
            <v>Ster 8MM Cvd Curette/25</v>
          </cell>
        </row>
        <row r="150">
          <cell r="A150">
            <v>281</v>
          </cell>
          <cell r="B150" t="str">
            <v>Ster 9MM Cvd Curette/25</v>
          </cell>
        </row>
        <row r="151">
          <cell r="A151">
            <v>282</v>
          </cell>
          <cell r="B151" t="str">
            <v>Ster 10MM Cvd Curette/25</v>
          </cell>
        </row>
        <row r="152">
          <cell r="A152">
            <v>283</v>
          </cell>
          <cell r="B152" t="str">
            <v>Ster 11MM Cvd Curette/ 25</v>
          </cell>
        </row>
        <row r="153">
          <cell r="A153">
            <v>284</v>
          </cell>
          <cell r="B153" t="str">
            <v>Ster 12MM Cvd Curette/ 25</v>
          </cell>
        </row>
        <row r="154">
          <cell r="A154">
            <v>285</v>
          </cell>
          <cell r="B154" t="str">
            <v>Ster 14MM Cvd Curette/ 25</v>
          </cell>
        </row>
        <row r="155">
          <cell r="A155">
            <v>290</v>
          </cell>
          <cell r="B155" t="str">
            <v>Ster Poole Suct Inst/50</v>
          </cell>
        </row>
        <row r="156">
          <cell r="A156" t="str">
            <v>290SL</v>
          </cell>
          <cell r="B156" t="str">
            <v>OUTER CTN LABEL W/BARCODE</v>
          </cell>
        </row>
        <row r="157">
          <cell r="A157">
            <v>291</v>
          </cell>
          <cell r="B157" t="str">
            <v>Ster Poole Suct Inst/ 20</v>
          </cell>
        </row>
        <row r="158">
          <cell r="A158" t="str">
            <v>291SL</v>
          </cell>
          <cell r="B158" t="str">
            <v>OUTER CTN LABELWBARCODE</v>
          </cell>
        </row>
        <row r="159">
          <cell r="A159">
            <v>296</v>
          </cell>
          <cell r="B159" t="str">
            <v>Ster Yank w/o Vent/50</v>
          </cell>
        </row>
        <row r="160">
          <cell r="A160">
            <v>297</v>
          </cell>
          <cell r="B160" t="str">
            <v>Ster Yank w/vent/ 50</v>
          </cell>
        </row>
        <row r="161">
          <cell r="A161">
            <v>298</v>
          </cell>
          <cell r="B161" t="str">
            <v>Ster Yank w/o vent blb/50</v>
          </cell>
        </row>
        <row r="162">
          <cell r="A162">
            <v>299</v>
          </cell>
          <cell r="B162" t="str">
            <v>Ster Yank w/vent/bulb/50</v>
          </cell>
        </row>
        <row r="163">
          <cell r="A163">
            <v>302</v>
          </cell>
          <cell r="B163" t="str">
            <v>Sterile Yankauer w/o vent with 6' x 1/4" tubing</v>
          </cell>
        </row>
        <row r="164">
          <cell r="A164">
            <v>303</v>
          </cell>
          <cell r="B164" t="str">
            <v>Ster Yank w/vent 6'Tbg/20</v>
          </cell>
        </row>
        <row r="165">
          <cell r="A165">
            <v>305</v>
          </cell>
          <cell r="B165" t="str">
            <v>Ster Yank w/o vent 10'/20</v>
          </cell>
        </row>
        <row r="166">
          <cell r="A166">
            <v>327</v>
          </cell>
          <cell r="B166" t="str">
            <v>White 21" Kool Cap/500</v>
          </cell>
        </row>
        <row r="167">
          <cell r="A167" t="str">
            <v>327D</v>
          </cell>
          <cell r="B167" t="str">
            <v>21"White Cap/To be repack</v>
          </cell>
        </row>
        <row r="168">
          <cell r="A168" t="str">
            <v>327DL</v>
          </cell>
          <cell r="B168" t="str">
            <v>Busse 327 Dispenser Label</v>
          </cell>
        </row>
        <row r="169">
          <cell r="A169" t="str">
            <v>327SL</v>
          </cell>
          <cell r="B169" t="str">
            <v>Busse 327 Shipper Label</v>
          </cell>
        </row>
        <row r="170">
          <cell r="A170">
            <v>328</v>
          </cell>
          <cell r="B170" t="str">
            <v>Blue 21" Kool Cap/500</v>
          </cell>
        </row>
        <row r="171">
          <cell r="A171" t="str">
            <v>328D</v>
          </cell>
          <cell r="B171" t="str">
            <v>21"Blue Cap/To be repack</v>
          </cell>
        </row>
        <row r="172">
          <cell r="A172" t="str">
            <v>328DL</v>
          </cell>
          <cell r="B172" t="str">
            <v>Busse 328 Dispenser Label</v>
          </cell>
        </row>
        <row r="173">
          <cell r="A173" t="str">
            <v>328SL</v>
          </cell>
          <cell r="B173" t="str">
            <v>Busse 328 Shipper Label</v>
          </cell>
        </row>
        <row r="174">
          <cell r="A174">
            <v>329</v>
          </cell>
          <cell r="B174" t="str">
            <v>Green 21" Kool Cap/500</v>
          </cell>
        </row>
        <row r="175">
          <cell r="A175" t="str">
            <v>329D</v>
          </cell>
          <cell r="B175" t="str">
            <v>21"Green Cap/To be repack</v>
          </cell>
        </row>
        <row r="176">
          <cell r="A176" t="str">
            <v>329DL</v>
          </cell>
          <cell r="B176" t="str">
            <v>Busse 329 Dispenser Label</v>
          </cell>
        </row>
        <row r="177">
          <cell r="A177" t="str">
            <v>329SL</v>
          </cell>
          <cell r="B177" t="str">
            <v>Busse 329 Shipper Label</v>
          </cell>
        </row>
        <row r="178">
          <cell r="A178">
            <v>330</v>
          </cell>
          <cell r="B178" t="str">
            <v>White 24" Kool Cap/500</v>
          </cell>
        </row>
        <row r="179">
          <cell r="A179" t="str">
            <v>330D</v>
          </cell>
          <cell r="B179" t="str">
            <v>24" Wht Cap/To be repack</v>
          </cell>
        </row>
        <row r="180">
          <cell r="A180" t="str">
            <v>330DL</v>
          </cell>
          <cell r="B180" t="str">
            <v>Busse 330 Dispenser Label</v>
          </cell>
        </row>
        <row r="181">
          <cell r="A181" t="str">
            <v>330SL</v>
          </cell>
          <cell r="B181" t="str">
            <v>Busse 330 Shipper Label</v>
          </cell>
        </row>
        <row r="182">
          <cell r="A182">
            <v>331</v>
          </cell>
          <cell r="B182" t="str">
            <v>Blue 24" Kool Cap/500</v>
          </cell>
        </row>
        <row r="183">
          <cell r="A183" t="str">
            <v>331D</v>
          </cell>
          <cell r="B183" t="str">
            <v>24"Blu PPCap/To be repack</v>
          </cell>
        </row>
        <row r="184">
          <cell r="A184" t="str">
            <v>331DL</v>
          </cell>
          <cell r="B184" t="str">
            <v>Busse 331 Dispenser Label</v>
          </cell>
        </row>
        <row r="185">
          <cell r="A185" t="str">
            <v>331SL</v>
          </cell>
          <cell r="B185" t="str">
            <v>Busse 331 Shipper Label</v>
          </cell>
        </row>
        <row r="186">
          <cell r="A186">
            <v>332</v>
          </cell>
          <cell r="B186" t="str">
            <v>Green 24" Kool Cap/500</v>
          </cell>
        </row>
        <row r="187">
          <cell r="A187" t="str">
            <v>332D</v>
          </cell>
          <cell r="B187" t="str">
            <v>24"Grn PPCap/To be repack</v>
          </cell>
        </row>
        <row r="188">
          <cell r="A188" t="str">
            <v>332DL</v>
          </cell>
          <cell r="B188" t="str">
            <v>Busse 332 Dispenser Label</v>
          </cell>
        </row>
        <row r="189">
          <cell r="A189" t="str">
            <v>332SL</v>
          </cell>
          <cell r="B189" t="str">
            <v>Busse 332 Shipper Label</v>
          </cell>
        </row>
        <row r="190">
          <cell r="A190">
            <v>335</v>
          </cell>
          <cell r="B190" t="str">
            <v>Tie/Back Surg/Cap B/G/500</v>
          </cell>
        </row>
        <row r="191">
          <cell r="A191" t="str">
            <v>335D</v>
          </cell>
          <cell r="B191" t="str">
            <v>Surgeons Cap to be repack</v>
          </cell>
        </row>
        <row r="192">
          <cell r="A192" t="str">
            <v>335DL</v>
          </cell>
          <cell r="B192" t="str">
            <v>Busse 335 Dispenser Label</v>
          </cell>
        </row>
        <row r="193">
          <cell r="A193" t="str">
            <v>335SL</v>
          </cell>
          <cell r="B193" t="str">
            <v>Busse 335 Shipper Lable</v>
          </cell>
        </row>
        <row r="194">
          <cell r="A194">
            <v>336</v>
          </cell>
          <cell r="B194" t="str">
            <v>Grn Hood&amp;Beard Cover/500</v>
          </cell>
        </row>
        <row r="195">
          <cell r="A195">
            <v>338</v>
          </cell>
          <cell r="B195" t="str">
            <v>Bulk Shoe Covers/150 pr</v>
          </cell>
        </row>
        <row r="196">
          <cell r="A196">
            <v>340</v>
          </cell>
          <cell r="B196" t="str">
            <v>Shoe Covers/150 pr</v>
          </cell>
        </row>
        <row r="197">
          <cell r="A197" t="str">
            <v>340DL</v>
          </cell>
          <cell r="B197" t="str">
            <v>Busse 340 Dispenser Label</v>
          </cell>
        </row>
        <row r="198">
          <cell r="A198" t="str">
            <v>340SL</v>
          </cell>
          <cell r="B198" t="str">
            <v>Busse 340 Shipper Label</v>
          </cell>
        </row>
        <row r="199">
          <cell r="A199">
            <v>346</v>
          </cell>
          <cell r="B199" t="str">
            <v>Sur-Step Shoe Cover/150pr</v>
          </cell>
        </row>
        <row r="200">
          <cell r="A200">
            <v>347</v>
          </cell>
          <cell r="B200" t="str">
            <v>XL Sur Step Shoecover/100</v>
          </cell>
        </row>
        <row r="201">
          <cell r="A201">
            <v>348</v>
          </cell>
          <cell r="B201" t="str">
            <v>Sur-Step Shoecover/150</v>
          </cell>
        </row>
        <row r="202">
          <cell r="A202" t="str">
            <v>348DL</v>
          </cell>
          <cell r="B202" t="str">
            <v>Busse 348 Dispenser Label</v>
          </cell>
        </row>
        <row r="203">
          <cell r="A203" t="str">
            <v>348SL</v>
          </cell>
          <cell r="B203" t="str">
            <v>Busse 348 Shipper Label</v>
          </cell>
        </row>
        <row r="204">
          <cell r="A204">
            <v>349</v>
          </cell>
          <cell r="B204" t="str">
            <v>XL Shoecover/100</v>
          </cell>
        </row>
        <row r="205">
          <cell r="A205" t="str">
            <v>349B</v>
          </cell>
          <cell r="B205" t="str">
            <v>XL Shoecover/100</v>
          </cell>
        </row>
        <row r="206">
          <cell r="A206">
            <v>370</v>
          </cell>
          <cell r="B206" t="str">
            <v>Yellow Isolation Mask/500</v>
          </cell>
        </row>
        <row r="207">
          <cell r="A207" t="str">
            <v>370C-1</v>
          </cell>
          <cell r="B207" t="str">
            <v>UNPRINTED CTN/F/3810</v>
          </cell>
        </row>
        <row r="208">
          <cell r="A208">
            <v>371</v>
          </cell>
          <cell r="B208" t="str">
            <v>Blue Procedure Mask/500</v>
          </cell>
        </row>
        <row r="209">
          <cell r="A209">
            <v>372</v>
          </cell>
          <cell r="B209" t="str">
            <v>Fluid Resistant Mask/400</v>
          </cell>
        </row>
        <row r="210">
          <cell r="A210">
            <v>373</v>
          </cell>
          <cell r="B210" t="str">
            <v>Msk w/Wrp Face Shield/100</v>
          </cell>
        </row>
        <row r="211">
          <cell r="A211">
            <v>374</v>
          </cell>
          <cell r="B211" t="str">
            <v>Pink Procedure Mask/500</v>
          </cell>
        </row>
        <row r="212">
          <cell r="A212">
            <v>375</v>
          </cell>
          <cell r="B212" t="str">
            <v>Blue Procedure Mask/500</v>
          </cell>
        </row>
        <row r="213">
          <cell r="A213" t="str">
            <v>379CL</v>
          </cell>
          <cell r="B213" t="str">
            <v>LATEX FREE LABEL F/DISP B</v>
          </cell>
        </row>
        <row r="214">
          <cell r="A214" t="str">
            <v>379SL</v>
          </cell>
          <cell r="B214" t="str">
            <v>OUTER CTN LABEL</v>
          </cell>
        </row>
        <row r="215">
          <cell r="A215">
            <v>380</v>
          </cell>
          <cell r="B215" t="str">
            <v>Wht Multi Ply Iso M/1000C</v>
          </cell>
        </row>
        <row r="216">
          <cell r="A216" t="str">
            <v>380DL</v>
          </cell>
          <cell r="B216" t="str">
            <v>DISP LABEL W/BARCODE</v>
          </cell>
        </row>
        <row r="217">
          <cell r="A217" t="str">
            <v>380SL</v>
          </cell>
          <cell r="B217" t="str">
            <v>OUTER CTN LABEL</v>
          </cell>
        </row>
        <row r="218">
          <cell r="A218">
            <v>381</v>
          </cell>
          <cell r="B218" t="str">
            <v>Wht Multi Ply Hi-F/M/1000</v>
          </cell>
        </row>
        <row r="219">
          <cell r="A219" t="str">
            <v>381DL</v>
          </cell>
          <cell r="B219" t="str">
            <v>DISP LABEL W/BAR CODE</v>
          </cell>
        </row>
        <row r="220">
          <cell r="A220" t="str">
            <v>381SL</v>
          </cell>
          <cell r="B220" t="str">
            <v>OUTER CTN LABEL</v>
          </cell>
        </row>
        <row r="221">
          <cell r="A221">
            <v>383</v>
          </cell>
          <cell r="B221" t="str">
            <v>N/Glass Surgeon Mask/300</v>
          </cell>
        </row>
        <row r="222">
          <cell r="A222">
            <v>400</v>
          </cell>
          <cell r="B222" t="str">
            <v>Ster 16oz Sponge Bowls/75</v>
          </cell>
        </row>
        <row r="223">
          <cell r="A223">
            <v>401</v>
          </cell>
          <cell r="B223" t="str">
            <v>Ster 35oz Sponge Bowls/50</v>
          </cell>
        </row>
        <row r="224">
          <cell r="A224">
            <v>402</v>
          </cell>
          <cell r="B224" t="str">
            <v>Bulk 16oz Sponge Bowl/500</v>
          </cell>
        </row>
        <row r="225">
          <cell r="A225">
            <v>403</v>
          </cell>
          <cell r="B225" t="str">
            <v>Bulk 35oz Sponge Bowl/250</v>
          </cell>
        </row>
        <row r="226">
          <cell r="A226">
            <v>405</v>
          </cell>
          <cell r="B226" t="str">
            <v>Ster 40cc Muc.TrpW/cap/24</v>
          </cell>
        </row>
        <row r="227">
          <cell r="A227" t="str">
            <v>405SL</v>
          </cell>
          <cell r="B227" t="str">
            <v>Shpr Lbl w/Barcode for405</v>
          </cell>
        </row>
        <row r="228">
          <cell r="A228">
            <v>406</v>
          </cell>
          <cell r="B228" t="str">
            <v>Ster 40cc Mucus Trap/24</v>
          </cell>
        </row>
        <row r="229">
          <cell r="A229">
            <v>407</v>
          </cell>
          <cell r="B229" t="str">
            <v>Ster 80cc Mucus Trap/100</v>
          </cell>
        </row>
        <row r="230">
          <cell r="A230">
            <v>420</v>
          </cell>
          <cell r="B230" t="str">
            <v>8oz Specimen Cont. /250</v>
          </cell>
        </row>
        <row r="231">
          <cell r="A231">
            <v>450</v>
          </cell>
          <cell r="B231" t="str">
            <v>Fecal Container/1000</v>
          </cell>
        </row>
        <row r="232">
          <cell r="A232">
            <v>490</v>
          </cell>
          <cell r="B232" t="str">
            <v>8oz Denture Cup/250</v>
          </cell>
        </row>
        <row r="233">
          <cell r="A233">
            <v>501</v>
          </cell>
          <cell r="B233" t="str">
            <v>Ster 5in1 Connector/200</v>
          </cell>
        </row>
        <row r="234">
          <cell r="A234" t="str">
            <v>501SL</v>
          </cell>
          <cell r="B234" t="str">
            <v>Shpr Lbl/Barcode for 50</v>
          </cell>
        </row>
        <row r="235">
          <cell r="A235">
            <v>502</v>
          </cell>
          <cell r="B235" t="str">
            <v>Ster Sims Connector/400</v>
          </cell>
        </row>
        <row r="236">
          <cell r="A236">
            <v>503</v>
          </cell>
          <cell r="B236" t="str">
            <v>Ster T Connector/120</v>
          </cell>
        </row>
        <row r="237">
          <cell r="A237">
            <v>504</v>
          </cell>
          <cell r="B237" t="str">
            <v>Ster 6mm Connector/400</v>
          </cell>
        </row>
        <row r="238">
          <cell r="A238">
            <v>505</v>
          </cell>
          <cell r="B238" t="str">
            <v>Ster 8mm Connector/400</v>
          </cell>
        </row>
        <row r="239">
          <cell r="A239">
            <v>506</v>
          </cell>
          <cell r="B239" t="str">
            <v>Ster 10mm Connector/400</v>
          </cell>
        </row>
        <row r="240">
          <cell r="A240">
            <v>507</v>
          </cell>
          <cell r="B240" t="str">
            <v>Ster 1/4" Y-Connector/400</v>
          </cell>
        </row>
        <row r="241">
          <cell r="A241">
            <v>508</v>
          </cell>
          <cell r="B241" t="str">
            <v>Ster 3/8" Y-Connector/200</v>
          </cell>
        </row>
        <row r="242">
          <cell r="A242">
            <v>509</v>
          </cell>
          <cell r="B242" t="str">
            <v>Ster 6 in 1 Connector/120</v>
          </cell>
        </row>
        <row r="243">
          <cell r="A243">
            <v>510</v>
          </cell>
          <cell r="B243" t="str">
            <v>Ster Catheter Plug/200</v>
          </cell>
        </row>
        <row r="244">
          <cell r="A244">
            <v>511</v>
          </cell>
          <cell r="B244" t="str">
            <v>Clean 5in1 Connector/500</v>
          </cell>
        </row>
        <row r="245">
          <cell r="A245">
            <v>512</v>
          </cell>
          <cell r="B245" t="str">
            <v>Clean Simms Connector/500</v>
          </cell>
        </row>
        <row r="246">
          <cell r="A246" t="str">
            <v>512DL</v>
          </cell>
          <cell r="B246" t="str">
            <v>disp label w/barcode</v>
          </cell>
        </row>
        <row r="247">
          <cell r="A247" t="str">
            <v>512SL</v>
          </cell>
          <cell r="B247" t="str">
            <v>OUTER CTN W/BARCODE</v>
          </cell>
        </row>
        <row r="248">
          <cell r="A248">
            <v>513</v>
          </cell>
          <cell r="B248" t="str">
            <v>Clean T Connector/150</v>
          </cell>
        </row>
        <row r="249">
          <cell r="A249">
            <v>514</v>
          </cell>
          <cell r="B249" t="str">
            <v>Clean 1/4" Connector/500</v>
          </cell>
        </row>
        <row r="250">
          <cell r="A250">
            <v>515</v>
          </cell>
          <cell r="B250" t="str">
            <v>Clean 5/16" Connector/500</v>
          </cell>
        </row>
        <row r="251">
          <cell r="A251">
            <v>516</v>
          </cell>
          <cell r="B251" t="str">
            <v>Clean 3/8"Connector/500</v>
          </cell>
        </row>
        <row r="252">
          <cell r="A252">
            <v>517</v>
          </cell>
          <cell r="B252" t="str">
            <v>Clean 1/4"Y Connector/500</v>
          </cell>
        </row>
        <row r="253">
          <cell r="A253">
            <v>518</v>
          </cell>
          <cell r="B253" t="str">
            <v>Clean 3/8"Y Connector/500</v>
          </cell>
        </row>
        <row r="254">
          <cell r="A254">
            <v>519</v>
          </cell>
          <cell r="B254" t="str">
            <v>Clean 6in1Y Connector/150</v>
          </cell>
        </row>
        <row r="255">
          <cell r="A255">
            <v>680</v>
          </cell>
          <cell r="B255" t="str">
            <v>Ster O.R Utility Drape/50</v>
          </cell>
        </row>
        <row r="256">
          <cell r="A256">
            <v>694</v>
          </cell>
          <cell r="B256" t="str">
            <v>N/Ster Drape/300</v>
          </cell>
        </row>
        <row r="257">
          <cell r="A257">
            <v>695</v>
          </cell>
          <cell r="B257" t="str">
            <v>N/Ster Bulk Drape/500</v>
          </cell>
        </row>
        <row r="258">
          <cell r="A258">
            <v>696</v>
          </cell>
          <cell r="B258" t="str">
            <v>Ster Polylined Drape/300</v>
          </cell>
        </row>
        <row r="259">
          <cell r="A259">
            <v>697</v>
          </cell>
          <cell r="B259" t="str">
            <v>Ster Fenstrated Drape/300</v>
          </cell>
        </row>
        <row r="260">
          <cell r="A260">
            <v>698</v>
          </cell>
          <cell r="B260" t="str">
            <v>Ster Drape/200</v>
          </cell>
        </row>
        <row r="261">
          <cell r="A261" t="str">
            <v>698DL</v>
          </cell>
          <cell r="B261" t="str">
            <v>Disp Lbl/barcode for 698</v>
          </cell>
        </row>
        <row r="262">
          <cell r="A262" t="str">
            <v>698SL</v>
          </cell>
          <cell r="B262" t="str">
            <v>Shpr lbl/barcode for 698</v>
          </cell>
        </row>
        <row r="263">
          <cell r="A263">
            <v>700</v>
          </cell>
          <cell r="B263" t="str">
            <v>Adult Shroud 10/cs</v>
          </cell>
        </row>
        <row r="264">
          <cell r="A264">
            <v>701</v>
          </cell>
          <cell r="B264" t="str">
            <v>Child Shroud Kit/10</v>
          </cell>
        </row>
        <row r="265">
          <cell r="A265">
            <v>702</v>
          </cell>
          <cell r="B265" t="str">
            <v>Plastic Shroud Sheet/50</v>
          </cell>
        </row>
        <row r="266">
          <cell r="A266">
            <v>703</v>
          </cell>
          <cell r="B266" t="str">
            <v>Ster Trach Set/20</v>
          </cell>
        </row>
        <row r="267">
          <cell r="A267" t="str">
            <v>703SL</v>
          </cell>
          <cell r="B267" t="str">
            <v>OUTER CTN LABEL WBARCODE</v>
          </cell>
        </row>
        <row r="268">
          <cell r="A268">
            <v>706</v>
          </cell>
          <cell r="B268" t="str">
            <v>Ster Trach Set/20</v>
          </cell>
        </row>
        <row r="269">
          <cell r="A269" t="str">
            <v>706SL</v>
          </cell>
          <cell r="B269" t="str">
            <v>OUTER CTN LABELW/BARCODE</v>
          </cell>
        </row>
        <row r="270">
          <cell r="A270">
            <v>707</v>
          </cell>
          <cell r="B270" t="str">
            <v>Ster Trach Dress/300</v>
          </cell>
        </row>
        <row r="271">
          <cell r="A271">
            <v>710</v>
          </cell>
          <cell r="B271" t="str">
            <v>Ster Trach Set</v>
          </cell>
        </row>
        <row r="272">
          <cell r="A272" t="str">
            <v>710SL</v>
          </cell>
          <cell r="B272" t="str">
            <v>OUTER CTN LABEL W/BARCODE</v>
          </cell>
        </row>
        <row r="273">
          <cell r="A273">
            <v>711</v>
          </cell>
          <cell r="B273" t="str">
            <v>Ster Trach Set/24</v>
          </cell>
        </row>
        <row r="274">
          <cell r="A274" t="str">
            <v>711SL</v>
          </cell>
          <cell r="B274" t="str">
            <v>OUTER CTN LABEL W/BARCODE</v>
          </cell>
        </row>
        <row r="275">
          <cell r="A275">
            <v>713</v>
          </cell>
          <cell r="B275" t="str">
            <v>Ster Trach Set/20</v>
          </cell>
        </row>
        <row r="276">
          <cell r="A276">
            <v>714</v>
          </cell>
          <cell r="B276" t="str">
            <v>Ster Trach Set/20</v>
          </cell>
        </row>
        <row r="277">
          <cell r="A277" t="str">
            <v>714SL</v>
          </cell>
          <cell r="B277" t="str">
            <v>OUTER CTN LABEL W/BARCODE</v>
          </cell>
        </row>
        <row r="278">
          <cell r="A278">
            <v>715</v>
          </cell>
          <cell r="B278" t="str">
            <v>Ster Trach Set/20</v>
          </cell>
        </row>
        <row r="279">
          <cell r="A279" t="str">
            <v>715SL</v>
          </cell>
          <cell r="B279" t="str">
            <v>OUTER CTN LABEL W/BARCODE</v>
          </cell>
        </row>
        <row r="280">
          <cell r="A280">
            <v>716</v>
          </cell>
          <cell r="B280" t="str">
            <v>Ster Staple Remover/48</v>
          </cell>
        </row>
        <row r="281">
          <cell r="A281">
            <v>717</v>
          </cell>
          <cell r="B281" t="str">
            <v>Ster Suture Kit/50</v>
          </cell>
        </row>
        <row r="282">
          <cell r="A282" t="str">
            <v>717SL</v>
          </cell>
          <cell r="B282" t="str">
            <v>OUTER CTN LABEL W/BARCODE</v>
          </cell>
        </row>
        <row r="283">
          <cell r="A283">
            <v>718</v>
          </cell>
          <cell r="B283" t="str">
            <v>Ster Suture Kit/50</v>
          </cell>
        </row>
        <row r="284">
          <cell r="A284" t="str">
            <v>718SL</v>
          </cell>
          <cell r="B284" t="str">
            <v>SHIPPER CTN LABEL WB/CODE</v>
          </cell>
        </row>
        <row r="285">
          <cell r="A285">
            <v>723</v>
          </cell>
          <cell r="B285" t="str">
            <v>Ster Suture Removal/50</v>
          </cell>
        </row>
        <row r="286">
          <cell r="A286" t="str">
            <v>723SL</v>
          </cell>
          <cell r="B286" t="str">
            <v>SHIPPER LABELW/BARCODE</v>
          </cell>
        </row>
        <row r="287">
          <cell r="A287">
            <v>724</v>
          </cell>
          <cell r="B287" t="str">
            <v>Ster Suture Kit/50</v>
          </cell>
        </row>
        <row r="288">
          <cell r="A288" t="str">
            <v>724SL</v>
          </cell>
          <cell r="B288" t="str">
            <v>OUTER CTN LABEL WB/CODE</v>
          </cell>
        </row>
        <row r="289">
          <cell r="A289">
            <v>725</v>
          </cell>
          <cell r="B289" t="str">
            <v>Adult Shroud Kit /50</v>
          </cell>
        </row>
        <row r="290">
          <cell r="A290" t="str">
            <v>725GM</v>
          </cell>
          <cell r="B290" t="str">
            <v>Comps for GM Shrouds/Bags</v>
          </cell>
        </row>
        <row r="291">
          <cell r="A291" t="str">
            <v>725PM</v>
          </cell>
          <cell r="B291" t="str">
            <v>Comps for Shrouds&amp;P.Mort</v>
          </cell>
        </row>
        <row r="292">
          <cell r="A292">
            <v>726</v>
          </cell>
          <cell r="B292" t="str">
            <v>Ster Suture Removal/50</v>
          </cell>
        </row>
        <row r="293">
          <cell r="A293" t="str">
            <v>726SL</v>
          </cell>
          <cell r="B293" t="str">
            <v>SHIPPER CTN L/BARCODE</v>
          </cell>
        </row>
        <row r="294">
          <cell r="A294">
            <v>727</v>
          </cell>
          <cell r="B294" t="str">
            <v>72"x108" Shroud Kit/24</v>
          </cell>
        </row>
        <row r="295">
          <cell r="A295">
            <v>728</v>
          </cell>
          <cell r="B295" t="str">
            <v>72"x108" Shroud Sheet/24</v>
          </cell>
        </row>
        <row r="296">
          <cell r="A296">
            <v>729</v>
          </cell>
          <cell r="B296" t="str">
            <v>Ster Suture Removal/50</v>
          </cell>
        </row>
        <row r="297">
          <cell r="A297" t="str">
            <v>729SL</v>
          </cell>
          <cell r="B297" t="str">
            <v>OUTER CTN LABELW B/CODE</v>
          </cell>
        </row>
        <row r="298">
          <cell r="A298">
            <v>732</v>
          </cell>
          <cell r="B298" t="str">
            <v>Ster Suture Removal/50</v>
          </cell>
        </row>
        <row r="299">
          <cell r="A299" t="str">
            <v>732SL</v>
          </cell>
          <cell r="B299" t="str">
            <v>OUTER CTN LABEL W/BARCODE</v>
          </cell>
        </row>
        <row r="300">
          <cell r="A300">
            <v>736</v>
          </cell>
          <cell r="B300" t="str">
            <v>22x22mm Coverslips/15000</v>
          </cell>
        </row>
        <row r="301">
          <cell r="A301">
            <v>737</v>
          </cell>
          <cell r="B301" t="str">
            <v>Ster SRK w/Littauer S/48</v>
          </cell>
        </row>
        <row r="302">
          <cell r="A302">
            <v>738</v>
          </cell>
          <cell r="B302" t="str">
            <v>SterSRKw/LittauerS/Dsp/48</v>
          </cell>
        </row>
        <row r="303">
          <cell r="A303">
            <v>739</v>
          </cell>
          <cell r="B303" t="str">
            <v>Ster SRKw/Sharp/S Scis/48</v>
          </cell>
        </row>
        <row r="304">
          <cell r="A304">
            <v>740</v>
          </cell>
          <cell r="B304" t="str">
            <v>Ster SRKw/Shp/S Scis/D/48</v>
          </cell>
        </row>
        <row r="305">
          <cell r="A305">
            <v>744</v>
          </cell>
          <cell r="B305" t="str">
            <v>Ster S/Debridement T/50CS</v>
          </cell>
        </row>
        <row r="306">
          <cell r="A306" t="str">
            <v>744SL</v>
          </cell>
          <cell r="B306" t="str">
            <v>OUTER CTN LABEL</v>
          </cell>
        </row>
        <row r="307">
          <cell r="A307">
            <v>746</v>
          </cell>
          <cell r="B307" t="str">
            <v>Ster E.R.Laceration Ty20C</v>
          </cell>
        </row>
        <row r="308">
          <cell r="A308" t="str">
            <v>746CC</v>
          </cell>
          <cell r="B308" t="str">
            <v>CONTENT CARD W/BARCODE</v>
          </cell>
        </row>
        <row r="309">
          <cell r="A309" t="str">
            <v>746SL</v>
          </cell>
          <cell r="B309" t="str">
            <v>OUTER CTN LABELW/BCODE</v>
          </cell>
        </row>
        <row r="310">
          <cell r="A310">
            <v>747</v>
          </cell>
          <cell r="B310" t="str">
            <v>Ster Suturing Tray/20</v>
          </cell>
        </row>
        <row r="311">
          <cell r="A311">
            <v>749</v>
          </cell>
          <cell r="B311" t="str">
            <v>Ster E.R.Laceration Ty 20</v>
          </cell>
        </row>
        <row r="312">
          <cell r="A312">
            <v>750</v>
          </cell>
          <cell r="B312" t="str">
            <v>Ster Mnr Laceration Pk/20</v>
          </cell>
        </row>
        <row r="313">
          <cell r="A313">
            <v>751</v>
          </cell>
          <cell r="B313" t="str">
            <v>Ster Mnr Laceration Pk/20</v>
          </cell>
        </row>
        <row r="314">
          <cell r="A314" t="str">
            <v>751SL</v>
          </cell>
          <cell r="B314" t="str">
            <v>OUTER CTN L/BARCODE</v>
          </cell>
        </row>
        <row r="315">
          <cell r="A315">
            <v>752</v>
          </cell>
          <cell r="B315" t="str">
            <v>Ster Instrument Tray/20</v>
          </cell>
        </row>
        <row r="316">
          <cell r="A316">
            <v>753</v>
          </cell>
          <cell r="B316" t="str">
            <v>Ster Instrument Tray/20</v>
          </cell>
        </row>
        <row r="317">
          <cell r="A317">
            <v>754</v>
          </cell>
          <cell r="B317" t="str">
            <v>Ster Instrument Tray/20</v>
          </cell>
        </row>
        <row r="318">
          <cell r="A318">
            <v>755</v>
          </cell>
          <cell r="B318" t="str">
            <v>Ster Instrument Tray/20</v>
          </cell>
        </row>
        <row r="319">
          <cell r="A319">
            <v>756</v>
          </cell>
          <cell r="B319" t="str">
            <v>Ster Wound Closure T/20</v>
          </cell>
        </row>
        <row r="320">
          <cell r="A320" t="str">
            <v>756SL</v>
          </cell>
          <cell r="B320" t="str">
            <v>OUTER CTN L/BARCODE</v>
          </cell>
        </row>
        <row r="321">
          <cell r="A321">
            <v>757</v>
          </cell>
          <cell r="B321" t="str">
            <v>Ster Facial Wound Clsr/20</v>
          </cell>
        </row>
        <row r="322">
          <cell r="A322" t="str">
            <v>757SL</v>
          </cell>
          <cell r="B322" t="str">
            <v>OUTER CTN L/BARCODE</v>
          </cell>
        </row>
        <row r="323">
          <cell r="A323">
            <v>758</v>
          </cell>
          <cell r="B323" t="str">
            <v>Ster Incision&amp;Drainage/20</v>
          </cell>
        </row>
        <row r="324">
          <cell r="A324" t="str">
            <v>758SL</v>
          </cell>
          <cell r="B324" t="str">
            <v>OUTER CTN L/BARCODE</v>
          </cell>
        </row>
        <row r="325">
          <cell r="A325">
            <v>759</v>
          </cell>
          <cell r="B325" t="str">
            <v>Ster Dress Chg Tray 20cs</v>
          </cell>
        </row>
        <row r="326">
          <cell r="A326" t="str">
            <v>759SL</v>
          </cell>
          <cell r="B326" t="str">
            <v>OUTER CTN LABEL W/BARCODE</v>
          </cell>
        </row>
        <row r="327">
          <cell r="A327" t="str">
            <v>760SL</v>
          </cell>
          <cell r="B327" t="str">
            <v>OUTER CTN LABEL W/BARCODE</v>
          </cell>
        </row>
        <row r="328">
          <cell r="A328">
            <v>761</v>
          </cell>
          <cell r="B328" t="str">
            <v>Ster Dressing Chg Ty/20cs</v>
          </cell>
        </row>
        <row r="329">
          <cell r="A329" t="str">
            <v>761SL</v>
          </cell>
          <cell r="B329" t="str">
            <v>OUTER CTN LABEL W/BARCODE</v>
          </cell>
        </row>
        <row r="330">
          <cell r="A330">
            <v>770</v>
          </cell>
          <cell r="B330" t="str">
            <v>Ster Staple Remover/48</v>
          </cell>
        </row>
        <row r="331">
          <cell r="A331">
            <v>772</v>
          </cell>
          <cell r="B331" t="str">
            <v>Ster StapleRemover S-H/30</v>
          </cell>
        </row>
        <row r="332">
          <cell r="A332">
            <v>773</v>
          </cell>
          <cell r="B332" t="str">
            <v>Ster 51/4"S/BluntN/S/50CS</v>
          </cell>
        </row>
        <row r="333">
          <cell r="A333">
            <v>774</v>
          </cell>
          <cell r="B333" t="str">
            <v>Ster 51/2'crvd Kelly/50cs</v>
          </cell>
        </row>
        <row r="334">
          <cell r="A334">
            <v>775</v>
          </cell>
          <cell r="B334" t="str">
            <v>Ster 51/2"Str Kelly H /50</v>
          </cell>
        </row>
        <row r="335">
          <cell r="A335">
            <v>776</v>
          </cell>
          <cell r="B335" t="str">
            <v>Ster 5" Webster N/H/50CS</v>
          </cell>
        </row>
        <row r="336">
          <cell r="A336">
            <v>777</v>
          </cell>
          <cell r="B336" t="str">
            <v>Ster Iris Scissor str/50c</v>
          </cell>
        </row>
        <row r="337">
          <cell r="A337">
            <v>778</v>
          </cell>
          <cell r="B337" t="str">
            <v>Ster Adson T/Fcep 1x2"50</v>
          </cell>
        </row>
        <row r="338">
          <cell r="A338">
            <v>779</v>
          </cell>
          <cell r="B338" t="str">
            <v>Ster Adson Serr Forcep 50</v>
          </cell>
        </row>
        <row r="339">
          <cell r="A339">
            <v>780</v>
          </cell>
          <cell r="B339" t="str">
            <v>Ster 51/2" L/B Scissor/50</v>
          </cell>
        </row>
        <row r="340">
          <cell r="A340">
            <v>791</v>
          </cell>
          <cell r="B340" t="str">
            <v>24" Tape Measure/1000</v>
          </cell>
        </row>
        <row r="341">
          <cell r="A341">
            <v>795</v>
          </cell>
          <cell r="B341" t="str">
            <v>36" Tape Measure/1000</v>
          </cell>
        </row>
        <row r="342">
          <cell r="A342">
            <v>799</v>
          </cell>
          <cell r="B342" t="str">
            <v>Ster Trach Set/20</v>
          </cell>
        </row>
        <row r="343">
          <cell r="A343">
            <v>800</v>
          </cell>
          <cell r="B343" t="str">
            <v>Ster Trach Set/20</v>
          </cell>
        </row>
        <row r="344">
          <cell r="A344" t="str">
            <v>800SL</v>
          </cell>
          <cell r="B344" t="str">
            <v>OUTER CTN LABEL W/BARCODE</v>
          </cell>
        </row>
        <row r="345">
          <cell r="A345">
            <v>802</v>
          </cell>
          <cell r="B345" t="str">
            <v>Profession Towel/500</v>
          </cell>
        </row>
        <row r="346">
          <cell r="A346">
            <v>810</v>
          </cell>
          <cell r="B346" t="str">
            <v>Geriatric Bib/500</v>
          </cell>
        </row>
        <row r="347">
          <cell r="A347" t="str">
            <v>810SL</v>
          </cell>
          <cell r="B347" t="str">
            <v>OUTER CTN LABEL W/BARCODE</v>
          </cell>
        </row>
        <row r="348">
          <cell r="A348">
            <v>815</v>
          </cell>
          <cell r="B348" t="str">
            <v>Pillow Case Protector/200</v>
          </cell>
        </row>
        <row r="349">
          <cell r="A349">
            <v>818</v>
          </cell>
          <cell r="B349" t="str">
            <v>Ster IV Start Kit/50</v>
          </cell>
        </row>
        <row r="350">
          <cell r="A350">
            <v>820</v>
          </cell>
          <cell r="B350" t="str">
            <v>Ster IV Start Kit/50</v>
          </cell>
        </row>
        <row r="351">
          <cell r="A351">
            <v>821</v>
          </cell>
          <cell r="B351" t="str">
            <v>Ster IV Start Kit/50</v>
          </cell>
        </row>
        <row r="352">
          <cell r="A352">
            <v>825</v>
          </cell>
          <cell r="B352" t="str">
            <v>Ster TPN/CVP Tray/30</v>
          </cell>
        </row>
        <row r="353">
          <cell r="A353" t="str">
            <v>825SL</v>
          </cell>
          <cell r="B353" t="str">
            <v>SHPR LBL/BARCODE H8008253</v>
          </cell>
        </row>
        <row r="354">
          <cell r="A354">
            <v>827</v>
          </cell>
          <cell r="B354" t="str">
            <v>Ster TPN/CVP Tray/30</v>
          </cell>
        </row>
        <row r="355">
          <cell r="A355">
            <v>828</v>
          </cell>
          <cell r="B355" t="str">
            <v>Ster TPN/CVP Tray/30</v>
          </cell>
        </row>
        <row r="356">
          <cell r="A356" t="str">
            <v>828SL</v>
          </cell>
          <cell r="B356" t="str">
            <v>OUTER CTN LABEL W/BARCODE</v>
          </cell>
        </row>
        <row r="357">
          <cell r="A357">
            <v>829</v>
          </cell>
          <cell r="B357" t="str">
            <v>Ster TPN/CVP Tray/30</v>
          </cell>
        </row>
        <row r="358">
          <cell r="A358">
            <v>830</v>
          </cell>
          <cell r="B358" t="str">
            <v>Ster TPN/CVP Dress T/30</v>
          </cell>
        </row>
        <row r="359">
          <cell r="A359">
            <v>831</v>
          </cell>
          <cell r="B359" t="str">
            <v>Ster V.A.D. Access Kit/20</v>
          </cell>
        </row>
        <row r="360">
          <cell r="A360">
            <v>832</v>
          </cell>
          <cell r="B360" t="str">
            <v>Ster CVC Dress Chg Ty/50c</v>
          </cell>
        </row>
        <row r="361">
          <cell r="A361">
            <v>833</v>
          </cell>
          <cell r="B361" t="str">
            <v>Ster C/Line D /Chg Ty/30C</v>
          </cell>
        </row>
        <row r="362">
          <cell r="A362">
            <v>834</v>
          </cell>
          <cell r="B362" t="str">
            <v>STER C/Line Dress C/Ty/50</v>
          </cell>
        </row>
        <row r="363">
          <cell r="A363">
            <v>835</v>
          </cell>
          <cell r="B363" t="str">
            <v>Sterile Central Line Dressing Change Tray</v>
          </cell>
        </row>
        <row r="364">
          <cell r="A364">
            <v>843</v>
          </cell>
          <cell r="B364" t="str">
            <v>15X15 Standard CSR /100</v>
          </cell>
        </row>
        <row r="365">
          <cell r="A365" t="str">
            <v>8180LF</v>
          </cell>
          <cell r="B365" t="str">
            <v>LF Tourniquet 3/4" Rolled</v>
          </cell>
        </row>
        <row r="366">
          <cell r="A366" t="str">
            <v>843D</v>
          </cell>
          <cell r="B366" t="str">
            <v>15X15 STANDARD CSR</v>
          </cell>
        </row>
        <row r="367">
          <cell r="A367">
            <v>845</v>
          </cell>
          <cell r="B367" t="str">
            <v>12X12 Standard CSR/100</v>
          </cell>
        </row>
        <row r="368">
          <cell r="A368" t="str">
            <v>845SL</v>
          </cell>
          <cell r="B368" t="str">
            <v>Shpr Lbl/Barcode for 845</v>
          </cell>
        </row>
        <row r="369">
          <cell r="A369">
            <v>846</v>
          </cell>
          <cell r="B369" t="str">
            <v>18X18 Standard CSR/100</v>
          </cell>
        </row>
        <row r="370">
          <cell r="A370" t="str">
            <v>846SL</v>
          </cell>
          <cell r="B370" t="str">
            <v>Shpr Lbl/Barcode for 846</v>
          </cell>
        </row>
        <row r="371">
          <cell r="A371">
            <v>847</v>
          </cell>
          <cell r="B371" t="str">
            <v>24X24 Standard CSR/100</v>
          </cell>
        </row>
        <row r="372">
          <cell r="A372" t="str">
            <v>847SL</v>
          </cell>
          <cell r="B372" t="str">
            <v>Shpr Lbl/Barcode for 847</v>
          </cell>
        </row>
        <row r="373">
          <cell r="A373">
            <v>848</v>
          </cell>
          <cell r="B373" t="str">
            <v>30X30 Standard CSR/100</v>
          </cell>
        </row>
        <row r="374">
          <cell r="A374" t="str">
            <v>848SL</v>
          </cell>
          <cell r="B374" t="str">
            <v>Shpr Lbl/Barcode for 848</v>
          </cell>
        </row>
        <row r="375">
          <cell r="A375">
            <v>849</v>
          </cell>
          <cell r="B375" t="str">
            <v>36X36 Standard CSR/100</v>
          </cell>
        </row>
        <row r="376">
          <cell r="A376" t="str">
            <v>849SL</v>
          </cell>
          <cell r="B376" t="str">
            <v>Shpr Lbl/Barcode for 849</v>
          </cell>
        </row>
        <row r="377">
          <cell r="A377">
            <v>850</v>
          </cell>
          <cell r="B377" t="str">
            <v>12X12 Standard CSR/1000</v>
          </cell>
        </row>
        <row r="378">
          <cell r="A378" t="str">
            <v>850SL</v>
          </cell>
          <cell r="B378" t="str">
            <v>Shpr Lbl/Barcode for 850</v>
          </cell>
        </row>
        <row r="379">
          <cell r="A379">
            <v>851</v>
          </cell>
          <cell r="B379" t="str">
            <v>15X15 Standard CSR/500</v>
          </cell>
        </row>
        <row r="380">
          <cell r="A380" t="str">
            <v>851SL</v>
          </cell>
          <cell r="B380" t="str">
            <v>Shpr Lbl/Barcode for 851</v>
          </cell>
        </row>
        <row r="381">
          <cell r="A381">
            <v>852</v>
          </cell>
          <cell r="B381" t="str">
            <v>20X20 Standard CSR/500</v>
          </cell>
        </row>
        <row r="382">
          <cell r="A382" t="str">
            <v>852SL</v>
          </cell>
          <cell r="B382" t="str">
            <v>Shpr Lbl/Barcode for 852</v>
          </cell>
        </row>
        <row r="383">
          <cell r="A383">
            <v>853</v>
          </cell>
          <cell r="B383" t="str">
            <v>24X24 Standard CSR/500</v>
          </cell>
        </row>
        <row r="384">
          <cell r="A384" t="str">
            <v>853SL</v>
          </cell>
          <cell r="B384" t="str">
            <v>Shpr Lbl/Barcode for 853</v>
          </cell>
        </row>
        <row r="385">
          <cell r="A385">
            <v>854</v>
          </cell>
          <cell r="B385" t="str">
            <v>30X30 Standard CSR/250</v>
          </cell>
        </row>
        <row r="386">
          <cell r="A386" t="str">
            <v>854SL</v>
          </cell>
          <cell r="B386" t="str">
            <v>Shpr Lbl/Barcode for 854</v>
          </cell>
        </row>
        <row r="387">
          <cell r="A387">
            <v>855</v>
          </cell>
          <cell r="B387" t="str">
            <v>36X36 Standard CSR/250</v>
          </cell>
        </row>
        <row r="388">
          <cell r="A388" t="str">
            <v>855SL</v>
          </cell>
          <cell r="B388" t="str">
            <v>Shpr Lbl/Barcode for 855</v>
          </cell>
        </row>
        <row r="389">
          <cell r="A389">
            <v>856</v>
          </cell>
          <cell r="B389" t="str">
            <v>40X40 Standard CSR/250</v>
          </cell>
        </row>
        <row r="390">
          <cell r="A390" t="str">
            <v>856SL</v>
          </cell>
          <cell r="B390" t="str">
            <v>Shpr Lbl/Barcode for 856</v>
          </cell>
        </row>
        <row r="391">
          <cell r="A391">
            <v>857</v>
          </cell>
          <cell r="B391" t="str">
            <v>45X45 Standard CSR/250</v>
          </cell>
        </row>
        <row r="392">
          <cell r="A392" t="str">
            <v>857SL</v>
          </cell>
          <cell r="B392" t="str">
            <v>Shpr Lbl/Barcode for 857</v>
          </cell>
        </row>
        <row r="393">
          <cell r="A393">
            <v>858</v>
          </cell>
          <cell r="B393" t="str">
            <v>54X54 Standard CSR/100</v>
          </cell>
        </row>
        <row r="394">
          <cell r="A394" t="str">
            <v>858SL</v>
          </cell>
          <cell r="B394" t="str">
            <v>Shpr Lbl/Barcode for 858</v>
          </cell>
        </row>
        <row r="395">
          <cell r="A395">
            <v>901</v>
          </cell>
          <cell r="B395" t="str">
            <v>Post Mortem Bag White/10</v>
          </cell>
        </row>
        <row r="396">
          <cell r="A396" t="str">
            <v>901D</v>
          </cell>
          <cell r="B396" t="str">
            <v>Wht Body Bag to repack</v>
          </cell>
        </row>
        <row r="397">
          <cell r="A397">
            <v>902</v>
          </cell>
          <cell r="B397" t="str">
            <v>Post Mortem Bag Yellow/10</v>
          </cell>
        </row>
        <row r="398">
          <cell r="A398" t="str">
            <v>902CC</v>
          </cell>
          <cell r="B398" t="str">
            <v>CONTENT CARD W/BARCODE</v>
          </cell>
        </row>
        <row r="399">
          <cell r="A399" t="str">
            <v>902D</v>
          </cell>
          <cell r="B399" t="str">
            <v>Ylw Body Bag Repack P/Bag</v>
          </cell>
        </row>
        <row r="400">
          <cell r="A400" t="str">
            <v>902SL</v>
          </cell>
          <cell r="B400" t="str">
            <v>SHIPPER CTN L/W/BARCODE</v>
          </cell>
        </row>
        <row r="401">
          <cell r="A401">
            <v>903</v>
          </cell>
          <cell r="B401" t="str">
            <v>Post Mortem Kit Yellow/10</v>
          </cell>
        </row>
        <row r="402">
          <cell r="A402" t="str">
            <v>903CP</v>
          </cell>
          <cell r="B402" t="str">
            <v>Comps for Ylw Cad Bags</v>
          </cell>
        </row>
        <row r="403">
          <cell r="A403">
            <v>904</v>
          </cell>
          <cell r="B403" t="str">
            <v>Post Mortem Kit White/10</v>
          </cell>
        </row>
        <row r="404">
          <cell r="A404">
            <v>905</v>
          </cell>
          <cell r="B404" t="str">
            <v>Infant Post Mortem Bag/10</v>
          </cell>
        </row>
        <row r="405">
          <cell r="A405" t="str">
            <v>905D</v>
          </cell>
          <cell r="B405" t="str">
            <v>Infant Post Mortem Bag</v>
          </cell>
        </row>
        <row r="406">
          <cell r="A406">
            <v>907</v>
          </cell>
          <cell r="B406" t="str">
            <v>Post.Mort Bag Cvd Zppr/10</v>
          </cell>
        </row>
        <row r="407">
          <cell r="A407" t="str">
            <v>907CC</v>
          </cell>
          <cell r="B407" t="str">
            <v>5"X8I/2" CONT CARD</v>
          </cell>
        </row>
        <row r="408">
          <cell r="A408" t="str">
            <v>907D</v>
          </cell>
          <cell r="B408" t="str">
            <v>Wht Body Bag w/cvd zipper</v>
          </cell>
        </row>
        <row r="409">
          <cell r="A409">
            <v>908</v>
          </cell>
          <cell r="B409" t="str">
            <v>Pst.Mrt Kit Wt w/Cvd Z/10</v>
          </cell>
        </row>
        <row r="410">
          <cell r="A410" t="str">
            <v>908IB</v>
          </cell>
          <cell r="B410" t="str">
            <v>Ingram Bell Comp</v>
          </cell>
        </row>
        <row r="411">
          <cell r="A411">
            <v>910</v>
          </cell>
          <cell r="B411" t="str">
            <v>Post Mortem Bag White/10</v>
          </cell>
        </row>
        <row r="412">
          <cell r="A412">
            <v>911</v>
          </cell>
          <cell r="B412" t="str">
            <v>Heavy-Duty Body Bag /10</v>
          </cell>
        </row>
        <row r="413">
          <cell r="A413" t="str">
            <v>911BG</v>
          </cell>
          <cell r="B413" t="str">
            <v>Subassembly for 911</v>
          </cell>
        </row>
        <row r="414">
          <cell r="A414" t="str">
            <v>911D</v>
          </cell>
          <cell r="B414" t="str">
            <v>Heavy Duty P.Mortem 36x90</v>
          </cell>
        </row>
        <row r="415">
          <cell r="A415" t="str">
            <v>911L</v>
          </cell>
          <cell r="B415" t="str">
            <v>Precaution Label</v>
          </cell>
        </row>
        <row r="416">
          <cell r="A416" t="str">
            <v>911SC</v>
          </cell>
          <cell r="B416" t="str">
            <v>Unprinted Carton</v>
          </cell>
        </row>
        <row r="417">
          <cell r="A417">
            <v>912</v>
          </cell>
          <cell r="B417" t="str">
            <v>Heavy Duty Body Bag/10</v>
          </cell>
        </row>
        <row r="418">
          <cell r="A418">
            <v>913</v>
          </cell>
          <cell r="B418" t="str">
            <v>XLge S/Kit/w/PMbag str/10</v>
          </cell>
        </row>
        <row r="419">
          <cell r="A419" t="str">
            <v>913I</v>
          </cell>
          <cell r="B419" t="str">
            <v>INSTRUCTION SHEET FOR 913</v>
          </cell>
        </row>
        <row r="420">
          <cell r="A420" t="str">
            <v>994SL</v>
          </cell>
          <cell r="B420" t="str">
            <v>OUTER CTN LABEL W/BARCODE</v>
          </cell>
        </row>
        <row r="421">
          <cell r="A421" t="str">
            <v>995SL</v>
          </cell>
          <cell r="B421" t="str">
            <v>Shppr Lbl/barcode for 995</v>
          </cell>
        </row>
        <row r="422">
          <cell r="A422">
            <v>1002</v>
          </cell>
          <cell r="B422" t="str">
            <v>10X22 CSR/1000</v>
          </cell>
        </row>
        <row r="423">
          <cell r="A423" t="str">
            <v>1002SL</v>
          </cell>
          <cell r="B423" t="str">
            <v>Shipper Label for 1002</v>
          </cell>
        </row>
        <row r="424">
          <cell r="A424" t="str">
            <v>1020A</v>
          </cell>
          <cell r="B424" t="str">
            <v>Shp/Blt Oper. Scissor Cvd</v>
          </cell>
        </row>
        <row r="425">
          <cell r="A425">
            <v>1068</v>
          </cell>
          <cell r="B425" t="str">
            <v>4x4 Non-Adhering Pad</v>
          </cell>
        </row>
        <row r="426">
          <cell r="A426">
            <v>1071</v>
          </cell>
          <cell r="B426" t="str">
            <v>Ster ER Laceration Kit/20</v>
          </cell>
        </row>
        <row r="427">
          <cell r="A427" t="str">
            <v>1071CC</v>
          </cell>
          <cell r="B427" t="str">
            <v>Cont.Crd/Barcode for 1071</v>
          </cell>
        </row>
        <row r="428">
          <cell r="A428">
            <v>1102</v>
          </cell>
          <cell r="B428" t="str">
            <v>Ster TPN Central L/Kit/20</v>
          </cell>
        </row>
        <row r="429">
          <cell r="A429" t="str">
            <v>1102SL</v>
          </cell>
          <cell r="B429" t="str">
            <v>Shpr Lbl/Barcode for 1102</v>
          </cell>
        </row>
        <row r="430">
          <cell r="A430" t="str">
            <v>1104-1</v>
          </cell>
          <cell r="B430" t="str">
            <v>UNPTD CTN 275 TEST</v>
          </cell>
        </row>
        <row r="431">
          <cell r="A431">
            <v>1110</v>
          </cell>
          <cell r="B431" t="str">
            <v>Ster Suturing Tray/20cs</v>
          </cell>
        </row>
        <row r="432">
          <cell r="A432" t="str">
            <v>1110A</v>
          </cell>
          <cell r="B432" t="str">
            <v>FOAM BLOCK N/COUNTER</v>
          </cell>
        </row>
        <row r="433">
          <cell r="A433" t="str">
            <v>1110B</v>
          </cell>
          <cell r="B433" t="str">
            <v>SAF-T- CLIK N/HOLDER</v>
          </cell>
        </row>
        <row r="434">
          <cell r="A434" t="str">
            <v>1110C</v>
          </cell>
          <cell r="B434" t="str">
            <v>SIMMS NEEDLE PRO ASSEMBLY</v>
          </cell>
        </row>
        <row r="435">
          <cell r="A435" t="str">
            <v>1110D</v>
          </cell>
          <cell r="B435" t="str">
            <v>SIMMS NEDDLE PRO 18GX11/2</v>
          </cell>
        </row>
        <row r="436">
          <cell r="A436">
            <v>1112</v>
          </cell>
          <cell r="B436" t="str">
            <v>Unprintd Shipper Ctn(111)</v>
          </cell>
        </row>
        <row r="437">
          <cell r="A437">
            <v>1123</v>
          </cell>
          <cell r="B437" t="str">
            <v>2x2 Nu Gauze Sponges</v>
          </cell>
        </row>
        <row r="438">
          <cell r="A438">
            <v>1124</v>
          </cell>
          <cell r="B438" t="str">
            <v>Moore#50903 N/S Kit/25</v>
          </cell>
        </row>
        <row r="439">
          <cell r="A439" t="str">
            <v>1124A</v>
          </cell>
          <cell r="B439" t="str">
            <v>12"x18" Red Biohazard Bag</v>
          </cell>
        </row>
        <row r="440">
          <cell r="A440" t="str">
            <v>1124C</v>
          </cell>
          <cell r="B440" t="str">
            <v>Content Card 50903PK/1124</v>
          </cell>
        </row>
        <row r="441">
          <cell r="A441" t="str">
            <v>1124L</v>
          </cell>
          <cell r="B441" t="str">
            <v>Shipper Label 50903(1124)</v>
          </cell>
        </row>
        <row r="442">
          <cell r="A442">
            <v>1126</v>
          </cell>
          <cell r="B442" t="str">
            <v>Ster Suture Tray/20/CS</v>
          </cell>
        </row>
        <row r="443">
          <cell r="A443">
            <v>1134</v>
          </cell>
          <cell r="B443" t="str">
            <v>Ster Amnio Kit/20</v>
          </cell>
        </row>
        <row r="444">
          <cell r="A444" t="str">
            <v>1134A</v>
          </cell>
          <cell r="B444" t="str">
            <v>18"x26" Drape w/6" Fen</v>
          </cell>
        </row>
        <row r="445">
          <cell r="A445" t="str">
            <v>1134B</v>
          </cell>
          <cell r="B445" t="str">
            <v>Angled Spongestick</v>
          </cell>
        </row>
        <row r="446">
          <cell r="A446" t="str">
            <v>1134CC</v>
          </cell>
          <cell r="B446" t="str">
            <v>Cont crd/barcode for1134</v>
          </cell>
        </row>
        <row r="447">
          <cell r="A447">
            <v>1135</v>
          </cell>
          <cell r="B447" t="str">
            <v>Ster Circumcision Tray/20</v>
          </cell>
        </row>
        <row r="448">
          <cell r="A448" t="str">
            <v>1135A</v>
          </cell>
          <cell r="B448" t="str">
            <v>Metzembaum Scissor</v>
          </cell>
        </row>
        <row r="449">
          <cell r="A449" t="str">
            <v>1135B</v>
          </cell>
          <cell r="B449" t="str">
            <v>#5 Probe</v>
          </cell>
        </row>
        <row r="450">
          <cell r="A450">
            <v>1138</v>
          </cell>
          <cell r="B450" t="str">
            <v>Ster Thorocotomy Tray/20C</v>
          </cell>
        </row>
        <row r="451">
          <cell r="A451" t="str">
            <v>1138A</v>
          </cell>
          <cell r="B451" t="str">
            <v>6-1/4" STR ROCHESTER PEAN</v>
          </cell>
        </row>
        <row r="452">
          <cell r="A452" t="str">
            <v>1138B</v>
          </cell>
          <cell r="B452" t="str">
            <v>8"CUR ROCHESTER PEAN</v>
          </cell>
        </row>
        <row r="453">
          <cell r="A453">
            <v>1145</v>
          </cell>
          <cell r="B453" t="str">
            <v>Ster Dry Skin Prep T/20</v>
          </cell>
        </row>
        <row r="454">
          <cell r="A454">
            <v>1147</v>
          </cell>
          <cell r="B454" t="str">
            <v>Ster Dress Change Tray/30</v>
          </cell>
        </row>
        <row r="455">
          <cell r="A455" t="str">
            <v>1147SL</v>
          </cell>
          <cell r="B455" t="str">
            <v>Shp lbl/barcode for 1147</v>
          </cell>
        </row>
        <row r="456">
          <cell r="A456">
            <v>1148</v>
          </cell>
          <cell r="B456" t="str">
            <v>Ster Dress Change Tray/20</v>
          </cell>
        </row>
        <row r="457">
          <cell r="A457">
            <v>1149</v>
          </cell>
          <cell r="B457" t="str">
            <v>Ster ER Laceration T/20</v>
          </cell>
        </row>
        <row r="458">
          <cell r="A458">
            <v>1158</v>
          </cell>
          <cell r="B458" t="str">
            <v>Ster Laceration Tray/20</v>
          </cell>
        </row>
        <row r="459">
          <cell r="A459">
            <v>1164</v>
          </cell>
          <cell r="B459" t="str">
            <v>Printd Shipper(1160/1150)</v>
          </cell>
        </row>
        <row r="460">
          <cell r="A460">
            <v>1167</v>
          </cell>
          <cell r="B460" t="str">
            <v>8X8 CSR Wrap/1250</v>
          </cell>
        </row>
        <row r="461">
          <cell r="A461">
            <v>1169</v>
          </cell>
          <cell r="B461" t="str">
            <v>Ster TPN/CVP Dress C Ty20</v>
          </cell>
        </row>
        <row r="462">
          <cell r="A462" t="str">
            <v>1169CC</v>
          </cell>
          <cell r="B462" t="str">
            <v>Cnt crd/barcode for1169</v>
          </cell>
        </row>
        <row r="463">
          <cell r="A463" t="str">
            <v>1169SL</v>
          </cell>
          <cell r="B463" t="str">
            <v>Shpr lbl/barcode for 1169</v>
          </cell>
        </row>
        <row r="464">
          <cell r="A464">
            <v>1182</v>
          </cell>
          <cell r="B464" t="str">
            <v>Ster Gen Instrument T/20</v>
          </cell>
        </row>
        <row r="465">
          <cell r="A465" t="str">
            <v>1182SL</v>
          </cell>
          <cell r="B465" t="str">
            <v>Shpr lbl/barcode for1182</v>
          </cell>
        </row>
        <row r="466">
          <cell r="A466">
            <v>1183</v>
          </cell>
          <cell r="B466" t="str">
            <v>Lg Rayon Tipped Aplicator</v>
          </cell>
        </row>
        <row r="467">
          <cell r="A467">
            <v>1186</v>
          </cell>
          <cell r="B467" t="str">
            <v>Ster Tpn/Cvp Dress Chg/20</v>
          </cell>
        </row>
        <row r="468">
          <cell r="A468">
            <v>1187</v>
          </cell>
          <cell r="B468" t="str">
            <v>Shipper Label (1185)</v>
          </cell>
        </row>
        <row r="469">
          <cell r="A469">
            <v>1188</v>
          </cell>
          <cell r="B469" t="str">
            <v>Ster Pressure Sore T/20</v>
          </cell>
        </row>
        <row r="470">
          <cell r="A470" t="str">
            <v>1188A</v>
          </cell>
          <cell r="B470" t="str">
            <v>Transfer Blue Forcep</v>
          </cell>
        </row>
        <row r="471">
          <cell r="A471" t="str">
            <v>1188B</v>
          </cell>
          <cell r="B471" t="str">
            <v>100CC B/SALINE W/S/TOP</v>
          </cell>
        </row>
        <row r="472">
          <cell r="A472" t="str">
            <v>1188R</v>
          </cell>
          <cell r="B472" t="str">
            <v>Red Transfer Forcep</v>
          </cell>
        </row>
        <row r="473">
          <cell r="A473" t="str">
            <v>1188SL</v>
          </cell>
          <cell r="B473" t="str">
            <v>shpr lbl/barcode for1188</v>
          </cell>
        </row>
        <row r="474">
          <cell r="A474">
            <v>1191</v>
          </cell>
          <cell r="B474" t="str">
            <v>Ster CPT Dress Chg Try/50</v>
          </cell>
        </row>
        <row r="475">
          <cell r="A475" t="str">
            <v>1191SL</v>
          </cell>
          <cell r="B475" t="str">
            <v>Shpr lbl/barcode for 1191</v>
          </cell>
        </row>
        <row r="476">
          <cell r="A476">
            <v>1192</v>
          </cell>
          <cell r="B476" t="str">
            <v>Ster Wound Mgmt Tray/20</v>
          </cell>
        </row>
        <row r="477">
          <cell r="A477" t="str">
            <v>1192A</v>
          </cell>
          <cell r="B477" t="str">
            <v>60cc Piston Syringe</v>
          </cell>
        </row>
        <row r="478">
          <cell r="A478">
            <v>1200</v>
          </cell>
          <cell r="B478" t="str">
            <v>Ster ER Laceration Try/20</v>
          </cell>
        </row>
        <row r="479">
          <cell r="A479">
            <v>1243</v>
          </cell>
          <cell r="B479" t="str">
            <v>Micropore Tape 1/2x24</v>
          </cell>
        </row>
        <row r="480">
          <cell r="A480">
            <v>1281</v>
          </cell>
          <cell r="B480" t="str">
            <v>2x2 Pre Split Gauze</v>
          </cell>
        </row>
        <row r="481">
          <cell r="A481">
            <v>1283</v>
          </cell>
          <cell r="B481" t="str">
            <v>2x24 Durapore Tape(#1538)</v>
          </cell>
        </row>
        <row r="482">
          <cell r="A482">
            <v>1297</v>
          </cell>
          <cell r="B482" t="str">
            <v>Ster Dress Chg Tray/20</v>
          </cell>
        </row>
        <row r="483">
          <cell r="A483" t="str">
            <v>1297A</v>
          </cell>
          <cell r="B483" t="str">
            <v>STER 3" C/T APPLICATOR2PK</v>
          </cell>
        </row>
        <row r="484">
          <cell r="A484" t="str">
            <v>1330KR</v>
          </cell>
          <cell r="B484" t="str">
            <v>7mm Str Curette K-resin</v>
          </cell>
        </row>
        <row r="485">
          <cell r="A485" t="str">
            <v>1331K</v>
          </cell>
          <cell r="B485" t="str">
            <v>7mm Curette Blank K-resin</v>
          </cell>
        </row>
        <row r="486">
          <cell r="A486" t="str">
            <v>1331KD</v>
          </cell>
          <cell r="B486" t="str">
            <v>7MM Curette Deflashed</v>
          </cell>
        </row>
        <row r="487">
          <cell r="A487">
            <v>1338</v>
          </cell>
          <cell r="B487" t="str">
            <v>Bulk 7mm Str Curette/500</v>
          </cell>
        </row>
        <row r="488">
          <cell r="A488" t="str">
            <v>1338SL</v>
          </cell>
          <cell r="B488" t="str">
            <v>shipper lable for 1338</v>
          </cell>
        </row>
        <row r="489">
          <cell r="A489" t="str">
            <v>1340KR</v>
          </cell>
          <cell r="B489" t="str">
            <v>8mm Str Curette K-resin</v>
          </cell>
        </row>
        <row r="490">
          <cell r="A490" t="str">
            <v>1341K</v>
          </cell>
          <cell r="B490" t="str">
            <v>8mm Curette Blank K-resin</v>
          </cell>
        </row>
        <row r="491">
          <cell r="A491" t="str">
            <v>1341KD</v>
          </cell>
          <cell r="B491" t="str">
            <v>8MM Curette Deflashed</v>
          </cell>
        </row>
        <row r="492">
          <cell r="A492">
            <v>1348</v>
          </cell>
          <cell r="B492" t="str">
            <v>Bulk 8mm Str Curette/500</v>
          </cell>
        </row>
        <row r="493">
          <cell r="A493" t="str">
            <v>1348SL</v>
          </cell>
          <cell r="B493" t="str">
            <v>shipper label</v>
          </cell>
        </row>
        <row r="494">
          <cell r="A494" t="str">
            <v>1350KR</v>
          </cell>
          <cell r="B494" t="str">
            <v>9mm Str Curette K-resin</v>
          </cell>
        </row>
        <row r="495">
          <cell r="A495" t="str">
            <v>1351K</v>
          </cell>
          <cell r="B495" t="str">
            <v>9mm Curette Blank K-resin</v>
          </cell>
        </row>
        <row r="496">
          <cell r="A496" t="str">
            <v>1351KD</v>
          </cell>
          <cell r="B496" t="str">
            <v>9MM Curette Deflashed</v>
          </cell>
        </row>
        <row r="497">
          <cell r="A497">
            <v>1358</v>
          </cell>
          <cell r="B497" t="str">
            <v>Bulk 9mm Str Curette/500</v>
          </cell>
        </row>
        <row r="498">
          <cell r="A498" t="str">
            <v>1358SL</v>
          </cell>
          <cell r="B498" t="str">
            <v>shpr lbl/barcode for1358</v>
          </cell>
        </row>
        <row r="499">
          <cell r="A499" t="str">
            <v>1360KR</v>
          </cell>
          <cell r="B499" t="str">
            <v>10mm Str Curette K-resin</v>
          </cell>
        </row>
        <row r="500">
          <cell r="A500" t="str">
            <v>1361K</v>
          </cell>
          <cell r="B500" t="str">
            <v>10mm Curette Blnk K-resin</v>
          </cell>
        </row>
        <row r="501">
          <cell r="A501" t="str">
            <v>1361KD</v>
          </cell>
          <cell r="B501" t="str">
            <v>10MM Curette Deflashed</v>
          </cell>
        </row>
        <row r="502">
          <cell r="A502">
            <v>1368</v>
          </cell>
          <cell r="B502" t="str">
            <v>Bulk 10mm Str Curette/500</v>
          </cell>
        </row>
        <row r="503">
          <cell r="A503" t="str">
            <v>1368SL</v>
          </cell>
          <cell r="B503" t="str">
            <v>shipper labels</v>
          </cell>
        </row>
        <row r="504">
          <cell r="A504" t="str">
            <v>1370KR</v>
          </cell>
          <cell r="B504" t="str">
            <v>11mm Str Curette K-resin</v>
          </cell>
        </row>
        <row r="505">
          <cell r="A505" t="str">
            <v>1371K</v>
          </cell>
          <cell r="B505" t="str">
            <v>11mm Curette Blnk K-resin</v>
          </cell>
        </row>
        <row r="506">
          <cell r="A506" t="str">
            <v>1371KD</v>
          </cell>
          <cell r="B506" t="str">
            <v>11MM Curette Deflashed</v>
          </cell>
        </row>
        <row r="507">
          <cell r="A507">
            <v>1378</v>
          </cell>
          <cell r="B507" t="str">
            <v>Bulk 11mm Str Curette/250</v>
          </cell>
        </row>
        <row r="508">
          <cell r="A508" t="str">
            <v>1378SL</v>
          </cell>
          <cell r="B508" t="str">
            <v>shipper labels</v>
          </cell>
        </row>
        <row r="509">
          <cell r="A509" t="str">
            <v>1380KR</v>
          </cell>
          <cell r="B509" t="str">
            <v>12mm Str Curette K-resin</v>
          </cell>
        </row>
        <row r="510">
          <cell r="A510" t="str">
            <v>1381K</v>
          </cell>
          <cell r="B510" t="str">
            <v>12mm Curette Blnk K-resin</v>
          </cell>
        </row>
        <row r="511">
          <cell r="A511" t="str">
            <v>1381KD</v>
          </cell>
          <cell r="B511" t="str">
            <v>12MM Curette Deflashed</v>
          </cell>
        </row>
        <row r="512">
          <cell r="A512">
            <v>1388</v>
          </cell>
          <cell r="B512" t="str">
            <v>Bulk 12mm Str Curette/250</v>
          </cell>
        </row>
        <row r="513">
          <cell r="A513" t="str">
            <v>1388SL</v>
          </cell>
          <cell r="B513" t="str">
            <v>shipper labels</v>
          </cell>
        </row>
        <row r="514">
          <cell r="A514">
            <v>1391</v>
          </cell>
          <cell r="B514" t="str">
            <v>14mm St Blank Curette</v>
          </cell>
        </row>
        <row r="515">
          <cell r="A515" t="str">
            <v>1391C</v>
          </cell>
          <cell r="B515" t="str">
            <v>14MM Curette Cut Opening</v>
          </cell>
        </row>
        <row r="516">
          <cell r="A516">
            <v>1392</v>
          </cell>
          <cell r="B516" t="str">
            <v>14mm Strght PVC Curette</v>
          </cell>
        </row>
        <row r="517">
          <cell r="A517">
            <v>1398</v>
          </cell>
          <cell r="B517" t="str">
            <v>Bulk 14mm Str Curette/250</v>
          </cell>
        </row>
        <row r="518">
          <cell r="A518" t="str">
            <v>1398SL</v>
          </cell>
          <cell r="B518" t="str">
            <v>shipper labels</v>
          </cell>
        </row>
        <row r="519">
          <cell r="A519" t="str">
            <v>1401A</v>
          </cell>
          <cell r="B519" t="str">
            <v>DYNAFLEX G2755 RESIN</v>
          </cell>
        </row>
        <row r="520">
          <cell r="A520" t="str">
            <v>1401K</v>
          </cell>
          <cell r="B520" t="str">
            <v>KRATON G2705 RESIN PELLET</v>
          </cell>
        </row>
        <row r="521">
          <cell r="A521" t="str">
            <v>1401KC</v>
          </cell>
          <cell r="B521" t="str">
            <v>RED COLORANT #G2705KRATON</v>
          </cell>
        </row>
        <row r="522">
          <cell r="A522" t="str">
            <v>1401PP</v>
          </cell>
          <cell r="B522" t="str">
            <v>POLYPROPY/N0 72053</v>
          </cell>
        </row>
        <row r="523">
          <cell r="A523" t="str">
            <v>1408IS</v>
          </cell>
          <cell r="B523" t="str">
            <v>INSTR SHEET F/R/KR/BULBS</v>
          </cell>
        </row>
        <row r="524">
          <cell r="A524" t="str">
            <v>1410A</v>
          </cell>
          <cell r="B524" t="str">
            <v>Rounded Top 1oz BulbNoLgo</v>
          </cell>
        </row>
        <row r="525">
          <cell r="A525" t="str">
            <v>1410B</v>
          </cell>
          <cell r="B525" t="str">
            <v>Assembld 1oz Bulb Syringe</v>
          </cell>
        </row>
        <row r="526">
          <cell r="A526" t="str">
            <v>1410T</v>
          </cell>
          <cell r="B526" t="str">
            <v>Bottom tip for 1oz bulb</v>
          </cell>
        </row>
        <row r="527">
          <cell r="A527" t="str">
            <v>1411A</v>
          </cell>
          <cell r="B527" t="str">
            <v>9 MIL SURLYN FILM G/2102</v>
          </cell>
        </row>
        <row r="528">
          <cell r="A528">
            <v>1412</v>
          </cell>
          <cell r="B528" t="str">
            <v>12 Mil Alloy (Z 2246)</v>
          </cell>
        </row>
        <row r="529">
          <cell r="A529" t="str">
            <v>1412A</v>
          </cell>
          <cell r="B529" t="str">
            <v>8 Mil Nylon</v>
          </cell>
        </row>
        <row r="530">
          <cell r="A530">
            <v>1413</v>
          </cell>
          <cell r="B530" t="str">
            <v>10 Mil Nylon for Bulb</v>
          </cell>
        </row>
        <row r="531">
          <cell r="A531" t="str">
            <v>1420AN</v>
          </cell>
          <cell r="B531" t="str">
            <v>2oz Rounded Top w/o logo</v>
          </cell>
        </row>
        <row r="532">
          <cell r="A532" t="str">
            <v>1420BN</v>
          </cell>
          <cell r="B532" t="str">
            <v>2oz Blb Syr w/o logo assm</v>
          </cell>
        </row>
        <row r="533">
          <cell r="A533" t="str">
            <v>1420PB</v>
          </cell>
          <cell r="B533" t="str">
            <v>PVC Resin Blue-#6711-34A</v>
          </cell>
        </row>
        <row r="534">
          <cell r="A534" t="str">
            <v>1420T</v>
          </cell>
          <cell r="B534" t="str">
            <v>2oz Bottom tip w/logo</v>
          </cell>
        </row>
        <row r="535">
          <cell r="A535" t="str">
            <v>1425A</v>
          </cell>
          <cell r="B535" t="str">
            <v>Shipper label GM 25-402</v>
          </cell>
        </row>
        <row r="536">
          <cell r="A536" t="str">
            <v>1425S</v>
          </cell>
          <cell r="B536" t="str">
            <v>GM#25-402 Shipper Label</v>
          </cell>
        </row>
        <row r="537">
          <cell r="A537">
            <v>1426</v>
          </cell>
          <cell r="B537" t="str">
            <v>GM25-402 Ster 2oz Bulb/50</v>
          </cell>
        </row>
        <row r="538">
          <cell r="A538">
            <v>1427</v>
          </cell>
          <cell r="B538" t="str">
            <v>Dyna#4910 Ster 2oz Syr/50</v>
          </cell>
        </row>
        <row r="539">
          <cell r="A539" t="str">
            <v>1427A</v>
          </cell>
          <cell r="B539" t="str">
            <v>Outer Ctn Label Dynarex</v>
          </cell>
        </row>
        <row r="540">
          <cell r="A540">
            <v>1429</v>
          </cell>
          <cell r="B540" t="str">
            <v>Coprex Ster 2oz Bulb/50CS</v>
          </cell>
        </row>
        <row r="541">
          <cell r="A541" t="str">
            <v>1430AN</v>
          </cell>
          <cell r="B541" t="str">
            <v>3oz Rounded Top w/o logo</v>
          </cell>
        </row>
        <row r="542">
          <cell r="A542" t="str">
            <v>1430BN</v>
          </cell>
          <cell r="B542" t="str">
            <v>3oz Bulb Syr. no logo/Asm</v>
          </cell>
        </row>
        <row r="543">
          <cell r="A543" t="str">
            <v>1430PV</v>
          </cell>
          <cell r="B543" t="str">
            <v>Green PVC Resin 5311-38</v>
          </cell>
        </row>
        <row r="544">
          <cell r="A544" t="str">
            <v>1430T</v>
          </cell>
          <cell r="B544" t="str">
            <v>3oz Bottom Tip w/logo</v>
          </cell>
        </row>
        <row r="545">
          <cell r="A545">
            <v>1439</v>
          </cell>
          <cell r="B545" t="str">
            <v>Unprintd Shippr Ctn/Bulbs</v>
          </cell>
        </row>
        <row r="546">
          <cell r="A546">
            <v>1441</v>
          </cell>
          <cell r="B546" t="str">
            <v>#1538 Durapore Tape 1x36"</v>
          </cell>
        </row>
        <row r="547">
          <cell r="A547">
            <v>1442</v>
          </cell>
          <cell r="B547" t="str">
            <v>12x6x18 Red P.E Bag w/tie</v>
          </cell>
        </row>
        <row r="548">
          <cell r="A548">
            <v>1443</v>
          </cell>
          <cell r="B548" t="str">
            <v>Ster Dress Change Tray/20</v>
          </cell>
        </row>
        <row r="549">
          <cell r="A549" t="str">
            <v>1443SL</v>
          </cell>
          <cell r="B549" t="str">
            <v>OUTER CTN LABEL W/BARCODE</v>
          </cell>
        </row>
        <row r="550">
          <cell r="A550">
            <v>1444</v>
          </cell>
          <cell r="B550" t="str">
            <v>Allg#8794-1 2ozBlbSyr/200</v>
          </cell>
        </row>
        <row r="551">
          <cell r="A551" t="str">
            <v>1444SL</v>
          </cell>
          <cell r="B551" t="str">
            <v>shpr lbl for 144</v>
          </cell>
        </row>
        <row r="552">
          <cell r="A552">
            <v>1446</v>
          </cell>
          <cell r="B552" t="str">
            <v>#1530 Micropore Tape 1x36</v>
          </cell>
        </row>
        <row r="553">
          <cell r="A553">
            <v>1447</v>
          </cell>
          <cell r="B553" t="str">
            <v>#1527Transpore Tape3/4x54</v>
          </cell>
        </row>
        <row r="554">
          <cell r="A554">
            <v>1448</v>
          </cell>
          <cell r="B554" t="str">
            <v>Medl#03239 2ozBlb Syr/200</v>
          </cell>
        </row>
        <row r="555">
          <cell r="A555" t="str">
            <v>1448L</v>
          </cell>
          <cell r="B555" t="str">
            <v>Outer Carton Label</v>
          </cell>
        </row>
        <row r="556">
          <cell r="A556" t="str">
            <v>1448SL</v>
          </cell>
          <cell r="B556" t="str">
            <v>shpr lbl for 1448</v>
          </cell>
        </row>
        <row r="557">
          <cell r="A557">
            <v>1454</v>
          </cell>
          <cell r="B557" t="str">
            <v>Alleg#8799 3ozBlb Syr/100</v>
          </cell>
        </row>
        <row r="558">
          <cell r="A558" t="str">
            <v>1454SL</v>
          </cell>
          <cell r="B558" t="str">
            <v>shpr lbl for 1454</v>
          </cell>
        </row>
        <row r="559">
          <cell r="A559">
            <v>1464</v>
          </cell>
          <cell r="B559" t="str">
            <v>Allg#65-2177 1 ozBulb/200</v>
          </cell>
        </row>
        <row r="560">
          <cell r="A560" t="str">
            <v>1464SL</v>
          </cell>
          <cell r="B560" t="str">
            <v>shpr lbl for1464</v>
          </cell>
        </row>
        <row r="561">
          <cell r="A561" t="str">
            <v>1480A</v>
          </cell>
          <cell r="B561" t="str">
            <v>ROUND TOP 2OZ KRATON BULB</v>
          </cell>
        </row>
        <row r="562">
          <cell r="A562" t="str">
            <v>1480B</v>
          </cell>
          <cell r="B562" t="str">
            <v>2OZ KRATON BULB SYRINGE</v>
          </cell>
        </row>
        <row r="563">
          <cell r="A563" t="str">
            <v>1480IS</v>
          </cell>
          <cell r="B563" t="str">
            <v>INSTR SHEET F/R/KR/BULB</v>
          </cell>
        </row>
        <row r="564">
          <cell r="A564" t="str">
            <v>1480T</v>
          </cell>
          <cell r="B564" t="str">
            <v>TIP PIECE 2OZ KRATON BULB</v>
          </cell>
        </row>
        <row r="565">
          <cell r="A565" t="str">
            <v>1481A</v>
          </cell>
          <cell r="B565" t="str">
            <v>R/TOP 2OZ K/BLEND B/SYR</v>
          </cell>
        </row>
        <row r="566">
          <cell r="A566" t="str">
            <v>1481B</v>
          </cell>
          <cell r="B566" t="str">
            <v>ASSEM 2OZ K/BLEND B/SYR</v>
          </cell>
        </row>
        <row r="567">
          <cell r="A567" t="str">
            <v>1481T</v>
          </cell>
          <cell r="B567" t="str">
            <v>TIP 2OZ K/BLEND BULB SYR.</v>
          </cell>
        </row>
        <row r="568">
          <cell r="A568" t="str">
            <v>1484I</v>
          </cell>
          <cell r="B568" t="str">
            <v>RESTERIZ/INSTR S/RED/BLB</v>
          </cell>
        </row>
        <row r="569">
          <cell r="A569" t="str">
            <v>1490A</v>
          </cell>
          <cell r="B569" t="str">
            <v>ROUND TOP P/3OZ KRATON B</v>
          </cell>
        </row>
        <row r="570">
          <cell r="A570" t="str">
            <v>1490B</v>
          </cell>
          <cell r="B570" t="str">
            <v>3OZ BULB KRATON SYRINGE</v>
          </cell>
        </row>
        <row r="571">
          <cell r="A571" t="str">
            <v>1490T</v>
          </cell>
          <cell r="B571" t="str">
            <v>TIP PIECE 3OZ KRATON BULB</v>
          </cell>
        </row>
        <row r="572">
          <cell r="A572" t="str">
            <v>1491A</v>
          </cell>
          <cell r="B572" t="str">
            <v>R/TOP 3OZ K/BLEND B/SYR</v>
          </cell>
        </row>
        <row r="573">
          <cell r="A573" t="str">
            <v>1491B</v>
          </cell>
          <cell r="B573" t="str">
            <v>ASSEM 3OZ K/BLEND B/SYR</v>
          </cell>
        </row>
        <row r="574">
          <cell r="A574" t="str">
            <v>1491T</v>
          </cell>
          <cell r="B574" t="str">
            <v>TIP 3OZ K/BLEND B/SYR.</v>
          </cell>
        </row>
        <row r="575">
          <cell r="A575">
            <v>1502</v>
          </cell>
          <cell r="B575" t="str">
            <v>Clr 1/2 Handle w/1/2Fitmt</v>
          </cell>
        </row>
        <row r="576">
          <cell r="A576" t="str">
            <v>1502-2</v>
          </cell>
          <cell r="B576" t="str">
            <v>Clr 1/2 Handle w/1/2Fitmt</v>
          </cell>
        </row>
        <row r="577">
          <cell r="A577" t="str">
            <v>1502A</v>
          </cell>
          <cell r="B577" t="str">
            <v>Clr 1/2 Hndl Sonic Sealed</v>
          </cell>
        </row>
        <row r="578">
          <cell r="A578" t="str">
            <v>1502HF</v>
          </cell>
          <cell r="B578" t="str">
            <v>Clr 1/2 Handle Fitment</v>
          </cell>
        </row>
        <row r="579">
          <cell r="A579" t="str">
            <v>1502TA</v>
          </cell>
          <cell r="B579" t="str">
            <v>Clear 1/2 Tubing Adapter</v>
          </cell>
        </row>
        <row r="580">
          <cell r="A580">
            <v>1506</v>
          </cell>
          <cell r="B580" t="str">
            <v>Bulk 1/2" Adapter/1000</v>
          </cell>
        </row>
        <row r="581">
          <cell r="A581" t="str">
            <v>1506SL</v>
          </cell>
          <cell r="B581" t="str">
            <v>shpr lbl for 1506</v>
          </cell>
        </row>
        <row r="582">
          <cell r="A582">
            <v>1508</v>
          </cell>
          <cell r="B582" t="str">
            <v>Bulk Hndl for 1/2 Tbg/250</v>
          </cell>
        </row>
        <row r="583">
          <cell r="A583" t="str">
            <v>1508SL</v>
          </cell>
          <cell r="B583" t="str">
            <v>shpr lbl for 1508</v>
          </cell>
        </row>
        <row r="584">
          <cell r="A584">
            <v>1509</v>
          </cell>
          <cell r="B584" t="str">
            <v>N/S 1/2" X6' TBG W/HDL/25</v>
          </cell>
        </row>
        <row r="585">
          <cell r="A585">
            <v>1511</v>
          </cell>
          <cell r="B585" t="str">
            <v>Blank Carton for Tubing</v>
          </cell>
        </row>
        <row r="586">
          <cell r="A586">
            <v>1515</v>
          </cell>
          <cell r="B586" t="str">
            <v>O Ring White</v>
          </cell>
        </row>
        <row r="587">
          <cell r="A587" t="str">
            <v>1515KR</v>
          </cell>
          <cell r="B587" t="str">
            <v>Kraton D3202 Resin Pellet</v>
          </cell>
        </row>
        <row r="588">
          <cell r="A588">
            <v>1516</v>
          </cell>
          <cell r="B588" t="str">
            <v>5 Mil Alloy #3-575-04</v>
          </cell>
        </row>
        <row r="589">
          <cell r="A589">
            <v>1517</v>
          </cell>
          <cell r="B589" t="str">
            <v>Assm Mold Hndl w/3/8 fitm</v>
          </cell>
        </row>
        <row r="590">
          <cell r="A590" t="str">
            <v>1517A</v>
          </cell>
          <cell r="B590" t="str">
            <v>SAN Handles Sonic Sealed</v>
          </cell>
        </row>
        <row r="591">
          <cell r="A591" t="str">
            <v>1517HF</v>
          </cell>
          <cell r="B591" t="str">
            <v>3/8 Handle Fitment</v>
          </cell>
        </row>
        <row r="592">
          <cell r="A592" t="str">
            <v>1517HS</v>
          </cell>
          <cell r="B592" t="str">
            <v>Handle Shaft Clear</v>
          </cell>
        </row>
        <row r="593">
          <cell r="A593" t="str">
            <v>1517IR</v>
          </cell>
          <cell r="B593" t="str">
            <v>Insert Ring Clear</v>
          </cell>
        </row>
        <row r="594">
          <cell r="A594" t="str">
            <v>1517S</v>
          </cell>
          <cell r="B594" t="str">
            <v>San (Monsanto No 31)</v>
          </cell>
        </row>
        <row r="595">
          <cell r="A595" t="str">
            <v>1517SC</v>
          </cell>
          <cell r="B595" t="str">
            <v>Slide Collar Clear</v>
          </cell>
        </row>
        <row r="596">
          <cell r="A596" t="str">
            <v>1517TA</v>
          </cell>
          <cell r="B596" t="str">
            <v>Clear 3/8" Tubing Adaptor</v>
          </cell>
        </row>
        <row r="597">
          <cell r="A597">
            <v>1532</v>
          </cell>
          <cell r="B597" t="str">
            <v>Printd Shipper Ctn for153</v>
          </cell>
        </row>
        <row r="598">
          <cell r="A598" t="str">
            <v>1532S</v>
          </cell>
          <cell r="B598" t="str">
            <v>Printed Ctn for 153</v>
          </cell>
        </row>
        <row r="599">
          <cell r="A599">
            <v>1533</v>
          </cell>
          <cell r="B599" t="str">
            <v>Ster 3/8"x6'Tubing/25</v>
          </cell>
        </row>
        <row r="600">
          <cell r="A600" t="str">
            <v>1534R</v>
          </cell>
          <cell r="B600" t="str">
            <v>6'x1/2" Tubing</v>
          </cell>
        </row>
        <row r="601">
          <cell r="A601" t="str">
            <v>1534V</v>
          </cell>
          <cell r="B601" t="str">
            <v>6' x 1/2" Tubing</v>
          </cell>
        </row>
        <row r="602">
          <cell r="A602">
            <v>1535</v>
          </cell>
          <cell r="B602" t="str">
            <v>Ster 3/8INX8IN T/W/O/H/10</v>
          </cell>
        </row>
        <row r="603">
          <cell r="A603" t="str">
            <v>1535MS</v>
          </cell>
          <cell r="B603" t="str">
            <v>Med Dens.Styrene(FINA625)</v>
          </cell>
        </row>
        <row r="604">
          <cell r="A604" t="str">
            <v>1535SL</v>
          </cell>
          <cell r="B604" t="str">
            <v>OUTER SHIPPER LABEL</v>
          </cell>
        </row>
        <row r="605">
          <cell r="A605">
            <v>1536</v>
          </cell>
          <cell r="B605" t="str">
            <v>2"x23"Bands for1/2"tubing</v>
          </cell>
        </row>
        <row r="606">
          <cell r="A606" t="str">
            <v>1536A</v>
          </cell>
          <cell r="B606" t="str">
            <v>2"x21"Band for 3/8"tubing</v>
          </cell>
        </row>
        <row r="607">
          <cell r="A607" t="str">
            <v>1537A</v>
          </cell>
          <cell r="B607" t="str">
            <v>Tubing Tip Protector 1.5"</v>
          </cell>
        </row>
        <row r="608">
          <cell r="A608" t="str">
            <v>1537V</v>
          </cell>
          <cell r="B608" t="str">
            <v>6'x3/8" Tubing</v>
          </cell>
        </row>
        <row r="609">
          <cell r="A609">
            <v>1539</v>
          </cell>
          <cell r="B609" t="str">
            <v>Ster 8'3/8" Tubing /10</v>
          </cell>
        </row>
        <row r="610">
          <cell r="A610" t="str">
            <v>1539A</v>
          </cell>
          <cell r="B610" t="str">
            <v>8'x3/8" I.D. Tbg</v>
          </cell>
        </row>
        <row r="611">
          <cell r="A611" t="str">
            <v>1539SL</v>
          </cell>
          <cell r="B611" t="str">
            <v>OUTER CTN LABEL W/B/CODE</v>
          </cell>
        </row>
        <row r="612">
          <cell r="A612" t="str">
            <v>1539V</v>
          </cell>
          <cell r="B612" t="str">
            <v>8FT X 3/8IN TUB</v>
          </cell>
        </row>
        <row r="613">
          <cell r="A613">
            <v>1540</v>
          </cell>
          <cell r="B613" t="str">
            <v>Ster 10'x3/8"Tubing/10</v>
          </cell>
        </row>
        <row r="614">
          <cell r="A614" t="str">
            <v>1540R</v>
          </cell>
          <cell r="B614" t="str">
            <v>10'x3/8" Tubing</v>
          </cell>
        </row>
        <row r="615">
          <cell r="A615" t="str">
            <v>1540SL</v>
          </cell>
          <cell r="B615" t="str">
            <v>Shpr Lbl/Barcode for 1540</v>
          </cell>
        </row>
        <row r="616">
          <cell r="A616" t="str">
            <v>1540V</v>
          </cell>
          <cell r="B616" t="str">
            <v>10' X 3/8" TUBING</v>
          </cell>
        </row>
        <row r="617">
          <cell r="A617">
            <v>1549</v>
          </cell>
          <cell r="B617" t="str">
            <v>STER 10FT TUBING HFTD/10C</v>
          </cell>
        </row>
        <row r="618">
          <cell r="A618" t="str">
            <v>1549SL</v>
          </cell>
          <cell r="B618" t="str">
            <v>CTN LABEL FOR KMI TUBING</v>
          </cell>
        </row>
        <row r="619">
          <cell r="A619" t="str">
            <v>1553B</v>
          </cell>
          <cell r="B619" t="str">
            <v>1/4 Blue Tubing Fitment</v>
          </cell>
        </row>
        <row r="620">
          <cell r="A620" t="str">
            <v>1553PV</v>
          </cell>
          <cell r="B620" t="str">
            <v>Flex Blue PVC6312-G93-003</v>
          </cell>
        </row>
        <row r="621">
          <cell r="A621" t="str">
            <v>1554-1</v>
          </cell>
          <cell r="B621" t="str">
            <v>UNPRINTED CTN F/155-ETC</v>
          </cell>
        </row>
        <row r="622">
          <cell r="A622" t="str">
            <v>1562-1</v>
          </cell>
          <cell r="B622" t="str">
            <v>1/4"X6FT PVC T/W/FITMENT</v>
          </cell>
        </row>
        <row r="623">
          <cell r="A623" t="str">
            <v>1562R</v>
          </cell>
          <cell r="B623" t="str">
            <v>6'x1/4"Tbg w/fitment</v>
          </cell>
        </row>
        <row r="624">
          <cell r="A624" t="str">
            <v>1564-1</v>
          </cell>
          <cell r="B624" t="str">
            <v>1/4"X10FT PVC T/W/FITMENT</v>
          </cell>
        </row>
        <row r="625">
          <cell r="A625" t="str">
            <v>1573-1</v>
          </cell>
          <cell r="B625" t="str">
            <v>3/16"X6FT PVC T/W/FITMENT</v>
          </cell>
        </row>
        <row r="626">
          <cell r="A626" t="str">
            <v>1573A</v>
          </cell>
          <cell r="B626" t="str">
            <v>3/16X1.5" TIP PROTECTOR</v>
          </cell>
        </row>
        <row r="627">
          <cell r="A627">
            <v>1582</v>
          </cell>
          <cell r="B627" t="str">
            <v>3/16" NC Fitment /Tubing</v>
          </cell>
        </row>
        <row r="628">
          <cell r="A628" t="str">
            <v>1582A</v>
          </cell>
          <cell r="B628" t="str">
            <v>3/16" NC Fitment Tubing</v>
          </cell>
        </row>
        <row r="629">
          <cell r="A629">
            <v>1600</v>
          </cell>
          <cell r="B629" t="str">
            <v>Ster E.R. Suture Tray/20</v>
          </cell>
        </row>
        <row r="630">
          <cell r="A630">
            <v>1612</v>
          </cell>
          <cell r="B630" t="str">
            <v>Bulk 8Fr Frazier 700/CS</v>
          </cell>
        </row>
        <row r="631">
          <cell r="A631" t="str">
            <v>1612SL</v>
          </cell>
          <cell r="B631" t="str">
            <v>OUTER CTN LABEL</v>
          </cell>
        </row>
        <row r="632">
          <cell r="A632">
            <v>1613</v>
          </cell>
          <cell r="B632" t="str">
            <v>Bulk 10FR Frazier /700</v>
          </cell>
        </row>
        <row r="633">
          <cell r="A633" t="str">
            <v>1613SL</v>
          </cell>
          <cell r="B633" t="str">
            <v>OUTER CTN LABEL</v>
          </cell>
        </row>
        <row r="634">
          <cell r="A634" t="str">
            <v>1618A</v>
          </cell>
          <cell r="B634" t="str">
            <v>#10 Scalpel</v>
          </cell>
        </row>
        <row r="635">
          <cell r="A635" t="str">
            <v>1618B</v>
          </cell>
          <cell r="B635" t="str">
            <v>#5 Stainless Steel Probe</v>
          </cell>
        </row>
        <row r="636">
          <cell r="A636" t="str">
            <v>1618C</v>
          </cell>
          <cell r="B636" t="str">
            <v>#1 Safety Pin Stainless</v>
          </cell>
        </row>
        <row r="637">
          <cell r="A637" t="str">
            <v>1618D</v>
          </cell>
          <cell r="B637" t="str">
            <v>1"x8" Petroleum Gauze</v>
          </cell>
        </row>
        <row r="638">
          <cell r="A638">
            <v>1619</v>
          </cell>
          <cell r="B638" t="str">
            <v>Ster Wound Closure T/20</v>
          </cell>
        </row>
        <row r="639">
          <cell r="A639" t="str">
            <v>1620B</v>
          </cell>
          <cell r="B639" t="str">
            <v>Assem 8FR Frazier</v>
          </cell>
        </row>
        <row r="640">
          <cell r="A640" t="str">
            <v>1620C</v>
          </cell>
          <cell r="B640" t="str">
            <v>T2502Cycolac White(absres</v>
          </cell>
        </row>
        <row r="641">
          <cell r="A641" t="str">
            <v>1620I</v>
          </cell>
          <cell r="B641" t="str">
            <v>Insert Spacer for/8FR</v>
          </cell>
        </row>
        <row r="642">
          <cell r="A642">
            <v>1621</v>
          </cell>
          <cell r="B642" t="str">
            <v>.105"OD X 5.5" Long Tube</v>
          </cell>
        </row>
        <row r="643">
          <cell r="A643" t="str">
            <v>1621A</v>
          </cell>
          <cell r="B643" t="str">
            <v>Insert into Handles(Fraz)</v>
          </cell>
        </row>
        <row r="644">
          <cell r="A644" t="str">
            <v>1621A-1</v>
          </cell>
          <cell r="B644" t="str">
            <v>ALUM TUBE .105X.016 X 6"</v>
          </cell>
        </row>
        <row r="645">
          <cell r="A645" t="str">
            <v>1621AB</v>
          </cell>
          <cell r="B645" t="str">
            <v>8fr Tube in Handle-Unbent</v>
          </cell>
        </row>
        <row r="646">
          <cell r="A646" t="str">
            <v>1621AC</v>
          </cell>
          <cell r="B646" t="str">
            <v>Bevel Tubes into Hndl(Frz</v>
          </cell>
        </row>
        <row r="647">
          <cell r="A647" t="str">
            <v>1621AD</v>
          </cell>
          <cell r="B647" t="str">
            <v>Bend Tube(Frazier)</v>
          </cell>
        </row>
        <row r="648">
          <cell r="A648" t="str">
            <v>1621T</v>
          </cell>
          <cell r="B648" t="str">
            <v>.105 X5.5" Alum Tube Bent</v>
          </cell>
        </row>
        <row r="649">
          <cell r="A649" t="str">
            <v>1621TA</v>
          </cell>
          <cell r="B649" t="str">
            <v>.105 X 5.5"Alum Tube</v>
          </cell>
        </row>
        <row r="650">
          <cell r="A650" t="str">
            <v>1622A</v>
          </cell>
          <cell r="B650" t="str">
            <v>8FR F/TUB ANODIZED SWAGE</v>
          </cell>
        </row>
        <row r="651">
          <cell r="A651" t="str">
            <v>1622B</v>
          </cell>
          <cell r="B651" t="str">
            <v>8FR FRAZIER S/INSTRUMENT</v>
          </cell>
        </row>
        <row r="652">
          <cell r="A652">
            <v>1623</v>
          </cell>
          <cell r="B652" t="str">
            <v>DISP BOX FOR FRAZIER</v>
          </cell>
        </row>
        <row r="653">
          <cell r="A653" t="str">
            <v>1623A</v>
          </cell>
          <cell r="B653" t="str">
            <v>Prntd Disp Box for Fraz.</v>
          </cell>
        </row>
        <row r="654">
          <cell r="A654">
            <v>1624</v>
          </cell>
          <cell r="B654" t="str">
            <v>Alleg#K71 Ster 8FR F/50cs</v>
          </cell>
        </row>
        <row r="655">
          <cell r="A655" t="str">
            <v>1624SL</v>
          </cell>
          <cell r="B655" t="str">
            <v>OUTER CTN LABEL K71</v>
          </cell>
        </row>
        <row r="656">
          <cell r="A656">
            <v>1625</v>
          </cell>
          <cell r="B656" t="str">
            <v>.062O.D.X 8.5 Len(+- 1/8)</v>
          </cell>
        </row>
        <row r="657">
          <cell r="A657" t="str">
            <v>1625-1</v>
          </cell>
          <cell r="B657" t="str">
            <v>PE ROD .062 OD X 10"</v>
          </cell>
        </row>
        <row r="658">
          <cell r="A658" t="str">
            <v>1625L</v>
          </cell>
          <cell r="B658" t="str">
            <v>P.E Rods.062"ODx10.5"Long</v>
          </cell>
        </row>
        <row r="659">
          <cell r="A659">
            <v>1629</v>
          </cell>
          <cell r="B659" t="str">
            <v>Unp Ship for 162/163/164</v>
          </cell>
        </row>
        <row r="660">
          <cell r="A660" t="str">
            <v>1629A</v>
          </cell>
          <cell r="B660" t="str">
            <v>Prntd Carton 162/163/164</v>
          </cell>
        </row>
        <row r="661">
          <cell r="A661" t="str">
            <v>1630B</v>
          </cell>
          <cell r="B661" t="str">
            <v>Assem 10Fr Frazier</v>
          </cell>
        </row>
        <row r="662">
          <cell r="A662" t="str">
            <v>1630I</v>
          </cell>
          <cell r="B662" t="str">
            <v>Insert Spacer 10FR</v>
          </cell>
        </row>
        <row r="663">
          <cell r="A663">
            <v>1631</v>
          </cell>
          <cell r="B663" t="str">
            <v>.131"ODX5.5"Alum Tube/Jud</v>
          </cell>
        </row>
        <row r="664">
          <cell r="A664" t="str">
            <v>1631A</v>
          </cell>
          <cell r="B664" t="str">
            <v>Insert into Handles</v>
          </cell>
        </row>
        <row r="665">
          <cell r="A665" t="str">
            <v>1631A-1</v>
          </cell>
          <cell r="B665" t="str">
            <v>ALUM TUBE .131X.016X6"</v>
          </cell>
        </row>
        <row r="666">
          <cell r="A666" t="str">
            <v>1631AB</v>
          </cell>
          <cell r="B666" t="str">
            <v>Tubes into Handles</v>
          </cell>
        </row>
        <row r="667">
          <cell r="A667" t="str">
            <v>1631AC</v>
          </cell>
          <cell r="B667" t="str">
            <v>Bevel Tubes into Handles</v>
          </cell>
        </row>
        <row r="668">
          <cell r="A668" t="str">
            <v>1631AD</v>
          </cell>
          <cell r="B668" t="str">
            <v>Bend Tubes</v>
          </cell>
        </row>
        <row r="669">
          <cell r="A669" t="str">
            <v>1631T</v>
          </cell>
          <cell r="B669" t="str">
            <v>.131"X5.5"Alum Tube Belld</v>
          </cell>
        </row>
        <row r="670">
          <cell r="A670" t="str">
            <v>1631TA</v>
          </cell>
          <cell r="B670" t="str">
            <v>.131"ODX5.5"Al Tube Andzd</v>
          </cell>
        </row>
        <row r="671">
          <cell r="A671" t="str">
            <v>1632A</v>
          </cell>
          <cell r="B671" t="str">
            <v>10FR F/TUB ANODIZED SWAG</v>
          </cell>
        </row>
        <row r="672">
          <cell r="A672" t="str">
            <v>1632B</v>
          </cell>
          <cell r="B672" t="str">
            <v>10FR FRAZIER S/INSTRUMENT</v>
          </cell>
        </row>
        <row r="673">
          <cell r="A673" t="str">
            <v>1633A</v>
          </cell>
          <cell r="B673" t="str">
            <v>MAGNUM 2642 ABS RESIN</v>
          </cell>
        </row>
        <row r="674">
          <cell r="A674" t="str">
            <v>1633C</v>
          </cell>
          <cell r="B674" t="str">
            <v>COLORANT LT.TAN</v>
          </cell>
        </row>
        <row r="675">
          <cell r="A675">
            <v>1634</v>
          </cell>
          <cell r="B675" t="str">
            <v>Alleg #K72 STER 10Fr/F50C</v>
          </cell>
        </row>
        <row r="676">
          <cell r="A676" t="str">
            <v>1634SL</v>
          </cell>
          <cell r="B676" t="str">
            <v>OUTER CTN LABEL K72</v>
          </cell>
        </row>
        <row r="677">
          <cell r="A677">
            <v>1635</v>
          </cell>
          <cell r="B677" t="str">
            <v>.089O.D.X 8.5 Len (+-1/8)</v>
          </cell>
        </row>
        <row r="678">
          <cell r="A678" t="str">
            <v>1635-1</v>
          </cell>
          <cell r="B678" t="str">
            <v>PE ROD .089 OD X 10"</v>
          </cell>
        </row>
        <row r="679">
          <cell r="A679" t="str">
            <v>1635L</v>
          </cell>
          <cell r="B679" t="str">
            <v>P.E Rods.089"ODx10.5"Long</v>
          </cell>
        </row>
        <row r="680">
          <cell r="A680" t="str">
            <v>1640B</v>
          </cell>
          <cell r="B680" t="str">
            <v>Assem 12FR Frazier</v>
          </cell>
        </row>
        <row r="681">
          <cell r="A681" t="str">
            <v>1640I</v>
          </cell>
          <cell r="B681" t="str">
            <v>Insert Spacer for 12FR</v>
          </cell>
        </row>
        <row r="682">
          <cell r="A682" t="str">
            <v>1640TA</v>
          </cell>
          <cell r="B682" t="str">
            <v>.158 Anodized Tube</v>
          </cell>
        </row>
        <row r="683">
          <cell r="A683">
            <v>1641</v>
          </cell>
          <cell r="B683" t="str">
            <v>.157"ODx5.5"Long AlumTube</v>
          </cell>
        </row>
        <row r="684">
          <cell r="A684" t="str">
            <v>1641A</v>
          </cell>
          <cell r="B684" t="str">
            <v>Insert into Handles</v>
          </cell>
        </row>
        <row r="685">
          <cell r="A685" t="str">
            <v>1641A-1</v>
          </cell>
          <cell r="B685" t="str">
            <v>ALUM TUBE .158X.016X6"</v>
          </cell>
        </row>
        <row r="686">
          <cell r="A686" t="str">
            <v>1641AB</v>
          </cell>
          <cell r="B686" t="str">
            <v>Tubes into Handles</v>
          </cell>
        </row>
        <row r="687">
          <cell r="A687" t="str">
            <v>1641AC</v>
          </cell>
          <cell r="B687" t="str">
            <v>Bevel Tubes into Handles</v>
          </cell>
        </row>
        <row r="688">
          <cell r="A688" t="str">
            <v>1641AD</v>
          </cell>
          <cell r="B688" t="str">
            <v>Bend Tubes</v>
          </cell>
        </row>
        <row r="689">
          <cell r="A689" t="str">
            <v>1641T</v>
          </cell>
          <cell r="B689" t="str">
            <v>.158"ODX5.5"Alum Tube</v>
          </cell>
        </row>
        <row r="690">
          <cell r="A690" t="str">
            <v>1641TA</v>
          </cell>
          <cell r="B690" t="str">
            <v>.158"X5.5"Alum Tube Andzd</v>
          </cell>
        </row>
        <row r="691">
          <cell r="A691" t="str">
            <v>1642A</v>
          </cell>
          <cell r="B691" t="str">
            <v>12FR F/TUB/ANODIZED SWAG</v>
          </cell>
        </row>
        <row r="692">
          <cell r="A692" t="str">
            <v>1642B</v>
          </cell>
          <cell r="B692" t="str">
            <v>12FR F/SUCTION INSTRUMENT</v>
          </cell>
        </row>
        <row r="693">
          <cell r="A693">
            <v>1644</v>
          </cell>
          <cell r="B693" t="str">
            <v>Ster Alleg #K73 12FR/F50C</v>
          </cell>
        </row>
        <row r="694">
          <cell r="A694" t="str">
            <v>1644SL</v>
          </cell>
          <cell r="B694" t="str">
            <v>OUTER CTN LABEL K73</v>
          </cell>
        </row>
        <row r="695">
          <cell r="A695">
            <v>1645</v>
          </cell>
          <cell r="B695" t="str">
            <v>.113ODx8.5 Len (+_1/8)</v>
          </cell>
        </row>
        <row r="696">
          <cell r="A696" t="str">
            <v>1645-1</v>
          </cell>
          <cell r="B696" t="str">
            <v>PE ROD .113 OD X 10"</v>
          </cell>
        </row>
        <row r="697">
          <cell r="A697" t="str">
            <v>1645L</v>
          </cell>
          <cell r="B697" t="str">
            <v>P.E.Rod.113ODx10.5"Long</v>
          </cell>
        </row>
        <row r="698">
          <cell r="A698">
            <v>1649</v>
          </cell>
          <cell r="B698" t="str">
            <v>Bulk 12FR Frazier/700</v>
          </cell>
        </row>
        <row r="699">
          <cell r="A699" t="str">
            <v>1649SL</v>
          </cell>
          <cell r="B699" t="str">
            <v>shpr lbl for 1649</v>
          </cell>
        </row>
        <row r="700">
          <cell r="A700" t="str">
            <v>1650B</v>
          </cell>
          <cell r="B700" t="str">
            <v>Assembled Sigmoidoscope</v>
          </cell>
        </row>
        <row r="701">
          <cell r="A701" t="str">
            <v>1650H</v>
          </cell>
          <cell r="B701" t="str">
            <v>Handle (Sigmoid/Frazier)</v>
          </cell>
        </row>
        <row r="702">
          <cell r="A702" t="str">
            <v>1650S</v>
          </cell>
          <cell r="B702" t="str">
            <v>White Slide Collar</v>
          </cell>
        </row>
        <row r="703">
          <cell r="A703" t="str">
            <v>1650T</v>
          </cell>
          <cell r="B703" t="str">
            <v>Trans Str Rigid Tubes/165</v>
          </cell>
        </row>
        <row r="704">
          <cell r="A704" t="str">
            <v>1650TA</v>
          </cell>
          <cell r="B704" t="str">
            <v>Bevel Tubes(Sigmoids)</v>
          </cell>
        </row>
        <row r="705">
          <cell r="A705" t="str">
            <v>1650TB</v>
          </cell>
          <cell r="B705" t="str">
            <v>Drill Tube(Sigmoid)</v>
          </cell>
        </row>
        <row r="706">
          <cell r="A706" t="str">
            <v>1650TC</v>
          </cell>
          <cell r="B706" t="str">
            <v>Bend Tube(Sigmoid)</v>
          </cell>
        </row>
        <row r="707">
          <cell r="A707">
            <v>1651</v>
          </cell>
          <cell r="B707" t="str">
            <v>Pouches for 165</v>
          </cell>
        </row>
        <row r="708">
          <cell r="A708">
            <v>1653</v>
          </cell>
          <cell r="B708" t="str">
            <v>4.75"x20"Printed Pouch</v>
          </cell>
        </row>
        <row r="709">
          <cell r="A709">
            <v>1656</v>
          </cell>
          <cell r="B709" t="str">
            <v>Unprinted Shipper for 165</v>
          </cell>
        </row>
        <row r="710">
          <cell r="A710">
            <v>1658</v>
          </cell>
          <cell r="B710" t="str">
            <v>Bulk /Sigmoids pk/500/CS</v>
          </cell>
        </row>
        <row r="711">
          <cell r="A711" t="str">
            <v>1658SL</v>
          </cell>
          <cell r="B711" t="str">
            <v>OUTER CTN LABEL</v>
          </cell>
        </row>
        <row r="712">
          <cell r="A712">
            <v>1662</v>
          </cell>
          <cell r="B712" t="str">
            <v>White Polybag w/Twist tie</v>
          </cell>
        </row>
        <row r="713">
          <cell r="A713">
            <v>1673</v>
          </cell>
          <cell r="B713" t="str">
            <v>10"x22" Printed Pouches</v>
          </cell>
        </row>
        <row r="714">
          <cell r="A714">
            <v>1676</v>
          </cell>
          <cell r="B714" t="str">
            <v>Unprinted Shipper for 167</v>
          </cell>
        </row>
        <row r="715">
          <cell r="A715">
            <v>1678</v>
          </cell>
          <cell r="B715" t="str">
            <v>Ster Instrument Tray/50</v>
          </cell>
        </row>
        <row r="716">
          <cell r="A716">
            <v>1697</v>
          </cell>
          <cell r="B716" t="str">
            <v>Ster Dress Change Tray/20</v>
          </cell>
        </row>
        <row r="717">
          <cell r="A717" t="str">
            <v>1697CC</v>
          </cell>
          <cell r="B717" t="str">
            <v>cnt crd/barcode for 1697</v>
          </cell>
        </row>
        <row r="718">
          <cell r="A718" t="str">
            <v>1697SL</v>
          </cell>
          <cell r="B718" t="str">
            <v>shpr lbl/barcode for 1697</v>
          </cell>
        </row>
        <row r="719">
          <cell r="A719">
            <v>1711</v>
          </cell>
          <cell r="B719" t="str">
            <v>Ster Dress Change Tray/20</v>
          </cell>
        </row>
        <row r="720">
          <cell r="A720" t="str">
            <v>1711SL</v>
          </cell>
          <cell r="B720" t="str">
            <v>OUTER CTN LABEL W/B/CODE</v>
          </cell>
        </row>
        <row r="721">
          <cell r="A721">
            <v>1726</v>
          </cell>
          <cell r="B721" t="str">
            <v>Sterile Water 4oz Cup</v>
          </cell>
        </row>
        <row r="722">
          <cell r="A722">
            <v>1737</v>
          </cell>
          <cell r="B722" t="str">
            <v>Ster Vaginal Prep Tray/20</v>
          </cell>
        </row>
        <row r="723">
          <cell r="A723" t="str">
            <v>1737B</v>
          </cell>
          <cell r="B723" t="str">
            <v>Small Winged Sponges</v>
          </cell>
        </row>
        <row r="724">
          <cell r="A724" t="str">
            <v>1737C</v>
          </cell>
          <cell r="B724" t="str">
            <v>Content Card</v>
          </cell>
        </row>
        <row r="725">
          <cell r="A725">
            <v>1744</v>
          </cell>
          <cell r="B725" t="str">
            <v>Banta#950361 Shroud/10</v>
          </cell>
        </row>
        <row r="726">
          <cell r="A726" t="str">
            <v>1744BH</v>
          </cell>
          <cell r="B726" t="str">
            <v>Banta Comps for Shrd Kits</v>
          </cell>
        </row>
        <row r="727">
          <cell r="A727" t="str">
            <v>1744I</v>
          </cell>
          <cell r="B727" t="str">
            <v>Instr Sheet for 950361</v>
          </cell>
        </row>
        <row r="728">
          <cell r="A728" t="str">
            <v>1744IS</v>
          </cell>
          <cell r="B728" t="str">
            <v>Instr Sheet for 950361</v>
          </cell>
        </row>
        <row r="729">
          <cell r="A729" t="str">
            <v>1744IS-1</v>
          </cell>
          <cell r="B729" t="str">
            <v>BANTA C/CARD NO950361</v>
          </cell>
        </row>
        <row r="730">
          <cell r="A730" t="str">
            <v>1744IS-2</v>
          </cell>
          <cell r="B730" t="str">
            <v>BANTA C/CARD NO 950361</v>
          </cell>
        </row>
        <row r="731">
          <cell r="A731" t="str">
            <v>1744SL</v>
          </cell>
          <cell r="B731" t="str">
            <v>Shipper Label for 950361</v>
          </cell>
        </row>
        <row r="732">
          <cell r="A732" t="str">
            <v>1744SL-1</v>
          </cell>
          <cell r="B732" t="str">
            <v>BANTAS/LABEL NO 950361</v>
          </cell>
        </row>
        <row r="733">
          <cell r="A733" t="str">
            <v>1744SL-2</v>
          </cell>
          <cell r="B733" t="str">
            <v>BANTA/LABEL NO/950361</v>
          </cell>
        </row>
        <row r="734">
          <cell r="A734" t="str">
            <v>1744T</v>
          </cell>
          <cell r="B734" t="str">
            <v>White Absort Twls 3Ply T</v>
          </cell>
        </row>
        <row r="735">
          <cell r="A735">
            <v>1745</v>
          </cell>
          <cell r="B735" t="str">
            <v>Banta#950362 Child Sh/10</v>
          </cell>
        </row>
        <row r="736">
          <cell r="A736" t="str">
            <v>1745IS</v>
          </cell>
          <cell r="B736" t="str">
            <v>Instr Sheet for 950362</v>
          </cell>
        </row>
        <row r="737">
          <cell r="A737" t="str">
            <v>1745IS-1</v>
          </cell>
          <cell r="B737" t="str">
            <v>BANTA C/CARD NO 950362</v>
          </cell>
        </row>
        <row r="738">
          <cell r="A738" t="str">
            <v>1745SL</v>
          </cell>
          <cell r="B738" t="str">
            <v>Shipper Label for 950362</v>
          </cell>
        </row>
        <row r="739">
          <cell r="A739" t="str">
            <v>1745SL-1</v>
          </cell>
          <cell r="B739" t="str">
            <v>BANTA S/LABEL NO 950362</v>
          </cell>
        </row>
        <row r="740">
          <cell r="A740">
            <v>1746</v>
          </cell>
          <cell r="B740" t="str">
            <v>Banta#950365 XL Sh/10</v>
          </cell>
        </row>
        <row r="741">
          <cell r="A741" t="str">
            <v>1746IS</v>
          </cell>
          <cell r="B741" t="str">
            <v>Instr Sheet for 950365</v>
          </cell>
        </row>
        <row r="742">
          <cell r="A742" t="str">
            <v>1746IS-1</v>
          </cell>
          <cell r="B742" t="str">
            <v>BANTA INST/SHEET N/950365</v>
          </cell>
        </row>
        <row r="743">
          <cell r="A743" t="str">
            <v>1746S</v>
          </cell>
          <cell r="B743" t="str">
            <v>Shipper Label 950365</v>
          </cell>
        </row>
        <row r="744">
          <cell r="A744" t="str">
            <v>1746SL</v>
          </cell>
          <cell r="B744" t="str">
            <v>Shipper Label for 950365</v>
          </cell>
        </row>
        <row r="745">
          <cell r="A745" t="str">
            <v>1746SL-1</v>
          </cell>
          <cell r="B745" t="str">
            <v>BANTA S/LABEL NO 950365</v>
          </cell>
        </row>
        <row r="746">
          <cell r="A746">
            <v>1747</v>
          </cell>
          <cell r="B746" t="str">
            <v>Banta#950358 P.Mortem/5</v>
          </cell>
        </row>
        <row r="747">
          <cell r="A747" t="str">
            <v>1747C</v>
          </cell>
          <cell r="B747" t="str">
            <v>Content Card for 950358</v>
          </cell>
        </row>
        <row r="748">
          <cell r="A748" t="str">
            <v>1747CC</v>
          </cell>
          <cell r="B748" t="str">
            <v>Content Card for 950358</v>
          </cell>
        </row>
        <row r="749">
          <cell r="A749" t="str">
            <v>1747CC-1</v>
          </cell>
          <cell r="B749" t="str">
            <v>BANTA C/CARD NO 950358</v>
          </cell>
        </row>
        <row r="750">
          <cell r="A750" t="str">
            <v>1747SL</v>
          </cell>
          <cell r="B750" t="str">
            <v>Shipper Label for 950358</v>
          </cell>
        </row>
        <row r="751">
          <cell r="A751" t="str">
            <v>1747SL-1</v>
          </cell>
          <cell r="B751" t="str">
            <v>BANTA S/LABEL N0/950358</v>
          </cell>
        </row>
        <row r="752">
          <cell r="A752">
            <v>1748</v>
          </cell>
          <cell r="B752" t="str">
            <v>Banta#950259 P.Mort/C/10</v>
          </cell>
        </row>
        <row r="753">
          <cell r="A753" t="str">
            <v>1748C</v>
          </cell>
          <cell r="B753" t="str">
            <v>Content Card for 950259</v>
          </cell>
        </row>
        <row r="754">
          <cell r="A754" t="str">
            <v>1748CC</v>
          </cell>
          <cell r="B754" t="str">
            <v>Content Card for 950259</v>
          </cell>
        </row>
        <row r="755">
          <cell r="A755" t="str">
            <v>1748CC-1</v>
          </cell>
          <cell r="B755" t="str">
            <v>BANTA C/CARD NO 950259</v>
          </cell>
        </row>
        <row r="756">
          <cell r="A756" t="str">
            <v>1748S</v>
          </cell>
          <cell r="B756" t="str">
            <v>UNPRINTED SHIPPER CTN</v>
          </cell>
        </row>
        <row r="757">
          <cell r="A757" t="str">
            <v>1748SL</v>
          </cell>
          <cell r="B757" t="str">
            <v>Shipper Label for 950259</v>
          </cell>
        </row>
        <row r="758">
          <cell r="A758" t="str">
            <v>1748SLL</v>
          </cell>
          <cell r="B758" t="str">
            <v>Shipper Label for 950259</v>
          </cell>
        </row>
        <row r="759">
          <cell r="A759" t="str">
            <v>1748SLL-1</v>
          </cell>
          <cell r="B759" t="str">
            <v>BANTA S/LABEL NO 950259</v>
          </cell>
        </row>
        <row r="760">
          <cell r="A760">
            <v>1749</v>
          </cell>
          <cell r="B760" t="str">
            <v>Banta#950359 P.Mortem/10</v>
          </cell>
        </row>
        <row r="761">
          <cell r="A761" t="str">
            <v>1749CC</v>
          </cell>
          <cell r="B761" t="str">
            <v>Content Card for 950359</v>
          </cell>
        </row>
        <row r="762">
          <cell r="A762" t="str">
            <v>1749CC-1</v>
          </cell>
          <cell r="B762" t="str">
            <v>BANTA C/CARD NO 950359</v>
          </cell>
        </row>
        <row r="763">
          <cell r="A763" t="str">
            <v>1749S</v>
          </cell>
          <cell r="B763" t="str">
            <v>Shipper Label for 950359</v>
          </cell>
        </row>
        <row r="764">
          <cell r="A764" t="str">
            <v>1749SL</v>
          </cell>
          <cell r="B764" t="str">
            <v>Shipper Label for 950359</v>
          </cell>
        </row>
        <row r="765">
          <cell r="A765" t="str">
            <v>1749SL-1</v>
          </cell>
          <cell r="B765" t="str">
            <v>BANTA S/LABEL NO 950359</v>
          </cell>
        </row>
        <row r="766">
          <cell r="A766">
            <v>1758</v>
          </cell>
          <cell r="B766" t="str">
            <v>Ster L/F TPN/CVP D/C/T/20</v>
          </cell>
        </row>
        <row r="767">
          <cell r="A767" t="str">
            <v>1758A</v>
          </cell>
          <cell r="B767" t="str">
            <v>3'X3"NON-ADH SPLIT DRESS</v>
          </cell>
        </row>
        <row r="768">
          <cell r="A768">
            <v>1760</v>
          </cell>
          <cell r="B768" t="str">
            <v>Ster Laceration Tray/20</v>
          </cell>
        </row>
        <row r="769">
          <cell r="A769" t="str">
            <v>1771BK</v>
          </cell>
          <cell r="B769" t="str">
            <v>Tip Protector Black</v>
          </cell>
        </row>
        <row r="770">
          <cell r="A770" t="str">
            <v>1773A</v>
          </cell>
          <cell r="B770" t="str">
            <v>Unprinted Carton</v>
          </cell>
        </row>
        <row r="771">
          <cell r="A771">
            <v>1792</v>
          </cell>
          <cell r="B771" t="str">
            <v>Ster Dress Change Tray/20</v>
          </cell>
        </row>
        <row r="772">
          <cell r="A772" t="str">
            <v>1792CC</v>
          </cell>
          <cell r="B772" t="str">
            <v>cnt crd/barcode for 1792</v>
          </cell>
        </row>
        <row r="773">
          <cell r="A773" t="str">
            <v>1792SL</v>
          </cell>
          <cell r="B773" t="str">
            <v>shpr lbl/barcode for1792</v>
          </cell>
        </row>
        <row r="774">
          <cell r="A774">
            <v>1797</v>
          </cell>
          <cell r="B774" t="str">
            <v>Ster SRK HS/102-1797/48</v>
          </cell>
        </row>
        <row r="775">
          <cell r="A775" t="str">
            <v>1797SL</v>
          </cell>
          <cell r="B775" t="str">
            <v>OUTER CTN LABEL W/BARCODE</v>
          </cell>
        </row>
        <row r="776">
          <cell r="A776">
            <v>1805</v>
          </cell>
          <cell r="B776" t="str">
            <v>Ster Dress Change Tray/20</v>
          </cell>
        </row>
        <row r="777">
          <cell r="A777" t="str">
            <v>1805CC</v>
          </cell>
          <cell r="B777" t="str">
            <v>cnt crd/barcode for1805</v>
          </cell>
        </row>
        <row r="778">
          <cell r="A778" t="str">
            <v>1805SL</v>
          </cell>
          <cell r="B778" t="str">
            <v>shpr lbl/barcode for 1805</v>
          </cell>
        </row>
        <row r="779">
          <cell r="A779">
            <v>1823</v>
          </cell>
          <cell r="B779" t="str">
            <v>3/4"x18" Micropore Tape</v>
          </cell>
        </row>
        <row r="780">
          <cell r="A780">
            <v>1824</v>
          </cell>
          <cell r="B780" t="str">
            <v>4"Green Plastic Tube Clmp</v>
          </cell>
        </row>
        <row r="781">
          <cell r="A781">
            <v>1827</v>
          </cell>
          <cell r="B781" t="str">
            <v>5"x9"Comb/Abdominal Pad</v>
          </cell>
        </row>
        <row r="782">
          <cell r="A782">
            <v>1830</v>
          </cell>
          <cell r="B782" t="str">
            <v>Ster Minor Dry Skin T/20</v>
          </cell>
        </row>
        <row r="783">
          <cell r="A783">
            <v>1836</v>
          </cell>
          <cell r="B783" t="str">
            <v>Ster Dress Change Tray/30</v>
          </cell>
        </row>
        <row r="784">
          <cell r="A784" t="str">
            <v>1836CC</v>
          </cell>
          <cell r="B784" t="str">
            <v>cnt crd/barcode for 1836</v>
          </cell>
        </row>
        <row r="785">
          <cell r="A785" t="str">
            <v>1836SL</v>
          </cell>
          <cell r="B785" t="str">
            <v>shpr lbl/barcode for 1836</v>
          </cell>
        </row>
        <row r="786">
          <cell r="A786">
            <v>1846</v>
          </cell>
          <cell r="B786" t="str">
            <v>Ster Dress Change Tray/30</v>
          </cell>
        </row>
        <row r="787">
          <cell r="A787" t="str">
            <v>1846CC</v>
          </cell>
          <cell r="B787" t="str">
            <v>cnt crd/barcode for 1846</v>
          </cell>
        </row>
        <row r="788">
          <cell r="A788" t="str">
            <v>1846SL</v>
          </cell>
          <cell r="B788" t="str">
            <v>shpr lbl/barcode for1846</v>
          </cell>
        </row>
        <row r="789">
          <cell r="A789">
            <v>1861</v>
          </cell>
          <cell r="B789" t="str">
            <v>Skin Protective Swabstick</v>
          </cell>
        </row>
        <row r="790">
          <cell r="A790">
            <v>1881</v>
          </cell>
          <cell r="B790" t="str">
            <v>Procedure Label</v>
          </cell>
        </row>
        <row r="791">
          <cell r="A791" t="str">
            <v>1883-1</v>
          </cell>
          <cell r="B791" t="str">
            <v>TINCTURE OF IOD S/S [1}</v>
          </cell>
        </row>
        <row r="792">
          <cell r="A792">
            <v>1892</v>
          </cell>
          <cell r="B792" t="str">
            <v>Ster Laceration Tray/20</v>
          </cell>
        </row>
        <row r="793">
          <cell r="A793">
            <v>1894</v>
          </cell>
          <cell r="B793" t="str">
            <v>Ster E.R. Laceration T/20</v>
          </cell>
        </row>
        <row r="794">
          <cell r="A794" t="str">
            <v>1894CC</v>
          </cell>
          <cell r="B794" t="str">
            <v>cnt crd/barcode for 1894</v>
          </cell>
        </row>
        <row r="795">
          <cell r="A795">
            <v>1901</v>
          </cell>
          <cell r="B795" t="str">
            <v>20cc Luer Slip Syringe</v>
          </cell>
        </row>
        <row r="796">
          <cell r="A796" t="str">
            <v>1901-1</v>
          </cell>
          <cell r="B796" t="str">
            <v>20CC L/SLIP SYRINGE L/F</v>
          </cell>
        </row>
        <row r="797">
          <cell r="A797">
            <v>1905</v>
          </cell>
          <cell r="B797" t="str">
            <v>19Gaugex1.5"Needle/Ylw Cp</v>
          </cell>
        </row>
        <row r="798">
          <cell r="A798">
            <v>1910</v>
          </cell>
          <cell r="B798" t="str">
            <v>Ster Dress Change Tray/30</v>
          </cell>
        </row>
        <row r="799">
          <cell r="A799" t="str">
            <v>1922N</v>
          </cell>
          <cell r="B799" t="str">
            <v>4.75"Adson Fcep 1x2 Teeth</v>
          </cell>
        </row>
        <row r="800">
          <cell r="A800" t="str">
            <v>1922SFN</v>
          </cell>
          <cell r="B800" t="str">
            <v>AdsonFcp/1x2/FinePt/Satin</v>
          </cell>
        </row>
        <row r="801">
          <cell r="A801" t="str">
            <v>1922SN</v>
          </cell>
          <cell r="B801" t="str">
            <v>4.75"Adson Frcep 1x2Teeth</v>
          </cell>
        </row>
        <row r="802">
          <cell r="A802" t="str">
            <v>1923FSN</v>
          </cell>
          <cell r="B802" t="str">
            <v>Adson Serr Fcep/FnPt/Satn</v>
          </cell>
        </row>
        <row r="803">
          <cell r="A803" t="str">
            <v>1923N</v>
          </cell>
          <cell r="B803" t="str">
            <v>4.75"Adson Serrated Frcep</v>
          </cell>
        </row>
        <row r="804">
          <cell r="A804" t="str">
            <v>1923SN</v>
          </cell>
          <cell r="B804" t="str">
            <v>Adson Serrated Fcep/Satin</v>
          </cell>
        </row>
        <row r="805">
          <cell r="A805" t="str">
            <v>1924N</v>
          </cell>
          <cell r="B805" t="str">
            <v>4.5" S/B Operating Sciss.</v>
          </cell>
        </row>
        <row r="806">
          <cell r="A806" t="str">
            <v>1924S</v>
          </cell>
          <cell r="B806" t="str">
            <v>S/B 41/2IN STR</v>
          </cell>
        </row>
        <row r="807">
          <cell r="A807" t="str">
            <v>1924SN</v>
          </cell>
          <cell r="B807" t="str">
            <v>4.5"Oper Sciss S/B Satin</v>
          </cell>
        </row>
        <row r="808">
          <cell r="A808" t="str">
            <v>1941L</v>
          </cell>
          <cell r="B808" t="str">
            <v>LITTAUER SCISS/4.5"LGLOOP</v>
          </cell>
        </row>
        <row r="809">
          <cell r="A809" t="str">
            <v>1941N</v>
          </cell>
          <cell r="B809" t="str">
            <v>4.5"Littauer Stitch Sciss</v>
          </cell>
        </row>
        <row r="810">
          <cell r="A810" t="str">
            <v>1941SN</v>
          </cell>
          <cell r="B810" t="str">
            <v>4.5"Littauer Stictch/Sat</v>
          </cell>
        </row>
        <row r="811">
          <cell r="A811">
            <v>1959</v>
          </cell>
          <cell r="B811" t="str">
            <v>2"x54"Transpore Tape#1527</v>
          </cell>
        </row>
        <row r="812">
          <cell r="A812">
            <v>1963</v>
          </cell>
          <cell r="B812" t="str">
            <v>2X2 6 Ply Sponge</v>
          </cell>
        </row>
        <row r="813">
          <cell r="A813">
            <v>1990</v>
          </cell>
          <cell r="B813" t="str">
            <v>Wht Impervious Gwn Opn-Bk</v>
          </cell>
        </row>
        <row r="814">
          <cell r="A814">
            <v>1996</v>
          </cell>
          <cell r="B814" t="str">
            <v>MGM#25-199 Imp Gwn/Opn/50</v>
          </cell>
        </row>
        <row r="815">
          <cell r="A815" t="str">
            <v>1996SLF</v>
          </cell>
          <cell r="B815" t="str">
            <v>MGM#25-199 Shipper Label</v>
          </cell>
        </row>
        <row r="816">
          <cell r="A816" t="str">
            <v>1999-A/CAT</v>
          </cell>
          <cell r="B816" t="str">
            <v>RE-VALIDATION CAT/KIT</v>
          </cell>
        </row>
        <row r="817">
          <cell r="A817">
            <v>2001</v>
          </cell>
          <cell r="B817" t="str">
            <v>Wht Imperv. Gwn Full Back</v>
          </cell>
        </row>
        <row r="818">
          <cell r="A818">
            <v>2006</v>
          </cell>
          <cell r="B818" t="str">
            <v>GM#25-200 Imp Gwn/Full/50</v>
          </cell>
        </row>
        <row r="819">
          <cell r="A819" t="str">
            <v>2006A</v>
          </cell>
          <cell r="B819" t="str">
            <v>GM#25-200 Shipper Label</v>
          </cell>
        </row>
        <row r="820">
          <cell r="A820" t="str">
            <v>2006SL</v>
          </cell>
          <cell r="B820" t="str">
            <v>McKesson#25-200 Shpr Labl</v>
          </cell>
        </row>
        <row r="821">
          <cell r="A821" t="str">
            <v>2006SLF</v>
          </cell>
          <cell r="B821" t="str">
            <v>MGM#25-200 Shipper Label</v>
          </cell>
        </row>
        <row r="822">
          <cell r="A822">
            <v>2008</v>
          </cell>
          <cell r="B822" t="str">
            <v>Ster Centrl Line Tray/30</v>
          </cell>
        </row>
        <row r="823">
          <cell r="A823">
            <v>2010</v>
          </cell>
          <cell r="B823" t="str">
            <v>Ylw Imperv. Gwn/Open Back</v>
          </cell>
        </row>
        <row r="824">
          <cell r="A824">
            <v>2016</v>
          </cell>
          <cell r="B824" t="str">
            <v>GM#25-201 Imp Gwn/Op/B/50</v>
          </cell>
        </row>
        <row r="825">
          <cell r="A825" t="str">
            <v>2016A</v>
          </cell>
          <cell r="B825" t="str">
            <v>GM#25-201 Shipper Label</v>
          </cell>
        </row>
        <row r="826">
          <cell r="A826" t="str">
            <v>2016SL</v>
          </cell>
          <cell r="B826" t="str">
            <v>McKesson#25-201 Shpr Labl</v>
          </cell>
        </row>
        <row r="827">
          <cell r="A827" t="str">
            <v>2016SLF</v>
          </cell>
          <cell r="B827" t="str">
            <v>MGM#25-201 Shipper Label</v>
          </cell>
        </row>
        <row r="828">
          <cell r="A828">
            <v>2024</v>
          </cell>
          <cell r="B828" t="str">
            <v>Ster Dress Change Tray/30</v>
          </cell>
        </row>
        <row r="829">
          <cell r="A829">
            <v>2026</v>
          </cell>
          <cell r="B829" t="str">
            <v>Ster GM25-2026 Drs/Try/30</v>
          </cell>
        </row>
        <row r="830">
          <cell r="A830" t="str">
            <v>2026SL</v>
          </cell>
          <cell r="B830" t="str">
            <v>McKesson#25-2026 Shpr Lbl</v>
          </cell>
        </row>
        <row r="831">
          <cell r="A831">
            <v>2027</v>
          </cell>
          <cell r="B831" t="str">
            <v>GM#25-202 Iso Gown/50</v>
          </cell>
        </row>
        <row r="832">
          <cell r="A832" t="str">
            <v>2027A</v>
          </cell>
          <cell r="B832" t="str">
            <v>GM#25-202 Shipper Label</v>
          </cell>
        </row>
        <row r="833">
          <cell r="A833" t="str">
            <v>2027SL</v>
          </cell>
          <cell r="B833" t="str">
            <v>McKesson#25-202 Shpr Labl</v>
          </cell>
        </row>
        <row r="834">
          <cell r="A834" t="str">
            <v>2027SLF</v>
          </cell>
          <cell r="B834" t="str">
            <v>MGM#25-202 Shipper Label</v>
          </cell>
        </row>
        <row r="835">
          <cell r="A835">
            <v>2030</v>
          </cell>
          <cell r="B835" t="str">
            <v>Standard Isolation Gown</v>
          </cell>
        </row>
        <row r="836">
          <cell r="A836">
            <v>2031</v>
          </cell>
          <cell r="B836" t="str">
            <v>Ylw F/Back Stockinet Gwn</v>
          </cell>
        </row>
        <row r="837">
          <cell r="A837">
            <v>2036</v>
          </cell>
          <cell r="B837" t="str">
            <v>GM#25-203 Ylw Gwn/Knit/50</v>
          </cell>
        </row>
        <row r="838">
          <cell r="A838" t="str">
            <v>2036A</v>
          </cell>
          <cell r="B838" t="str">
            <v>GM#25-203 Shipper Label</v>
          </cell>
        </row>
        <row r="839">
          <cell r="A839" t="str">
            <v>2036SL</v>
          </cell>
          <cell r="B839" t="str">
            <v>MGM#25-203 Shipper Label</v>
          </cell>
        </row>
        <row r="840">
          <cell r="A840">
            <v>2040</v>
          </cell>
          <cell r="B840" t="str">
            <v>Shipper Label for 204</v>
          </cell>
        </row>
        <row r="841">
          <cell r="A841">
            <v>2042</v>
          </cell>
          <cell r="B841" t="str">
            <v>Unpt/Uncoated 1059B Tyvek</v>
          </cell>
        </row>
        <row r="842">
          <cell r="A842">
            <v>2044</v>
          </cell>
          <cell r="B842" t="str">
            <v>Unprinted Carton for 204</v>
          </cell>
        </row>
        <row r="843">
          <cell r="A843">
            <v>2053</v>
          </cell>
          <cell r="B843" t="str">
            <v>UNPRINTED CTN FOR/736 ETC</v>
          </cell>
        </row>
        <row r="844">
          <cell r="A844">
            <v>2056</v>
          </cell>
          <cell r="B844" t="str">
            <v>GM#25-205 Imperv Gown/50</v>
          </cell>
        </row>
        <row r="845">
          <cell r="A845" t="str">
            <v>2056SL</v>
          </cell>
          <cell r="B845" t="str">
            <v>MCKESSON OUTER CTN LABEL</v>
          </cell>
        </row>
        <row r="846">
          <cell r="A846">
            <v>2060</v>
          </cell>
          <cell r="B846" t="str">
            <v>3MM Small Laminarie</v>
          </cell>
        </row>
        <row r="847">
          <cell r="A847" t="str">
            <v>2060DB</v>
          </cell>
          <cell r="B847" t="str">
            <v>Laminaria Dispenser Box</v>
          </cell>
        </row>
        <row r="848">
          <cell r="A848" t="str">
            <v>2060S</v>
          </cell>
          <cell r="B848" t="str">
            <v>Unprinted Ctn</v>
          </cell>
        </row>
        <row r="849">
          <cell r="A849">
            <v>2061</v>
          </cell>
          <cell r="B849" t="str">
            <v>Outer Carton Label</v>
          </cell>
        </row>
        <row r="850">
          <cell r="A850" t="str">
            <v>2066I</v>
          </cell>
          <cell r="B850" t="str">
            <v>Instr Sht for Laminarias</v>
          </cell>
        </row>
        <row r="851">
          <cell r="A851">
            <v>2070</v>
          </cell>
          <cell r="B851" t="str">
            <v>4MM Medium Laminarie</v>
          </cell>
        </row>
        <row r="852">
          <cell r="A852">
            <v>2073</v>
          </cell>
          <cell r="B852" t="str">
            <v>Acetone Alcohol Prep Pad</v>
          </cell>
        </row>
        <row r="853">
          <cell r="A853" t="str">
            <v>2073-1</v>
          </cell>
          <cell r="B853" t="str">
            <v>ACETONE ALCOH P/PREP N/S</v>
          </cell>
        </row>
        <row r="854">
          <cell r="A854">
            <v>2075</v>
          </cell>
          <cell r="B854" t="str">
            <v>4X5 Bioclusive</v>
          </cell>
        </row>
        <row r="855">
          <cell r="A855">
            <v>2076</v>
          </cell>
          <cell r="B855" t="str">
            <v>STER L/F PREP SITE D/WIPE</v>
          </cell>
        </row>
        <row r="856">
          <cell r="A856">
            <v>2077</v>
          </cell>
          <cell r="B856" t="str">
            <v>10"x13" 40lb White Towel</v>
          </cell>
        </row>
        <row r="857">
          <cell r="A857">
            <v>2080</v>
          </cell>
          <cell r="B857" t="str">
            <v>5MM Large Laminarie</v>
          </cell>
        </row>
        <row r="858">
          <cell r="A858" t="str">
            <v>2080L</v>
          </cell>
          <cell r="B858" t="str">
            <v>Assem 5MM Lamin/W/Cont Cd</v>
          </cell>
        </row>
        <row r="859">
          <cell r="A859">
            <v>2081</v>
          </cell>
          <cell r="B859" t="str">
            <v>Outer Carton Label</v>
          </cell>
        </row>
        <row r="860">
          <cell r="A860">
            <v>2082</v>
          </cell>
          <cell r="B860" t="str">
            <v>Iodophor Pvp 1oz Packet</v>
          </cell>
        </row>
        <row r="861">
          <cell r="A861">
            <v>2086</v>
          </cell>
          <cell r="B861" t="str">
            <v>Outer Ctn Label for 2084</v>
          </cell>
        </row>
        <row r="862">
          <cell r="A862">
            <v>2090</v>
          </cell>
          <cell r="B862" t="str">
            <v>6MM XLg Laminarie</v>
          </cell>
        </row>
        <row r="863">
          <cell r="A863" t="str">
            <v>2090L</v>
          </cell>
          <cell r="B863" t="str">
            <v>Assem 6MM Lamin/w/Cont Cd</v>
          </cell>
        </row>
        <row r="864">
          <cell r="A864">
            <v>2106</v>
          </cell>
          <cell r="B864" t="str">
            <v>GM#25-210 Imperv Gown/50</v>
          </cell>
        </row>
        <row r="865">
          <cell r="A865" t="str">
            <v>2106A</v>
          </cell>
          <cell r="B865" t="str">
            <v>GM#25-210 Shipper Label</v>
          </cell>
        </row>
        <row r="866">
          <cell r="A866" t="str">
            <v>2106SL</v>
          </cell>
          <cell r="B866" t="str">
            <v>McKesson#25-210 Shpr Labl</v>
          </cell>
        </row>
        <row r="867">
          <cell r="A867" t="str">
            <v>2106SLF</v>
          </cell>
          <cell r="B867" t="str">
            <v>MGM#25-210 Shipper Label</v>
          </cell>
        </row>
        <row r="868">
          <cell r="A868">
            <v>2126</v>
          </cell>
          <cell r="B868" t="str">
            <v>GM#25-212 Lg Coverall/25</v>
          </cell>
        </row>
        <row r="869">
          <cell r="A869" t="str">
            <v>2126SL</v>
          </cell>
          <cell r="B869" t="str">
            <v>MC KESSON OUTER CTN LABEL</v>
          </cell>
        </row>
        <row r="870">
          <cell r="A870" t="str">
            <v>2126SLF</v>
          </cell>
          <cell r="B870" t="str">
            <v>MGM#25-212 Shipper Label</v>
          </cell>
        </row>
        <row r="871">
          <cell r="A871">
            <v>2136</v>
          </cell>
          <cell r="B871" t="str">
            <v>GM#25-213 XL Coverall/25</v>
          </cell>
        </row>
        <row r="872">
          <cell r="A872" t="str">
            <v>2136SL</v>
          </cell>
          <cell r="B872" t="str">
            <v>MC KESSON OUTER CTN LABEL</v>
          </cell>
        </row>
        <row r="873">
          <cell r="A873" t="str">
            <v>2136SLF</v>
          </cell>
          <cell r="B873" t="str">
            <v>MGM#25-213 Shipper Label</v>
          </cell>
        </row>
        <row r="874">
          <cell r="A874">
            <v>2146</v>
          </cell>
          <cell r="B874" t="str">
            <v>GM#25-214 Lg Coverall/25</v>
          </cell>
        </row>
        <row r="875">
          <cell r="A875" t="str">
            <v>2146SL</v>
          </cell>
          <cell r="B875" t="str">
            <v>McKesson#25-214 Shpr Labl</v>
          </cell>
        </row>
        <row r="876">
          <cell r="A876" t="str">
            <v>2146SLF</v>
          </cell>
          <cell r="B876" t="str">
            <v>MGM#25-214 Shipper Label</v>
          </cell>
        </row>
        <row r="877">
          <cell r="A877">
            <v>2150</v>
          </cell>
          <cell r="B877" t="str">
            <v>Ster Dressing Chg Tray/20</v>
          </cell>
        </row>
        <row r="878">
          <cell r="A878" t="str">
            <v>2150A</v>
          </cell>
          <cell r="B878" t="str">
            <v>Cotton Ball Medium</v>
          </cell>
        </row>
        <row r="879">
          <cell r="A879" t="str">
            <v>2150SL</v>
          </cell>
          <cell r="B879" t="str">
            <v>OUTER CTN LABELW/BARCODE</v>
          </cell>
        </row>
        <row r="880">
          <cell r="A880">
            <v>2156</v>
          </cell>
          <cell r="B880" t="str">
            <v>GM#25-215 XL Coverall/30</v>
          </cell>
        </row>
        <row r="881">
          <cell r="A881" t="str">
            <v>2156SL</v>
          </cell>
          <cell r="B881" t="str">
            <v>McKesson#25-215 Shpr Labl</v>
          </cell>
        </row>
        <row r="882">
          <cell r="A882" t="str">
            <v>2156SLF</v>
          </cell>
          <cell r="B882" t="str">
            <v>MGM#25-215 Shipper Label</v>
          </cell>
        </row>
        <row r="883">
          <cell r="A883">
            <v>2191</v>
          </cell>
          <cell r="B883" t="str">
            <v>Coverall XL w/Elast Cuff</v>
          </cell>
        </row>
        <row r="884">
          <cell r="A884">
            <v>2196</v>
          </cell>
          <cell r="B884" t="str">
            <v>GM#25-219 XL Coverall/25</v>
          </cell>
        </row>
        <row r="885">
          <cell r="A885" t="str">
            <v>2196SLF</v>
          </cell>
          <cell r="B885" t="str">
            <v>MGM#25-219 Shipper Label</v>
          </cell>
        </row>
        <row r="886">
          <cell r="A886">
            <v>2200</v>
          </cell>
          <cell r="B886" t="str">
            <v>Ster CVC Dress Chg Ty/20</v>
          </cell>
        </row>
        <row r="887">
          <cell r="A887">
            <v>2207</v>
          </cell>
          <cell r="B887" t="str">
            <v>N/Ster I.V.START KIT/50CS</v>
          </cell>
        </row>
        <row r="888">
          <cell r="A888" t="str">
            <v>2207A</v>
          </cell>
          <cell r="B888" t="str">
            <v>STER BIOCLUSIVE D/2'X3"</v>
          </cell>
        </row>
        <row r="889">
          <cell r="A889">
            <v>2209</v>
          </cell>
          <cell r="B889" t="str">
            <v>Ster C/Line Dress Chg T30</v>
          </cell>
        </row>
        <row r="890">
          <cell r="A890" t="str">
            <v>2209N</v>
          </cell>
          <cell r="B890" t="str">
            <v>P/F NITRILE W/GLOVES LG</v>
          </cell>
        </row>
        <row r="891">
          <cell r="A891">
            <v>2211</v>
          </cell>
          <cell r="B891" t="str">
            <v>Ster E.R.Laceration Ty/20</v>
          </cell>
        </row>
        <row r="892">
          <cell r="A892">
            <v>2220</v>
          </cell>
          <cell r="B892" t="str">
            <v>Ster Dress Chg Tray/20</v>
          </cell>
        </row>
        <row r="893">
          <cell r="A893" t="str">
            <v>2220SL</v>
          </cell>
          <cell r="B893" t="str">
            <v>SHPR LBL/BARCODE FOR 2220</v>
          </cell>
        </row>
        <row r="894">
          <cell r="A894">
            <v>2221</v>
          </cell>
          <cell r="B894" t="str">
            <v>2X2 Polywide N/adh Dress</v>
          </cell>
        </row>
        <row r="895">
          <cell r="A895">
            <v>2223</v>
          </cell>
          <cell r="B895" t="str">
            <v>3/4"x54" Durapore Tape</v>
          </cell>
        </row>
        <row r="896">
          <cell r="A896">
            <v>2226</v>
          </cell>
          <cell r="B896" t="str">
            <v>Ster Spec/Proced Tray 20c</v>
          </cell>
        </row>
        <row r="897">
          <cell r="A897">
            <v>2234</v>
          </cell>
          <cell r="B897" t="str">
            <v>Ster E.R.Laceration Ty/20</v>
          </cell>
        </row>
        <row r="898">
          <cell r="A898">
            <v>2238</v>
          </cell>
          <cell r="B898" t="str">
            <v>Ster C/Line Dress Chg T30</v>
          </cell>
        </row>
        <row r="899">
          <cell r="A899">
            <v>2246</v>
          </cell>
          <cell r="B899" t="str">
            <v>GM#25-224 Med Labcoat/30</v>
          </cell>
        </row>
        <row r="900">
          <cell r="A900" t="str">
            <v>2246SL</v>
          </cell>
          <cell r="B900" t="str">
            <v>MC KESSON OUTER CTN LABEL</v>
          </cell>
        </row>
        <row r="901">
          <cell r="A901">
            <v>2248</v>
          </cell>
          <cell r="B901" t="str">
            <v>Ster E.R.Laceration Ty/20</v>
          </cell>
        </row>
        <row r="902">
          <cell r="A902" t="str">
            <v>2250D</v>
          </cell>
          <cell r="B902" t="str">
            <v>Dexter Grade#22 CSR Matl</v>
          </cell>
        </row>
        <row r="903">
          <cell r="A903">
            <v>2266</v>
          </cell>
          <cell r="B903" t="str">
            <v>GM#25-226 Med Labcoat/30</v>
          </cell>
        </row>
        <row r="904">
          <cell r="A904" t="str">
            <v>2266SL</v>
          </cell>
          <cell r="B904" t="str">
            <v>MC KESSON OUTER CTN LABEL</v>
          </cell>
        </row>
        <row r="905">
          <cell r="A905">
            <v>2269</v>
          </cell>
          <cell r="B905" t="str">
            <v>Ster S/B 51/2"Scissor/50c</v>
          </cell>
        </row>
        <row r="906">
          <cell r="A906">
            <v>2270</v>
          </cell>
          <cell r="B906" t="str">
            <v>Ster 6'Str Mosq Hemo /50C</v>
          </cell>
        </row>
        <row r="907">
          <cell r="A907">
            <v>2276</v>
          </cell>
          <cell r="B907" t="str">
            <v>GM#25-227 XL Labcoat/30</v>
          </cell>
        </row>
        <row r="908">
          <cell r="A908">
            <v>2280</v>
          </cell>
          <cell r="B908" t="str">
            <v>Ster IV Start Kit/100</v>
          </cell>
        </row>
        <row r="909">
          <cell r="A909" t="str">
            <v>2280SL</v>
          </cell>
          <cell r="B909" t="str">
            <v>OUTER CTN LABEL W/BARCODE</v>
          </cell>
        </row>
        <row r="910">
          <cell r="A910">
            <v>2281</v>
          </cell>
          <cell r="B910" t="str">
            <v>Opsite 2x3"Transp/Dress</v>
          </cell>
        </row>
        <row r="911">
          <cell r="A911">
            <v>2286</v>
          </cell>
          <cell r="B911" t="str">
            <v>GM#25-228 XL Labcoat/30</v>
          </cell>
        </row>
        <row r="912">
          <cell r="A912" t="str">
            <v>2286SL</v>
          </cell>
          <cell r="B912" t="str">
            <v>MC KESSON OUTER CTN LABEL</v>
          </cell>
        </row>
        <row r="913">
          <cell r="A913">
            <v>2301</v>
          </cell>
          <cell r="B913" t="str">
            <v>IPC PE Coated Blue Gown</v>
          </cell>
        </row>
        <row r="914">
          <cell r="A914">
            <v>2306</v>
          </cell>
          <cell r="B914" t="str">
            <v>GM#25-230 Blue Gwn/Opn/50</v>
          </cell>
        </row>
        <row r="915">
          <cell r="A915" t="str">
            <v>2306SL</v>
          </cell>
          <cell r="B915" t="str">
            <v>MC KESSON OUTER CTN LABEL</v>
          </cell>
        </row>
        <row r="916">
          <cell r="A916">
            <v>2317</v>
          </cell>
          <cell r="B916" t="str">
            <v>Stick Sponge Med 1"Gauze</v>
          </cell>
        </row>
        <row r="917">
          <cell r="A917" t="str">
            <v>2326SLF</v>
          </cell>
          <cell r="B917" t="str">
            <v>MGM#25-232 Shipper Label</v>
          </cell>
        </row>
        <row r="918">
          <cell r="A918">
            <v>2336</v>
          </cell>
          <cell r="B918" t="str">
            <v>GM#25-233 Yellow Gown/50</v>
          </cell>
        </row>
        <row r="919">
          <cell r="A919" t="str">
            <v>2336A</v>
          </cell>
          <cell r="B919" t="str">
            <v>GM#25-233 Shipper Label</v>
          </cell>
        </row>
        <row r="920">
          <cell r="A920" t="str">
            <v>2336SL</v>
          </cell>
          <cell r="B920" t="str">
            <v>McKesson#25-236 Shpr Labl</v>
          </cell>
        </row>
        <row r="921">
          <cell r="A921" t="str">
            <v>2336SLF</v>
          </cell>
          <cell r="B921" t="str">
            <v>MGM#25-233 Shipper Label</v>
          </cell>
        </row>
        <row r="922">
          <cell r="A922">
            <v>2343</v>
          </cell>
          <cell r="B922" t="str">
            <v>26 Gaugex1/2" Needle</v>
          </cell>
        </row>
        <row r="923">
          <cell r="A923" t="str">
            <v>2346SL</v>
          </cell>
          <cell r="B923" t="str">
            <v>MC KENNON OUTER CTN LABEL</v>
          </cell>
        </row>
        <row r="924">
          <cell r="A924">
            <v>2347</v>
          </cell>
          <cell r="B924" t="str">
            <v>Blue Vinyl Wire Tie</v>
          </cell>
        </row>
        <row r="925">
          <cell r="A925">
            <v>2356</v>
          </cell>
          <cell r="B925" t="str">
            <v>Shippr Ctn Unprtd/2351/57</v>
          </cell>
        </row>
        <row r="926">
          <cell r="A926">
            <v>2359</v>
          </cell>
          <cell r="B926" t="str">
            <v>6" Wood C.T.A</v>
          </cell>
        </row>
        <row r="927">
          <cell r="A927">
            <v>2361</v>
          </cell>
          <cell r="B927" t="str">
            <v>9"x11" Styrofoam Tray</v>
          </cell>
        </row>
        <row r="928">
          <cell r="A928">
            <v>2363</v>
          </cell>
          <cell r="B928" t="str">
            <v>4X4 Oversponge(#1792)</v>
          </cell>
        </row>
        <row r="929">
          <cell r="A929">
            <v>2366</v>
          </cell>
          <cell r="B929" t="str">
            <v>20 Gauge x 1 1/2" Needle</v>
          </cell>
        </row>
        <row r="930">
          <cell r="A930">
            <v>2426</v>
          </cell>
          <cell r="B930" t="str">
            <v>20cc Luer Lock Syringe</v>
          </cell>
        </row>
        <row r="931">
          <cell r="A931" t="str">
            <v>2426-1</v>
          </cell>
          <cell r="B931" t="str">
            <v>20CC LUER LOCK SYRINGE LF</v>
          </cell>
        </row>
        <row r="932">
          <cell r="A932">
            <v>2485</v>
          </cell>
          <cell r="B932" t="str">
            <v>Ster Wound Mgt Tray/20</v>
          </cell>
        </row>
        <row r="933">
          <cell r="A933">
            <v>2500</v>
          </cell>
          <cell r="B933" t="str">
            <v>28" Apron Material /250</v>
          </cell>
        </row>
        <row r="934">
          <cell r="A934">
            <v>2501</v>
          </cell>
          <cell r="B934" t="str">
            <v>Apron 1pc</v>
          </cell>
        </row>
        <row r="935">
          <cell r="A935">
            <v>2502</v>
          </cell>
          <cell r="B935" t="str">
            <v>Printed Ctn For 250</v>
          </cell>
        </row>
        <row r="936">
          <cell r="A936">
            <v>2544</v>
          </cell>
          <cell r="B936" t="str">
            <v>Ster Nu Gauze Tray/50</v>
          </cell>
        </row>
        <row r="937">
          <cell r="A937">
            <v>2598</v>
          </cell>
          <cell r="B937" t="str">
            <v>Epidural Pain Pack</v>
          </cell>
        </row>
        <row r="938">
          <cell r="A938">
            <v>2681</v>
          </cell>
          <cell r="B938" t="str">
            <v>21" Blue Rayon Cap 1pc</v>
          </cell>
        </row>
        <row r="939">
          <cell r="A939">
            <v>2685</v>
          </cell>
          <cell r="B939" t="str">
            <v>GM#25-2685 Ster E.R.Ty20c</v>
          </cell>
        </row>
        <row r="940">
          <cell r="A940" t="str">
            <v>2685CA</v>
          </cell>
          <cell r="B940" t="str">
            <v>MGM#25-2685 Content Card</v>
          </cell>
        </row>
        <row r="941">
          <cell r="A941" t="str">
            <v>2685SA</v>
          </cell>
          <cell r="B941" t="str">
            <v>MGM#25-2685 Shipper Label</v>
          </cell>
        </row>
        <row r="942">
          <cell r="A942">
            <v>2691</v>
          </cell>
          <cell r="B942" t="str">
            <v>GM#25-2691 Ster ER T/20</v>
          </cell>
        </row>
        <row r="943">
          <cell r="A943" t="str">
            <v>2691CA</v>
          </cell>
          <cell r="B943" t="str">
            <v>MGM#25-2691 Content Card</v>
          </cell>
        </row>
        <row r="944">
          <cell r="A944" t="str">
            <v>2691CA-1</v>
          </cell>
          <cell r="B944" t="str">
            <v>CONTENT CARD F/25-2691</v>
          </cell>
        </row>
        <row r="945">
          <cell r="A945" t="str">
            <v>2691SA</v>
          </cell>
          <cell r="B945" t="str">
            <v>MGM#25-2691 Shipper Label</v>
          </cell>
        </row>
        <row r="946">
          <cell r="A946" t="str">
            <v>2691SA-1</v>
          </cell>
          <cell r="B946" t="str">
            <v>OUTER CTN LABEL F25-2691</v>
          </cell>
        </row>
        <row r="947">
          <cell r="A947">
            <v>2702</v>
          </cell>
          <cell r="B947" t="str">
            <v>270/CTN 13 X 13 X 19 1/2</v>
          </cell>
        </row>
        <row r="948">
          <cell r="A948" t="str">
            <v>2790KR</v>
          </cell>
          <cell r="B948" t="str">
            <v>7MM Crvd Curette K-resin</v>
          </cell>
        </row>
        <row r="949">
          <cell r="A949">
            <v>2798</v>
          </cell>
          <cell r="B949" t="str">
            <v>Bulk 7mm Cvrd Curette/500</v>
          </cell>
        </row>
        <row r="950">
          <cell r="A950" t="str">
            <v>2798SL</v>
          </cell>
          <cell r="B950" t="str">
            <v>SHPR LBL FOR 2798</v>
          </cell>
        </row>
        <row r="951">
          <cell r="A951" t="str">
            <v>2800KR</v>
          </cell>
          <cell r="B951" t="str">
            <v>8MM Crvd Curette K-resin</v>
          </cell>
        </row>
        <row r="952">
          <cell r="A952">
            <v>2801</v>
          </cell>
          <cell r="B952" t="str">
            <v>4Mil Nylon Lldpe</v>
          </cell>
        </row>
        <row r="953">
          <cell r="A953">
            <v>2804</v>
          </cell>
          <cell r="B953" t="str">
            <v>Prntd Ctn for all Curette</v>
          </cell>
        </row>
        <row r="954">
          <cell r="A954">
            <v>2807</v>
          </cell>
          <cell r="B954" t="str">
            <v>Unprinted Ctn</v>
          </cell>
        </row>
        <row r="955">
          <cell r="A955">
            <v>2808</v>
          </cell>
          <cell r="B955" t="str">
            <v>Bulk 8mm Crvd Curette/500</v>
          </cell>
        </row>
        <row r="956">
          <cell r="A956" t="str">
            <v>2808SL</v>
          </cell>
          <cell r="B956" t="str">
            <v>SHPR LBL FOR 2808</v>
          </cell>
        </row>
        <row r="957">
          <cell r="A957" t="str">
            <v>2810KR</v>
          </cell>
          <cell r="B957" t="str">
            <v>9MM Crvd Curette K-Resin</v>
          </cell>
        </row>
        <row r="958">
          <cell r="A958">
            <v>2818</v>
          </cell>
          <cell r="B958" t="str">
            <v>Bulk 9mm Crvd Curette/500</v>
          </cell>
        </row>
        <row r="959">
          <cell r="A959" t="str">
            <v>2818SL</v>
          </cell>
          <cell r="B959" t="str">
            <v>SHPR LBL FOR 2818</v>
          </cell>
        </row>
        <row r="960">
          <cell r="A960" t="str">
            <v>2820KR</v>
          </cell>
          <cell r="B960" t="str">
            <v>10MM Cvd Curette K-Resin</v>
          </cell>
        </row>
        <row r="961">
          <cell r="A961">
            <v>2828</v>
          </cell>
          <cell r="B961" t="str">
            <v>Bulk 10mm Cvd Curette/500</v>
          </cell>
        </row>
        <row r="962">
          <cell r="A962" t="str">
            <v>2828SL</v>
          </cell>
          <cell r="B962" t="str">
            <v>SHPR LBL/BARCODE FOR 2828</v>
          </cell>
        </row>
        <row r="963">
          <cell r="A963" t="str">
            <v>2830KR</v>
          </cell>
          <cell r="B963" t="str">
            <v>11MM Crvd Curette K-Resin</v>
          </cell>
        </row>
        <row r="964">
          <cell r="A964">
            <v>2838</v>
          </cell>
          <cell r="B964" t="str">
            <v>Bulk 11mm Cvd Curette/250</v>
          </cell>
        </row>
        <row r="965">
          <cell r="A965" t="str">
            <v>2838SL</v>
          </cell>
          <cell r="B965" t="str">
            <v>SHPR LBL</v>
          </cell>
        </row>
        <row r="966">
          <cell r="A966" t="str">
            <v>2840KR</v>
          </cell>
          <cell r="B966" t="str">
            <v>12MM Crvd Curette K-Resin</v>
          </cell>
        </row>
        <row r="967">
          <cell r="A967">
            <v>2848</v>
          </cell>
          <cell r="B967" t="str">
            <v>Bulk 12mm Cvd Curette/250</v>
          </cell>
        </row>
        <row r="968">
          <cell r="A968" t="str">
            <v>2848SL</v>
          </cell>
          <cell r="B968" t="str">
            <v>SHPR LBL FOR 2848</v>
          </cell>
        </row>
        <row r="969">
          <cell r="A969">
            <v>2851</v>
          </cell>
          <cell r="B969" t="str">
            <v>14MM Crvd Blnk Pvc Curett</v>
          </cell>
        </row>
        <row r="970">
          <cell r="A970" t="str">
            <v>2851C</v>
          </cell>
          <cell r="B970" t="str">
            <v>14MM Curette Cut Open</v>
          </cell>
        </row>
        <row r="971">
          <cell r="A971">
            <v>2852</v>
          </cell>
          <cell r="B971" t="str">
            <v>14MM Crvd Pvc Curette Cut</v>
          </cell>
        </row>
        <row r="972">
          <cell r="A972">
            <v>2858</v>
          </cell>
          <cell r="B972" t="str">
            <v>Bulk 14mm Cvd Curette/250</v>
          </cell>
        </row>
        <row r="973">
          <cell r="A973" t="str">
            <v>2858SL</v>
          </cell>
          <cell r="B973" t="str">
            <v>SHPR LBL FOR 2858</v>
          </cell>
        </row>
        <row r="974">
          <cell r="A974" t="str">
            <v>2900B</v>
          </cell>
          <cell r="B974" t="str">
            <v>Assem Poole Suction Instr</v>
          </cell>
        </row>
        <row r="975">
          <cell r="A975" t="str">
            <v>2900F</v>
          </cell>
          <cell r="B975" t="str">
            <v>Mold Filter Ivory</v>
          </cell>
        </row>
        <row r="976">
          <cell r="A976" t="str">
            <v>2900H</v>
          </cell>
          <cell r="B976" t="str">
            <v>Mold Poole Handle Ivory</v>
          </cell>
        </row>
        <row r="977">
          <cell r="A977" t="str">
            <v>2900S</v>
          </cell>
          <cell r="B977" t="str">
            <v>Mold Stem Ivory</v>
          </cell>
        </row>
        <row r="978">
          <cell r="A978" t="str">
            <v>2901B</v>
          </cell>
          <cell r="B978" t="str">
            <v>Assm Poole Sction Instr/P</v>
          </cell>
        </row>
        <row r="979">
          <cell r="A979" t="str">
            <v>2901F</v>
          </cell>
          <cell r="B979" t="str">
            <v>Molded Poole Filter</v>
          </cell>
        </row>
        <row r="980">
          <cell r="A980" t="str">
            <v>2901H</v>
          </cell>
          <cell r="B980" t="str">
            <v>Molded Poole Handle</v>
          </cell>
        </row>
        <row r="981">
          <cell r="A981" t="str">
            <v>2901S</v>
          </cell>
          <cell r="B981" t="str">
            <v>Molded Poole Stem</v>
          </cell>
        </row>
        <row r="982">
          <cell r="A982">
            <v>2904</v>
          </cell>
          <cell r="B982" t="str">
            <v>Ster Poole/Alleg/K770/50C</v>
          </cell>
        </row>
        <row r="983">
          <cell r="A983" t="str">
            <v>2904SL</v>
          </cell>
          <cell r="B983" t="str">
            <v>OUTER CTN LABEL</v>
          </cell>
        </row>
        <row r="984">
          <cell r="A984">
            <v>2906</v>
          </cell>
          <cell r="B984" t="str">
            <v>Unprinted Shipper for 290</v>
          </cell>
        </row>
        <row r="985">
          <cell r="A985">
            <v>2912</v>
          </cell>
          <cell r="B985" t="str">
            <v>Unp Ship for 291/302/3/5</v>
          </cell>
        </row>
        <row r="986">
          <cell r="A986">
            <v>2914</v>
          </cell>
          <cell r="B986" t="str">
            <v>STER P/W/T/Alleg/K776/20C</v>
          </cell>
        </row>
        <row r="987">
          <cell r="A987" t="str">
            <v>2914SL</v>
          </cell>
          <cell r="B987" t="str">
            <v>OUTER CTN LABEL</v>
          </cell>
        </row>
        <row r="988">
          <cell r="A988" t="str">
            <v>2914SL-1</v>
          </cell>
          <cell r="B988" t="str">
            <v>OUTER CTN LABEL</v>
          </cell>
        </row>
        <row r="989">
          <cell r="A989">
            <v>2920</v>
          </cell>
          <cell r="B989" t="str">
            <v>Bulk Poole Suction/700</v>
          </cell>
        </row>
        <row r="990">
          <cell r="A990" t="str">
            <v>2920SL</v>
          </cell>
          <cell r="B990" t="str">
            <v>SHIPPER LABELS</v>
          </cell>
        </row>
        <row r="991">
          <cell r="A991">
            <v>2932</v>
          </cell>
          <cell r="B991" t="str">
            <v>Pouch for 293 294</v>
          </cell>
        </row>
        <row r="992">
          <cell r="A992">
            <v>2936</v>
          </cell>
          <cell r="B992" t="str">
            <v>Unp Ship for 293</v>
          </cell>
        </row>
        <row r="993">
          <cell r="A993">
            <v>2962</v>
          </cell>
          <cell r="B993" t="str">
            <v>8Mil Coated Alloy Film</v>
          </cell>
        </row>
        <row r="994">
          <cell r="A994" t="str">
            <v>2962K0</v>
          </cell>
          <cell r="B994" t="str">
            <v>Bent Yank w/oVent no logo</v>
          </cell>
        </row>
        <row r="995">
          <cell r="A995" t="str">
            <v>2962KN</v>
          </cell>
          <cell r="B995" t="str">
            <v>MOLD YANK UNBENT O/TIP</v>
          </cell>
        </row>
        <row r="996">
          <cell r="A996" t="str">
            <v>2962M</v>
          </cell>
          <cell r="B996" t="str">
            <v>MOLD YANK OP/TIP/MARVALOY</v>
          </cell>
        </row>
        <row r="997">
          <cell r="A997" t="str">
            <v>2962MB</v>
          </cell>
          <cell r="B997" t="str">
            <v>BENT YANK W/O/V/MARVALOY</v>
          </cell>
        </row>
        <row r="998">
          <cell r="A998" t="str">
            <v>2962T</v>
          </cell>
          <cell r="B998" t="str">
            <v>MLD YANK/OPEN TIP W/O/V/S</v>
          </cell>
        </row>
        <row r="999">
          <cell r="A999" t="str">
            <v>2962TB</v>
          </cell>
          <cell r="B999" t="str">
            <v>YANK OPEN TIPW/O VENT/B</v>
          </cell>
        </row>
        <row r="1000">
          <cell r="A1000" t="str">
            <v>2962Z</v>
          </cell>
          <cell r="B1000" t="str">
            <v>K-Resin B/W/Blue Tnt</v>
          </cell>
        </row>
        <row r="1001">
          <cell r="A1001" t="str">
            <v>2963A</v>
          </cell>
          <cell r="B1001" t="str">
            <v>25X13X38X.00125 LLDPE BAG</v>
          </cell>
        </row>
        <row r="1002">
          <cell r="A1002" t="str">
            <v>2965M</v>
          </cell>
          <cell r="B1002" t="str">
            <v>MARVALOY B/RESIN #840194</v>
          </cell>
        </row>
        <row r="1003">
          <cell r="A1003" t="str">
            <v>2965T</v>
          </cell>
          <cell r="B1003" t="str">
            <v>T2802TR MABS TERLUX/RESIN</v>
          </cell>
        </row>
        <row r="1004">
          <cell r="A1004">
            <v>2966</v>
          </cell>
          <cell r="B1004" t="str">
            <v>Bulk Yank w/o Vent/700</v>
          </cell>
        </row>
        <row r="1005">
          <cell r="A1005" t="str">
            <v>2966SL</v>
          </cell>
          <cell r="B1005" t="str">
            <v>SMALL SHIPPER LABEL</v>
          </cell>
        </row>
        <row r="1006">
          <cell r="A1006">
            <v>2968</v>
          </cell>
          <cell r="B1006" t="str">
            <v>Bulk Yank Open Tip 700/cs</v>
          </cell>
        </row>
        <row r="1007">
          <cell r="A1007" t="str">
            <v>2972K0</v>
          </cell>
          <cell r="B1007" t="str">
            <v>Yank w/o logo,w/vent,bent</v>
          </cell>
        </row>
        <row r="1008">
          <cell r="A1008" t="str">
            <v>2972KN</v>
          </cell>
          <cell r="B1008" t="str">
            <v>MOLD YANK UNBENT O/T/W/V</v>
          </cell>
        </row>
        <row r="1009">
          <cell r="A1009" t="str">
            <v>2972M</v>
          </cell>
          <cell r="B1009" t="str">
            <v>MLD YANK W/V/O/T/MARVALOY</v>
          </cell>
        </row>
        <row r="1010">
          <cell r="A1010" t="str">
            <v>2972MB</v>
          </cell>
          <cell r="B1010" t="str">
            <v>BENT YANK/O/T/W/VMARVALOY</v>
          </cell>
        </row>
        <row r="1011">
          <cell r="A1011" t="str">
            <v>2972T</v>
          </cell>
          <cell r="B1011" t="str">
            <v>MOLDED YANK OPEN TIP W/V</v>
          </cell>
        </row>
        <row r="1012">
          <cell r="A1012" t="str">
            <v>2972TB</v>
          </cell>
          <cell r="B1012" t="str">
            <v>YANK OPEN TIP W/VENT/BENT</v>
          </cell>
        </row>
        <row r="1013">
          <cell r="A1013">
            <v>2976</v>
          </cell>
          <cell r="B1013" t="str">
            <v>Bulk Yank w/vent /700</v>
          </cell>
        </row>
        <row r="1014">
          <cell r="A1014" t="str">
            <v>2976SL</v>
          </cell>
          <cell r="B1014" t="str">
            <v>SMALL SHIPPER LABEL</v>
          </cell>
        </row>
        <row r="1015">
          <cell r="A1015">
            <v>2978</v>
          </cell>
          <cell r="B1015" t="str">
            <v>Bulk Yank Open Tip W/V700</v>
          </cell>
        </row>
        <row r="1016">
          <cell r="A1016" t="str">
            <v>2982K0</v>
          </cell>
          <cell r="B1016" t="str">
            <v>Bent Yank w/oVent no logo</v>
          </cell>
        </row>
        <row r="1017">
          <cell r="A1017" t="str">
            <v>2982KN</v>
          </cell>
          <cell r="B1017" t="str">
            <v>MOLD YANK UNBENT W/O/VENT</v>
          </cell>
        </row>
        <row r="1018">
          <cell r="A1018" t="str">
            <v>2982M</v>
          </cell>
          <cell r="B1018" t="str">
            <v>MOLD YANK WO/V/B/MARVALOY</v>
          </cell>
        </row>
        <row r="1019">
          <cell r="A1019" t="str">
            <v>2982MB</v>
          </cell>
          <cell r="B1019" t="str">
            <v>YANK WO/V /BENT/MARVALOY</v>
          </cell>
        </row>
        <row r="1020">
          <cell r="A1020" t="str">
            <v>2982T</v>
          </cell>
          <cell r="B1020" t="str">
            <v>MLD YANK BULB TIP W/OVENT</v>
          </cell>
        </row>
        <row r="1021">
          <cell r="A1021" t="str">
            <v>2982TB</v>
          </cell>
          <cell r="B1021" t="str">
            <v>YANK BULB TIP W/O /V/BNT</v>
          </cell>
        </row>
        <row r="1022">
          <cell r="A1022">
            <v>2984</v>
          </cell>
          <cell r="B1022" t="str">
            <v>Printed Ctn for Yankauers</v>
          </cell>
        </row>
        <row r="1023">
          <cell r="A1023" t="str">
            <v>2984S</v>
          </cell>
          <cell r="B1023" t="str">
            <v>Printed Carton for 298</v>
          </cell>
        </row>
        <row r="1024">
          <cell r="A1024">
            <v>2986</v>
          </cell>
          <cell r="B1024" t="str">
            <v>Bulk Yank w/o Vent /700</v>
          </cell>
        </row>
        <row r="1025">
          <cell r="A1025" t="str">
            <v>2986SL</v>
          </cell>
          <cell r="B1025" t="str">
            <v>SMALL SHIPPER LABEL</v>
          </cell>
        </row>
        <row r="1026">
          <cell r="A1026">
            <v>2988</v>
          </cell>
          <cell r="B1026" t="str">
            <v>Bulk Yank Bulb T/W/O/V700</v>
          </cell>
        </row>
        <row r="1027">
          <cell r="A1027" t="str">
            <v>2992K0</v>
          </cell>
          <cell r="B1027" t="str">
            <v>Yank w/o logo w/vent/bent</v>
          </cell>
        </row>
        <row r="1028">
          <cell r="A1028" t="str">
            <v>2992KN</v>
          </cell>
          <cell r="B1028" t="str">
            <v>Yank w/o Logo w/vent strt</v>
          </cell>
        </row>
        <row r="1029">
          <cell r="A1029" t="str">
            <v>2992M</v>
          </cell>
          <cell r="B1029" t="str">
            <v>MOLD YANK W/VENT/MARVALOY</v>
          </cell>
        </row>
        <row r="1030">
          <cell r="A1030" t="str">
            <v>2992MB</v>
          </cell>
          <cell r="B1030" t="str">
            <v>BENT YANK W/V BT/MARVALOY</v>
          </cell>
        </row>
        <row r="1031">
          <cell r="A1031" t="str">
            <v>2992T</v>
          </cell>
          <cell r="B1031" t="str">
            <v>MLD YANK BULB TIP W/VENT</v>
          </cell>
        </row>
        <row r="1032">
          <cell r="A1032" t="str">
            <v>2992TB</v>
          </cell>
          <cell r="B1032" t="str">
            <v>YANK/BULB TIP W/VENT BENT</v>
          </cell>
        </row>
        <row r="1033">
          <cell r="A1033">
            <v>2996</v>
          </cell>
          <cell r="B1033" t="str">
            <v>Bulk Yank w/vent /700</v>
          </cell>
        </row>
        <row r="1034">
          <cell r="A1034" t="str">
            <v>2996SL</v>
          </cell>
          <cell r="B1034" t="str">
            <v>SHIPPER LABEL</v>
          </cell>
        </row>
        <row r="1035">
          <cell r="A1035">
            <v>2998</v>
          </cell>
          <cell r="B1035" t="str">
            <v>Bulk Yank Bulb Tip W/V700</v>
          </cell>
        </row>
        <row r="1036">
          <cell r="A1036">
            <v>3003</v>
          </cell>
          <cell r="B1036" t="str">
            <v>Styrofoam Tray 5 1/2"x8"</v>
          </cell>
        </row>
        <row r="1037">
          <cell r="A1037">
            <v>3005</v>
          </cell>
          <cell r="B1037" t="str">
            <v>Ster Central L/Dress T/50</v>
          </cell>
        </row>
        <row r="1038">
          <cell r="A1038" t="str">
            <v>3005A</v>
          </cell>
          <cell r="B1038" t="str">
            <v>1"x4" Transpore Strip</v>
          </cell>
        </row>
        <row r="1039">
          <cell r="A1039" t="str">
            <v>3005SL</v>
          </cell>
          <cell r="B1039" t="str">
            <v>OUTER CTN LABEL W/BARCODE</v>
          </cell>
        </row>
        <row r="1040">
          <cell r="A1040">
            <v>3008</v>
          </cell>
          <cell r="B1040" t="str">
            <v>N/Ster Trach Kit#C1159/20</v>
          </cell>
        </row>
        <row r="1041">
          <cell r="A1041">
            <v>3009</v>
          </cell>
          <cell r="B1041" t="str">
            <v>N/Ster Dress Chg#C1160/20</v>
          </cell>
        </row>
        <row r="1042">
          <cell r="A1042" t="str">
            <v>3009A</v>
          </cell>
          <cell r="B1042" t="str">
            <v>Tower Tear Bag 8" X 12"</v>
          </cell>
        </row>
        <row r="1043">
          <cell r="A1043">
            <v>3016</v>
          </cell>
          <cell r="B1043" t="str">
            <v>#1538 1"x18"Durapore Tape</v>
          </cell>
        </row>
        <row r="1044">
          <cell r="A1044">
            <v>3022</v>
          </cell>
          <cell r="B1044" t="str">
            <v>Ptd Shipper for 302 303</v>
          </cell>
        </row>
        <row r="1045">
          <cell r="A1045">
            <v>3024</v>
          </cell>
          <cell r="B1045" t="str">
            <v>Unprinted Box for Mask</v>
          </cell>
        </row>
        <row r="1046">
          <cell r="A1046">
            <v>3051</v>
          </cell>
          <cell r="B1046" t="str">
            <v>Unprinted Carton</v>
          </cell>
        </row>
        <row r="1047">
          <cell r="A1047">
            <v>3055</v>
          </cell>
          <cell r="B1047" t="str">
            <v>Ster V A D Access Kit/20</v>
          </cell>
        </row>
        <row r="1048">
          <cell r="A1048" t="str">
            <v>3055CC</v>
          </cell>
          <cell r="B1048" t="str">
            <v>CNT CRD/BARCODE FOR 3055</v>
          </cell>
        </row>
        <row r="1049">
          <cell r="A1049" t="str">
            <v>3055SL</v>
          </cell>
          <cell r="B1049" t="str">
            <v>SHPR LBL/BARCODE FOR 3055</v>
          </cell>
        </row>
        <row r="1050">
          <cell r="A1050" t="str">
            <v>3086A</v>
          </cell>
          <cell r="B1050" t="str">
            <v>Adh Remover Pads #4023-71</v>
          </cell>
        </row>
        <row r="1051">
          <cell r="A1051" t="str">
            <v>3086B</v>
          </cell>
          <cell r="B1051" t="str">
            <v>#1538 2"x18"Durapore Tape</v>
          </cell>
        </row>
        <row r="1052">
          <cell r="A1052">
            <v>3096</v>
          </cell>
          <cell r="B1052" t="str">
            <v>Ster Dress Change Tray/30</v>
          </cell>
        </row>
        <row r="1053">
          <cell r="A1053" t="str">
            <v>3096A</v>
          </cell>
          <cell r="B1053" t="str">
            <v>Mesh Bandage 2"x10 Yards</v>
          </cell>
        </row>
        <row r="1054">
          <cell r="A1054" t="str">
            <v>3096B</v>
          </cell>
          <cell r="B1054" t="str">
            <v>8"x10" Abdominal Pad</v>
          </cell>
        </row>
        <row r="1055">
          <cell r="A1055" t="str">
            <v>3124B</v>
          </cell>
          <cell r="B1055" t="str">
            <v>1/2"x4" Transpore Strips</v>
          </cell>
        </row>
        <row r="1056">
          <cell r="A1056" t="str">
            <v>3124C</v>
          </cell>
          <cell r="B1056" t="str">
            <v>6"Microbore Extension Set</v>
          </cell>
        </row>
        <row r="1057">
          <cell r="A1057">
            <v>3142</v>
          </cell>
          <cell r="B1057" t="str">
            <v>Ster Dress Change Tray/30</v>
          </cell>
        </row>
        <row r="1058">
          <cell r="A1058" t="str">
            <v>3142SL</v>
          </cell>
          <cell r="B1058" t="str">
            <v>SHPR LBL/BARCODE FOR 3142</v>
          </cell>
        </row>
        <row r="1059">
          <cell r="A1059">
            <v>3143</v>
          </cell>
          <cell r="B1059" t="str">
            <v>#1538 3"x36"Durapore Tape</v>
          </cell>
        </row>
        <row r="1060">
          <cell r="A1060">
            <v>3162</v>
          </cell>
          <cell r="B1060" t="str">
            <v>NSter Denture Cup Lid/500</v>
          </cell>
        </row>
        <row r="1061">
          <cell r="A1061">
            <v>3163</v>
          </cell>
          <cell r="B1061" t="str">
            <v>Ster Dress Irrigation /20</v>
          </cell>
        </row>
        <row r="1062">
          <cell r="A1062" t="str">
            <v>3163A</v>
          </cell>
          <cell r="B1062" t="str">
            <v>Safeskin Powderfree Glove</v>
          </cell>
        </row>
        <row r="1063">
          <cell r="A1063" t="str">
            <v>3163CC</v>
          </cell>
          <cell r="B1063" t="str">
            <v>CONTENT CARD W/B/CODE</v>
          </cell>
        </row>
        <row r="1064">
          <cell r="A1064">
            <v>3166</v>
          </cell>
          <cell r="B1064" t="str">
            <v>Ster ER Laceration T/20</v>
          </cell>
        </row>
        <row r="1065">
          <cell r="A1065" t="str">
            <v>3166A</v>
          </cell>
          <cell r="B1065" t="str">
            <v>Foam Needle "Stick" Pad</v>
          </cell>
        </row>
        <row r="1066">
          <cell r="A1066">
            <v>3173</v>
          </cell>
          <cell r="B1066" t="str">
            <v>12 1/2"x18" Polybag</v>
          </cell>
        </row>
        <row r="1067">
          <cell r="A1067">
            <v>3176</v>
          </cell>
          <cell r="B1067" t="str">
            <v>Ship Ctn 275T/Double Wall</v>
          </cell>
        </row>
        <row r="1068">
          <cell r="A1068">
            <v>3199</v>
          </cell>
          <cell r="B1068" t="str">
            <v>Ster Dialysis Prp Tray/20</v>
          </cell>
        </row>
        <row r="1069">
          <cell r="A1069">
            <v>3201</v>
          </cell>
          <cell r="B1069" t="str">
            <v>8Mil Alloy MZ 2261</v>
          </cell>
        </row>
        <row r="1070">
          <cell r="A1070">
            <v>3202</v>
          </cell>
          <cell r="B1070" t="str">
            <v>DISP BX FOR H 30</v>
          </cell>
        </row>
        <row r="1071">
          <cell r="A1071">
            <v>3203</v>
          </cell>
          <cell r="B1071" t="str">
            <v>18X26Twl w/Embossed Fen.</v>
          </cell>
        </row>
        <row r="1072">
          <cell r="A1072">
            <v>3204</v>
          </cell>
          <cell r="B1072" t="str">
            <v>18X27Twl N/Fen w/embossed</v>
          </cell>
        </row>
        <row r="1073">
          <cell r="A1073">
            <v>3205</v>
          </cell>
          <cell r="B1073" t="str">
            <v>Shipper Carton Printed</v>
          </cell>
        </row>
        <row r="1074">
          <cell r="A1074">
            <v>3207</v>
          </cell>
          <cell r="B1074" t="str">
            <v>13 1/2x19"Twl Emb H30 M10</v>
          </cell>
        </row>
        <row r="1075">
          <cell r="A1075">
            <v>3208</v>
          </cell>
          <cell r="B1075" t="str">
            <v>4X4" 12Ply-Indexed 10's</v>
          </cell>
        </row>
        <row r="1076">
          <cell r="A1076" t="str">
            <v>3208-1</v>
          </cell>
          <cell r="B1076" t="str">
            <v>4X4 12PLY GAUZE INDEX/10</v>
          </cell>
        </row>
        <row r="1077">
          <cell r="A1077" t="str">
            <v>3208-2</v>
          </cell>
          <cell r="B1077" t="str">
            <v>4"X4"12PLYGAUZE/PROCESS10</v>
          </cell>
        </row>
        <row r="1078">
          <cell r="A1078">
            <v>3209</v>
          </cell>
          <cell r="B1078" t="str">
            <v>10-1/2Lb Tissue,18"-2Ply</v>
          </cell>
        </row>
        <row r="1079">
          <cell r="A1079">
            <v>3220</v>
          </cell>
          <cell r="B1079" t="str">
            <v>Ster Minor Pack/80</v>
          </cell>
        </row>
        <row r="1080">
          <cell r="A1080">
            <v>3232</v>
          </cell>
          <cell r="B1080" t="str">
            <v>Disp Box for M10</v>
          </cell>
        </row>
        <row r="1081">
          <cell r="A1081">
            <v>3241</v>
          </cell>
          <cell r="B1081" t="str">
            <v>POUCH FOR SD 50</v>
          </cell>
        </row>
        <row r="1082">
          <cell r="A1082">
            <v>3251</v>
          </cell>
          <cell r="B1082" t="str">
            <v>Pouch for SD51</v>
          </cell>
        </row>
        <row r="1083">
          <cell r="A1083">
            <v>3261</v>
          </cell>
          <cell r="B1083" t="str">
            <v>Label for NSD 52</v>
          </cell>
        </row>
        <row r="1084">
          <cell r="A1084">
            <v>3270</v>
          </cell>
          <cell r="B1084" t="str">
            <v>Non Sterile Drape/300</v>
          </cell>
        </row>
        <row r="1085">
          <cell r="A1085">
            <v>3271</v>
          </cell>
          <cell r="B1085" t="str">
            <v>IPC Bouffant Cap/327</v>
          </cell>
        </row>
        <row r="1086">
          <cell r="A1086">
            <v>3273</v>
          </cell>
          <cell r="B1086" t="str">
            <v>Ptd Ship for NSD52 NSD53</v>
          </cell>
        </row>
        <row r="1087">
          <cell r="A1087">
            <v>3276</v>
          </cell>
          <cell r="B1087" t="str">
            <v>GM#25-327 21" Cap /500</v>
          </cell>
        </row>
        <row r="1088">
          <cell r="A1088" t="str">
            <v>3276DLF</v>
          </cell>
          <cell r="B1088" t="str">
            <v>MGM#25-327 Disp Label</v>
          </cell>
        </row>
        <row r="1089">
          <cell r="A1089" t="str">
            <v>3276SLF</v>
          </cell>
          <cell r="B1089" t="str">
            <v>MGM#25-327 Shipper Label</v>
          </cell>
        </row>
        <row r="1090">
          <cell r="A1090">
            <v>3286</v>
          </cell>
          <cell r="B1090" t="str">
            <v>GM#25-328 Blue 21"Cap/500</v>
          </cell>
        </row>
        <row r="1091">
          <cell r="A1091" t="str">
            <v>3286DLF</v>
          </cell>
          <cell r="B1091" t="str">
            <v>MGM#25-328 Disp Label</v>
          </cell>
        </row>
        <row r="1092">
          <cell r="A1092" t="str">
            <v>3286SLF</v>
          </cell>
          <cell r="B1092" t="str">
            <v>MGM#25-328 Shipper Label</v>
          </cell>
        </row>
        <row r="1093">
          <cell r="A1093">
            <v>3296</v>
          </cell>
          <cell r="B1093" t="str">
            <v>GM#25-329 21" Grn Cap/500</v>
          </cell>
        </row>
        <row r="1094">
          <cell r="A1094" t="str">
            <v>3296DLF</v>
          </cell>
          <cell r="B1094" t="str">
            <v>MGM#25-329 Disp Label</v>
          </cell>
        </row>
        <row r="1095">
          <cell r="A1095" t="str">
            <v>3296SLF</v>
          </cell>
          <cell r="B1095" t="str">
            <v>MGM#25-329 Shipper Label</v>
          </cell>
        </row>
        <row r="1096">
          <cell r="A1096">
            <v>3306</v>
          </cell>
          <cell r="B1096" t="str">
            <v>GM#25-330 Wht 24"Cap/500</v>
          </cell>
        </row>
        <row r="1097">
          <cell r="A1097" t="str">
            <v>3306DLF</v>
          </cell>
          <cell r="B1097" t="str">
            <v>MGM#25-330 Dispenser Lbl</v>
          </cell>
        </row>
        <row r="1098">
          <cell r="A1098" t="str">
            <v>3306SLF</v>
          </cell>
          <cell r="B1098" t="str">
            <v>MGM#25-330 Shipper Label</v>
          </cell>
        </row>
        <row r="1099">
          <cell r="A1099">
            <v>3311</v>
          </cell>
          <cell r="B1099" t="str">
            <v>24"Blue Spunb/Cap/1ea</v>
          </cell>
        </row>
        <row r="1100">
          <cell r="A1100">
            <v>3316</v>
          </cell>
          <cell r="B1100" t="str">
            <v>GM#25-331 Blue 24"Cap/500</v>
          </cell>
        </row>
        <row r="1101">
          <cell r="A1101" t="str">
            <v>3316DLF</v>
          </cell>
          <cell r="B1101" t="str">
            <v>MGM#25-331 Disp Label</v>
          </cell>
        </row>
        <row r="1102">
          <cell r="A1102" t="str">
            <v>3316SLF</v>
          </cell>
          <cell r="B1102" t="str">
            <v>MGM#25-331 Shipper Label</v>
          </cell>
        </row>
        <row r="1103">
          <cell r="A1103">
            <v>3326</v>
          </cell>
          <cell r="B1103" t="str">
            <v>GM#25-332 Green Cap/500</v>
          </cell>
        </row>
        <row r="1104">
          <cell r="A1104" t="str">
            <v>3326DLF</v>
          </cell>
          <cell r="B1104" t="str">
            <v>MGM#25-332 Disp Label</v>
          </cell>
        </row>
        <row r="1105">
          <cell r="A1105" t="str">
            <v>3326SLF</v>
          </cell>
          <cell r="B1105" t="str">
            <v>MGM#25-332 Shipper Label</v>
          </cell>
        </row>
        <row r="1106">
          <cell r="A1106">
            <v>3356</v>
          </cell>
          <cell r="B1106" t="str">
            <v>GM#25-335 Surgeon Cap/500</v>
          </cell>
        </row>
        <row r="1107">
          <cell r="A1107" t="str">
            <v>3356D</v>
          </cell>
          <cell r="B1107" t="str">
            <v>Gm#25-335 Dispenser Label</v>
          </cell>
        </row>
        <row r="1108">
          <cell r="A1108" t="str">
            <v>3356DL</v>
          </cell>
          <cell r="B1108" t="str">
            <v>MC KESSON DISP LABEL</v>
          </cell>
        </row>
        <row r="1109">
          <cell r="A1109" t="str">
            <v>3356S</v>
          </cell>
          <cell r="B1109" t="str">
            <v>GM#25-335 Shipper Label</v>
          </cell>
        </row>
        <row r="1110">
          <cell r="A1110" t="str">
            <v>3356SL</v>
          </cell>
          <cell r="B1110" t="str">
            <v>MC KESSON OUTER CTN LABEL</v>
          </cell>
        </row>
        <row r="1111">
          <cell r="A1111" t="str">
            <v>3374-1</v>
          </cell>
          <cell r="B1111" t="str">
            <v>POLYBAG .0015 MIL CTN/L</v>
          </cell>
        </row>
        <row r="1112">
          <cell r="A1112">
            <v>3377</v>
          </cell>
          <cell r="B1112" t="str">
            <v>1.3oz Blue N/C Spunbond</v>
          </cell>
        </row>
        <row r="1113">
          <cell r="A1113" t="str">
            <v>3377A</v>
          </cell>
          <cell r="B1113" t="str">
            <v>Chin Strap/ Spunbonded PP</v>
          </cell>
        </row>
        <row r="1114">
          <cell r="A1114">
            <v>3381</v>
          </cell>
          <cell r="B1114" t="str">
            <v>Shoe Cover B338MB N/C IPC</v>
          </cell>
        </row>
        <row r="1115">
          <cell r="A1115">
            <v>3386</v>
          </cell>
          <cell r="B1115" t="str">
            <v>GM#25-338 Shoecovers/150</v>
          </cell>
        </row>
        <row r="1116">
          <cell r="A1116" t="str">
            <v>3386SLF</v>
          </cell>
          <cell r="B1116" t="str">
            <v>MGM#25-338 Shipper Label</v>
          </cell>
        </row>
        <row r="1117">
          <cell r="A1117">
            <v>3388</v>
          </cell>
          <cell r="B1117" t="str">
            <v>Abco#510945 Shoecover/150</v>
          </cell>
        </row>
        <row r="1118">
          <cell r="A1118">
            <v>3396</v>
          </cell>
          <cell r="B1118" t="str">
            <v>Unptd Outer Ctn 3pk/Disp</v>
          </cell>
        </row>
        <row r="1119">
          <cell r="A1119" t="str">
            <v>3402T</v>
          </cell>
          <cell r="B1119" t="str">
            <v>White Poly/CSR Wrap23x24"</v>
          </cell>
        </row>
        <row r="1120">
          <cell r="A1120">
            <v>3405</v>
          </cell>
          <cell r="B1120" t="str">
            <v>Abco#510946 Shoecover/150</v>
          </cell>
        </row>
        <row r="1121">
          <cell r="A1121">
            <v>3406</v>
          </cell>
          <cell r="B1121" t="str">
            <v>GM#25-340 Shoecover/150</v>
          </cell>
        </row>
        <row r="1122">
          <cell r="A1122" t="str">
            <v>3406D</v>
          </cell>
          <cell r="B1122" t="str">
            <v>GM#25-340 Dispenser Label</v>
          </cell>
        </row>
        <row r="1123">
          <cell r="A1123" t="str">
            <v>3406DL</v>
          </cell>
          <cell r="B1123" t="str">
            <v>McKesson#25-340 Disp Lbl</v>
          </cell>
        </row>
        <row r="1124">
          <cell r="A1124" t="str">
            <v>3406DLF</v>
          </cell>
          <cell r="B1124" t="str">
            <v>MGM#25-340 Disp Label</v>
          </cell>
        </row>
        <row r="1125">
          <cell r="A1125" t="str">
            <v>3406SLF</v>
          </cell>
          <cell r="B1125" t="str">
            <v>MGM#25-340 Shipper Label</v>
          </cell>
        </row>
        <row r="1126">
          <cell r="A1126">
            <v>3434</v>
          </cell>
          <cell r="B1126" t="str">
            <v>Unprtd Shipper for 3436</v>
          </cell>
        </row>
        <row r="1127">
          <cell r="A1127">
            <v>3444</v>
          </cell>
          <cell r="B1127" t="str">
            <v>Ster Instrument Tray/20</v>
          </cell>
        </row>
        <row r="1128">
          <cell r="A1128" t="str">
            <v>3444L</v>
          </cell>
          <cell r="B1128" t="str">
            <v>WALLET/L/GLOVES POWDER/F</v>
          </cell>
        </row>
        <row r="1129">
          <cell r="A1129" t="str">
            <v>3444SL</v>
          </cell>
          <cell r="B1129" t="str">
            <v>SHPR LBL FOR 3444</v>
          </cell>
        </row>
        <row r="1130">
          <cell r="A1130">
            <v>3461</v>
          </cell>
          <cell r="B1130" t="str">
            <v>Non-Skid Shoe Covers</v>
          </cell>
        </row>
        <row r="1131">
          <cell r="A1131">
            <v>3466</v>
          </cell>
          <cell r="B1131" t="str">
            <v>GM#25-346 Shoecover/150</v>
          </cell>
        </row>
        <row r="1132">
          <cell r="A1132" t="str">
            <v>3466SLF</v>
          </cell>
          <cell r="B1132" t="str">
            <v>MGM#25-346 Shipper Label</v>
          </cell>
        </row>
        <row r="1133">
          <cell r="A1133">
            <v>3468</v>
          </cell>
          <cell r="B1133" t="str">
            <v>Abco#510959 Shoecover/150</v>
          </cell>
        </row>
        <row r="1134">
          <cell r="A1134">
            <v>3476</v>
          </cell>
          <cell r="B1134" t="str">
            <v>GM#25-347 XL Shoecvr/100</v>
          </cell>
        </row>
        <row r="1135">
          <cell r="A1135" t="str">
            <v>3476S</v>
          </cell>
          <cell r="B1135" t="str">
            <v>GM#25-347 Shipper Label</v>
          </cell>
        </row>
        <row r="1136">
          <cell r="A1136" t="str">
            <v>3476SLF</v>
          </cell>
          <cell r="B1136" t="str">
            <v>OUTER CTN LABEL 25-347 LF</v>
          </cell>
        </row>
        <row r="1137">
          <cell r="A1137">
            <v>3483</v>
          </cell>
          <cell r="B1137" t="str">
            <v>ABCO DISP LABEL FOR 3488</v>
          </cell>
        </row>
        <row r="1138">
          <cell r="A1138">
            <v>3484</v>
          </cell>
          <cell r="B1138" t="str">
            <v>ABCO OUTER CTN LABEL FOR</v>
          </cell>
        </row>
        <row r="1139">
          <cell r="A1139">
            <v>3486</v>
          </cell>
          <cell r="B1139" t="str">
            <v>GM#25-348 Shoecover/150</v>
          </cell>
        </row>
        <row r="1140">
          <cell r="A1140" t="str">
            <v>3486D</v>
          </cell>
          <cell r="B1140" t="str">
            <v>GM#25-348 Dispenser Label</v>
          </cell>
        </row>
        <row r="1141">
          <cell r="A1141" t="str">
            <v>3486DLF</v>
          </cell>
          <cell r="B1141" t="str">
            <v>MGM#25-348 Disp Label</v>
          </cell>
        </row>
        <row r="1142">
          <cell r="A1142" t="str">
            <v>3486SLF</v>
          </cell>
          <cell r="B1142" t="str">
            <v>MGM#25-348 Shipper Label</v>
          </cell>
        </row>
        <row r="1143">
          <cell r="A1143">
            <v>3488</v>
          </cell>
          <cell r="B1143" t="str">
            <v>Abco#510960 Shoecover/150</v>
          </cell>
        </row>
        <row r="1144">
          <cell r="A1144">
            <v>3496</v>
          </cell>
          <cell r="B1144" t="str">
            <v>GM#25-349 Shoecover /100</v>
          </cell>
        </row>
        <row r="1145">
          <cell r="A1145" t="str">
            <v>3496S</v>
          </cell>
          <cell r="B1145" t="str">
            <v>GM#25-349 Shipper Label</v>
          </cell>
        </row>
        <row r="1146">
          <cell r="A1146" t="str">
            <v>3496SLF</v>
          </cell>
          <cell r="B1146" t="str">
            <v>MGM#25-349 Shipper Label</v>
          </cell>
        </row>
        <row r="1147">
          <cell r="A1147">
            <v>3582</v>
          </cell>
          <cell r="B1147" t="str">
            <v>Ster V.A.D. Access Kit/30</v>
          </cell>
        </row>
        <row r="1148">
          <cell r="A1148" t="str">
            <v>3582-1</v>
          </cell>
          <cell r="B1148" t="str">
            <v>N/S PVP IOD SCRUB S/S{3}</v>
          </cell>
        </row>
        <row r="1149">
          <cell r="A1149" t="str">
            <v>3582B</v>
          </cell>
          <cell r="B1149" t="str">
            <v>30ml Vial Sodium Chloride</v>
          </cell>
        </row>
        <row r="1150">
          <cell r="A1150" t="str">
            <v>3582BI-1</v>
          </cell>
          <cell r="B1150" t="str">
            <v>SODIUM CHLORIDE INSERT</v>
          </cell>
        </row>
        <row r="1151">
          <cell r="A1151" t="str">
            <v>3582C</v>
          </cell>
          <cell r="B1151" t="str">
            <v>10ml Vial Heparin Sol.</v>
          </cell>
        </row>
        <row r="1152">
          <cell r="A1152" t="str">
            <v>3582CC</v>
          </cell>
          <cell r="B1152" t="str">
            <v>CNT CRD/BARCODE FOR 3582</v>
          </cell>
        </row>
        <row r="1153">
          <cell r="A1153" t="str">
            <v>3582CI</v>
          </cell>
          <cell r="B1153" t="str">
            <v>Heparin Solution Insert</v>
          </cell>
        </row>
        <row r="1154">
          <cell r="A1154" t="str">
            <v>3582SL</v>
          </cell>
          <cell r="B1154" t="str">
            <v>SHP LBLS/BARCODE FOR 3582</v>
          </cell>
        </row>
        <row r="1155">
          <cell r="A1155" t="str">
            <v>3582T</v>
          </cell>
          <cell r="B1155" t="str">
            <v>1/2"x18"Transpore Tape</v>
          </cell>
        </row>
        <row r="1156">
          <cell r="A1156">
            <v>3607</v>
          </cell>
          <cell r="B1156" t="str">
            <v>Ster IV Start Kit/50</v>
          </cell>
        </row>
        <row r="1157">
          <cell r="A1157" t="str">
            <v>3607SL</v>
          </cell>
          <cell r="B1157" t="str">
            <v>SHP CRT LBL/BARCODE 3607</v>
          </cell>
        </row>
        <row r="1158">
          <cell r="A1158">
            <v>3609</v>
          </cell>
          <cell r="B1158" t="str">
            <v>Ster IV Start Kit /50</v>
          </cell>
        </row>
        <row r="1159">
          <cell r="A1159" t="str">
            <v>3609-1</v>
          </cell>
          <cell r="B1159" t="str">
            <v>IODINE REMOVAL PADS</v>
          </cell>
        </row>
        <row r="1160">
          <cell r="A1160" t="str">
            <v>3609A</v>
          </cell>
          <cell r="B1160" t="str">
            <v>4X4 Topper Dressing</v>
          </cell>
        </row>
        <row r="1161">
          <cell r="A1161" t="str">
            <v>3609B</v>
          </cell>
          <cell r="B1161" t="str">
            <v>Iodine Removal Pads</v>
          </cell>
        </row>
        <row r="1162">
          <cell r="A1162" t="str">
            <v>3609C</v>
          </cell>
          <cell r="B1162" t="str">
            <v>Sterile J Loop</v>
          </cell>
        </row>
        <row r="1163">
          <cell r="A1163" t="str">
            <v>3609D</v>
          </cell>
          <cell r="B1163" t="str">
            <v>Sm Latex Glove Cuffed</v>
          </cell>
        </row>
        <row r="1164">
          <cell r="A1164" t="str">
            <v>3609SL</v>
          </cell>
          <cell r="B1164" t="str">
            <v>SHP LBL/BARCODE FOR 3609</v>
          </cell>
        </row>
        <row r="1165">
          <cell r="A1165">
            <v>3621</v>
          </cell>
          <cell r="B1165" t="str">
            <v>5.5"Kelly Forcep Straight</v>
          </cell>
        </row>
        <row r="1166">
          <cell r="A1166" t="str">
            <v>3637A</v>
          </cell>
          <cell r="B1166" t="str">
            <v>2x3"Biopore Transp Dress</v>
          </cell>
        </row>
        <row r="1167">
          <cell r="A1167">
            <v>3643</v>
          </cell>
          <cell r="B1167" t="str">
            <v>Ster 1 Step Gel Prep T/30</v>
          </cell>
        </row>
        <row r="1168">
          <cell r="A1168" t="str">
            <v>3643A</v>
          </cell>
          <cell r="B1168" t="str">
            <v>Winged Sponge(Large)</v>
          </cell>
        </row>
        <row r="1169">
          <cell r="A1169" t="str">
            <v>3643A-1</v>
          </cell>
          <cell r="B1169" t="str">
            <v>LARGE FOAM WINGED SPONGE</v>
          </cell>
        </row>
        <row r="1170">
          <cell r="A1170" t="str">
            <v>3643B</v>
          </cell>
          <cell r="B1170" t="str">
            <v>4 oz.Povidine-Iodine Gel</v>
          </cell>
        </row>
        <row r="1171">
          <cell r="A1171" t="str">
            <v>3643T</v>
          </cell>
          <cell r="B1171" t="str">
            <v>UNITEAR BAG 8"X12" 4 MIL</v>
          </cell>
        </row>
        <row r="1172">
          <cell r="A1172">
            <v>3645</v>
          </cell>
          <cell r="B1172" t="str">
            <v>Ster ER Laceration T/20</v>
          </cell>
        </row>
        <row r="1173">
          <cell r="A1173" t="str">
            <v>3645A</v>
          </cell>
          <cell r="B1173" t="str">
            <v>Ster 30 Gaugex1/2 Needle</v>
          </cell>
        </row>
        <row r="1174">
          <cell r="A1174" t="str">
            <v>3645B</v>
          </cell>
          <cell r="B1174" t="str">
            <v>8"Dry Stick Sponge</v>
          </cell>
        </row>
        <row r="1175">
          <cell r="A1175" t="str">
            <v>3645B-1</v>
          </cell>
          <cell r="B1175" t="str">
            <v>FOAM SPONGE W/WH/P/HANDLE</v>
          </cell>
        </row>
        <row r="1176">
          <cell r="A1176" t="str">
            <v>3645C</v>
          </cell>
          <cell r="B1176" t="str">
            <v>STERILE 30 G X3/4 Needle</v>
          </cell>
        </row>
        <row r="1177">
          <cell r="A1177" t="str">
            <v>3645CC</v>
          </cell>
          <cell r="B1177" t="str">
            <v>CNT CRD/BARCODE FOR 3645</v>
          </cell>
        </row>
        <row r="1178">
          <cell r="A1178" t="str">
            <v>3645LF</v>
          </cell>
          <cell r="B1178" t="str">
            <v>Latex Free 30Gx3/4 Needle</v>
          </cell>
        </row>
        <row r="1179">
          <cell r="A1179" t="str">
            <v>3645SL</v>
          </cell>
          <cell r="B1179" t="str">
            <v>SHPR LBL/BARCODE FOR3645</v>
          </cell>
        </row>
        <row r="1180">
          <cell r="A1180" t="str">
            <v>3653A</v>
          </cell>
          <cell r="B1180" t="str">
            <v>Clinitube</v>
          </cell>
        </row>
        <row r="1181">
          <cell r="A1181">
            <v>3660</v>
          </cell>
          <cell r="B1181" t="str">
            <v>Ster Two Step Prep T/30</v>
          </cell>
        </row>
        <row r="1182">
          <cell r="A1182" t="str">
            <v>3660A</v>
          </cell>
          <cell r="B1182" t="str">
            <v>2oz Iodine Scrub Solution</v>
          </cell>
        </row>
        <row r="1183">
          <cell r="A1183" t="str">
            <v>3660B</v>
          </cell>
          <cell r="B1183" t="str">
            <v>4oz PVP Paint/Blk Cap</v>
          </cell>
        </row>
        <row r="1184">
          <cell r="A1184" t="str">
            <v>3660C</v>
          </cell>
          <cell r="B1184" t="str">
            <v>IODINE SCRUB SOLUTION 4OZ</v>
          </cell>
        </row>
        <row r="1185">
          <cell r="A1185" t="str">
            <v>3660F</v>
          </cell>
          <cell r="B1185" t="str">
            <v>4oz Iodophor Pvp(foil)</v>
          </cell>
        </row>
        <row r="1186">
          <cell r="A1186" t="str">
            <v>3660FS</v>
          </cell>
          <cell r="B1186" t="str">
            <v>2 oz PVP Scrub -Foil Pk</v>
          </cell>
        </row>
        <row r="1187">
          <cell r="A1187" t="str">
            <v>3660T</v>
          </cell>
          <cell r="B1187" t="str">
            <v>TEAR BAG 11INX13IN 4MIL</v>
          </cell>
        </row>
        <row r="1188">
          <cell r="A1188" t="str">
            <v>3662B</v>
          </cell>
          <cell r="B1188" t="str">
            <v>8x7 1/2" Abdominal Pad</v>
          </cell>
        </row>
        <row r="1189">
          <cell r="A1189">
            <v>3663</v>
          </cell>
          <cell r="B1189" t="str">
            <v>Ster Drss Chng Try/30</v>
          </cell>
        </row>
        <row r="1190">
          <cell r="A1190" t="str">
            <v>3663SL</v>
          </cell>
          <cell r="B1190" t="str">
            <v>SHPR LBL/BARCODE FOR 3663</v>
          </cell>
        </row>
        <row r="1191">
          <cell r="A1191">
            <v>3665</v>
          </cell>
          <cell r="B1191" t="str">
            <v>Ster Laceration Tray/20</v>
          </cell>
        </row>
        <row r="1192">
          <cell r="A1192" t="str">
            <v>3665CC</v>
          </cell>
          <cell r="B1192" t="str">
            <v>CNT CRD/BARCODE FOR3665</v>
          </cell>
        </row>
        <row r="1193">
          <cell r="A1193" t="str">
            <v>3665SL</v>
          </cell>
          <cell r="B1193" t="str">
            <v>SHPR CRT LBL/BARCODE 3665</v>
          </cell>
        </row>
        <row r="1194">
          <cell r="A1194">
            <v>3666</v>
          </cell>
          <cell r="B1194" t="str">
            <v>Ster Dressing TPN Kit/50</v>
          </cell>
        </row>
        <row r="1195">
          <cell r="A1195">
            <v>3667</v>
          </cell>
          <cell r="B1195" t="str">
            <v>Ster Fistula ON/OF/K/20CS</v>
          </cell>
        </row>
        <row r="1196">
          <cell r="A1196">
            <v>3668</v>
          </cell>
          <cell r="B1196" t="str">
            <v>Ster ER Laceration T/20</v>
          </cell>
        </row>
        <row r="1197">
          <cell r="A1197" t="str">
            <v>3668CC</v>
          </cell>
          <cell r="B1197" t="str">
            <v>CNT CRD/BARCODE FOR 3668</v>
          </cell>
        </row>
        <row r="1198">
          <cell r="A1198" t="str">
            <v>3668SL</v>
          </cell>
          <cell r="B1198" t="str">
            <v>SHPR LBL/BARCODE FOR 3668</v>
          </cell>
        </row>
        <row r="1199">
          <cell r="A1199">
            <v>3671</v>
          </cell>
          <cell r="B1199" t="str">
            <v>5ml Lidocaine Ampule</v>
          </cell>
        </row>
        <row r="1200">
          <cell r="A1200" t="str">
            <v>3672A</v>
          </cell>
          <cell r="B1200" t="str">
            <v>Instr Sheet for Lidocaine</v>
          </cell>
        </row>
        <row r="1201">
          <cell r="A1201" t="str">
            <v>3672B</v>
          </cell>
          <cell r="B1201" t="str">
            <v>Foam Holder for Lidocaine</v>
          </cell>
        </row>
        <row r="1202">
          <cell r="A1202">
            <v>3673</v>
          </cell>
          <cell r="B1202" t="str">
            <v>Ster IV Start Kit/50</v>
          </cell>
        </row>
        <row r="1203">
          <cell r="A1203" t="str">
            <v>3673A</v>
          </cell>
          <cell r="B1203" t="str">
            <v>I.V. Site Label(Green)</v>
          </cell>
        </row>
        <row r="1204">
          <cell r="A1204">
            <v>3680</v>
          </cell>
          <cell r="B1204" t="str">
            <v>Ster Dress Change Tray/20</v>
          </cell>
        </row>
        <row r="1205">
          <cell r="A1205" t="str">
            <v>3680SL</v>
          </cell>
          <cell r="B1205" t="str">
            <v>SHPR LBL/BARCODE FOR 3680</v>
          </cell>
        </row>
        <row r="1206">
          <cell r="A1206">
            <v>3687</v>
          </cell>
          <cell r="B1206" t="str">
            <v>Clean 1/4"Y Connector/504</v>
          </cell>
        </row>
        <row r="1207">
          <cell r="A1207" t="str">
            <v>3687A</v>
          </cell>
          <cell r="B1207" t="str">
            <v>Label Sppy(Graham Field)</v>
          </cell>
        </row>
        <row r="1208">
          <cell r="A1208" t="str">
            <v>3697CC</v>
          </cell>
          <cell r="B1208" t="str">
            <v>CNT CRD/BARCODE FOR 3697</v>
          </cell>
        </row>
        <row r="1209">
          <cell r="A1209" t="str">
            <v>3697SL</v>
          </cell>
          <cell r="B1209" t="str">
            <v>SHPR LBL/BARCODE FOR 3697</v>
          </cell>
        </row>
        <row r="1210">
          <cell r="A1210">
            <v>3700</v>
          </cell>
          <cell r="B1210" t="str">
            <v>Darby#9513234 Mask/1000</v>
          </cell>
        </row>
        <row r="1211">
          <cell r="A1211" t="str">
            <v>3701A</v>
          </cell>
          <cell r="B1211" t="str">
            <v>Grade#11399 White Mat/380</v>
          </cell>
        </row>
        <row r="1212">
          <cell r="A1212" t="str">
            <v>3702M</v>
          </cell>
          <cell r="B1212" t="str">
            <v>Bulk Ylw Iso Mask/1000</v>
          </cell>
        </row>
        <row r="1213">
          <cell r="A1213" t="str">
            <v>3702MSL</v>
          </cell>
          <cell r="B1213" t="str">
            <v>SHIPP LABEL</v>
          </cell>
        </row>
        <row r="1214">
          <cell r="A1214" t="str">
            <v>3702S</v>
          </cell>
          <cell r="B1214" t="str">
            <v>Unprtd Ctn/1000pk 370Mask</v>
          </cell>
        </row>
        <row r="1215">
          <cell r="A1215" t="str">
            <v>3702SL</v>
          </cell>
          <cell r="B1215" t="str">
            <v>SHIPPER LABEL</v>
          </cell>
        </row>
        <row r="1216">
          <cell r="A1216" t="str">
            <v>3703A</v>
          </cell>
          <cell r="B1216" t="str">
            <v>Prntd Disp Box for 370</v>
          </cell>
        </row>
        <row r="1217">
          <cell r="A1217" t="str">
            <v>3704A</v>
          </cell>
          <cell r="B1217" t="str">
            <v>Prtd Ctn 370/371-New size</v>
          </cell>
        </row>
        <row r="1218">
          <cell r="A1218">
            <v>3706</v>
          </cell>
          <cell r="B1218" t="str">
            <v>Alum. Nosepiece for 370</v>
          </cell>
        </row>
        <row r="1219">
          <cell r="A1219" t="str">
            <v>3706P</v>
          </cell>
          <cell r="B1219" t="str">
            <v>PLASTIC WIRE NOSE PIECE</v>
          </cell>
        </row>
        <row r="1220">
          <cell r="A1220">
            <v>3711</v>
          </cell>
          <cell r="B1220" t="str">
            <v>Blue Proc Mask/Earloops</v>
          </cell>
        </row>
        <row r="1221">
          <cell r="A1221" t="str">
            <v>3711A</v>
          </cell>
          <cell r="B1221" t="str">
            <v>Blue Mask Folded IPC</v>
          </cell>
        </row>
        <row r="1222">
          <cell r="A1222">
            <v>3712</v>
          </cell>
          <cell r="B1222" t="str">
            <v>Iso Mask w/loop/#370</v>
          </cell>
        </row>
        <row r="1223">
          <cell r="A1223" t="str">
            <v>3712A</v>
          </cell>
          <cell r="B1223" t="str">
            <v>Ylw Mask Folded 1pc</v>
          </cell>
        </row>
        <row r="1224">
          <cell r="A1224" t="str">
            <v>3713A</v>
          </cell>
          <cell r="B1224" t="str">
            <v>Prtd Disp Box for 371</v>
          </cell>
        </row>
        <row r="1225">
          <cell r="A1225">
            <v>3714</v>
          </cell>
          <cell r="B1225" t="str">
            <v>Unptd Ctn for Bulk Masks</v>
          </cell>
        </row>
        <row r="1226">
          <cell r="A1226">
            <v>3719</v>
          </cell>
          <cell r="B1226" t="str">
            <v>Darby#9513230 Mask/1000</v>
          </cell>
        </row>
        <row r="1227">
          <cell r="A1227" t="str">
            <v>3720LF</v>
          </cell>
          <cell r="B1227" t="str">
            <v>OUTER CTN LABEL</v>
          </cell>
        </row>
        <row r="1228">
          <cell r="A1228" t="str">
            <v>3720SL</v>
          </cell>
          <cell r="B1228" t="str">
            <v>OUTER CTN LABEL</v>
          </cell>
        </row>
        <row r="1229">
          <cell r="A1229">
            <v>3721</v>
          </cell>
          <cell r="B1229" t="str">
            <v>Assm Fluid Resist Mask1pc</v>
          </cell>
        </row>
        <row r="1230">
          <cell r="A1230">
            <v>3722</v>
          </cell>
          <cell r="B1230" t="str">
            <v>Delnet P530Blue 7.25"Wide</v>
          </cell>
        </row>
        <row r="1231">
          <cell r="A1231" t="str">
            <v>3723A</v>
          </cell>
          <cell r="B1231" t="str">
            <v>Grade#11210W/Inner C/stck</v>
          </cell>
        </row>
        <row r="1232">
          <cell r="A1232">
            <v>3725</v>
          </cell>
          <cell r="B1232" t="str">
            <v>Bulk F/Res M/CK-11117/400</v>
          </cell>
        </row>
        <row r="1233">
          <cell r="A1233" t="str">
            <v>3725A</v>
          </cell>
          <cell r="B1233" t="str">
            <v>Prtd Disp Box for 372</v>
          </cell>
        </row>
        <row r="1234">
          <cell r="A1234" t="str">
            <v>3725SL</v>
          </cell>
          <cell r="B1234" t="str">
            <v>SHP LBL/CLINIPAD FOR 3725</v>
          </cell>
        </row>
        <row r="1235">
          <cell r="A1235" t="str">
            <v>3726SA</v>
          </cell>
          <cell r="B1235" t="str">
            <v>Prntd Shipper Ctn for 372</v>
          </cell>
        </row>
        <row r="1236">
          <cell r="A1236" t="str">
            <v>3728FS</v>
          </cell>
          <cell r="B1236" t="str">
            <v>1"Wide Laminated Foam/Tis</v>
          </cell>
        </row>
        <row r="1237">
          <cell r="A1237" t="str">
            <v>3728T</v>
          </cell>
          <cell r="B1237" t="str">
            <v>44"Wide 10.5lb White Tiss</v>
          </cell>
        </row>
        <row r="1238">
          <cell r="A1238" t="str">
            <v>3728TF</v>
          </cell>
          <cell r="B1238" t="str">
            <v>44"Wide Laminated Foam/Ts</v>
          </cell>
        </row>
        <row r="1239">
          <cell r="A1239" t="str">
            <v>3728TF-1</v>
          </cell>
          <cell r="B1239" t="str">
            <v>44" WIDE LAMINATED FOAM</v>
          </cell>
        </row>
        <row r="1240">
          <cell r="A1240">
            <v>3730</v>
          </cell>
          <cell r="B1240" t="str">
            <v>Sultan #20328 Mask/100</v>
          </cell>
        </row>
        <row r="1241">
          <cell r="A1241">
            <v>3731</v>
          </cell>
          <cell r="B1241" t="str">
            <v>Proc. Mask with Shield</v>
          </cell>
        </row>
        <row r="1242">
          <cell r="A1242">
            <v>3732</v>
          </cell>
          <cell r="B1242" t="str">
            <v>5ml Polyester/Antistat/Rl</v>
          </cell>
        </row>
        <row r="1243">
          <cell r="A1243" t="str">
            <v>3732A</v>
          </cell>
          <cell r="B1243" t="str">
            <v>5mlPolyester Flm G-FSi-66</v>
          </cell>
        </row>
        <row r="1244">
          <cell r="A1244" t="str">
            <v>3732B</v>
          </cell>
          <cell r="B1244" t="str">
            <v>5mlPolyester Flm G-FSI-86</v>
          </cell>
        </row>
        <row r="1245">
          <cell r="A1245" t="str">
            <v>3732B-1</v>
          </cell>
          <cell r="B1245" t="str">
            <v>5 MIL POLYESTER FLM</v>
          </cell>
        </row>
        <row r="1246">
          <cell r="A1246" t="str">
            <v>3732S</v>
          </cell>
          <cell r="B1246" t="str">
            <v>Wraparound Face Shield/NF</v>
          </cell>
        </row>
        <row r="1247">
          <cell r="A1247">
            <v>3733</v>
          </cell>
          <cell r="B1247" t="str">
            <v>Disp Bx Printed for 373</v>
          </cell>
        </row>
        <row r="1248">
          <cell r="A1248" t="str">
            <v>3734S</v>
          </cell>
          <cell r="B1248" t="str">
            <v>Unprntd ctn for/Priv 373</v>
          </cell>
        </row>
        <row r="1249">
          <cell r="A1249">
            <v>3735</v>
          </cell>
          <cell r="B1249" t="str">
            <v>#8000 1.2oz Sontara50"Wde</v>
          </cell>
        </row>
        <row r="1250">
          <cell r="A1250" t="str">
            <v>3735L</v>
          </cell>
          <cell r="B1250" t="str">
            <v>Laminated Foam Bl 50"Wide</v>
          </cell>
        </row>
        <row r="1251">
          <cell r="A1251" t="str">
            <v>3735LS</v>
          </cell>
          <cell r="B1251" t="str">
            <v>Bl Lam. Foam Strip 1"Wide</v>
          </cell>
        </row>
        <row r="1252">
          <cell r="A1252" t="str">
            <v>3736A</v>
          </cell>
          <cell r="B1252" t="str">
            <v>#2210Filter Media Enhancd</v>
          </cell>
        </row>
        <row r="1253">
          <cell r="A1253">
            <v>3737</v>
          </cell>
          <cell r="B1253" t="str">
            <v>Mydent M/MK1010 W/S/100CS</v>
          </cell>
        </row>
        <row r="1254">
          <cell r="A1254" t="str">
            <v>3737SL</v>
          </cell>
          <cell r="B1254" t="str">
            <v>SHP LBL FOR MYDENT 3737</v>
          </cell>
        </row>
        <row r="1255">
          <cell r="A1255" t="str">
            <v>3739L</v>
          </cell>
          <cell r="B1255" t="str">
            <v>Label for Tidi D373 Ctn</v>
          </cell>
        </row>
        <row r="1256">
          <cell r="A1256" t="str">
            <v>3741B</v>
          </cell>
          <cell r="B1256" t="str">
            <v>7.25" Blue .6oz SPP</v>
          </cell>
        </row>
        <row r="1257">
          <cell r="A1257" t="str">
            <v>3742W</v>
          </cell>
          <cell r="B1257" t="str">
            <v>7.25" White .6oz SPP</v>
          </cell>
        </row>
        <row r="1258">
          <cell r="A1258">
            <v>3743</v>
          </cell>
          <cell r="B1258" t="str">
            <v>Darby#951-5102 Mask/500</v>
          </cell>
        </row>
        <row r="1259">
          <cell r="A1259" t="str">
            <v>3743P</v>
          </cell>
          <cell r="B1259" t="str">
            <v>7.25" Pink .7oz SPP</v>
          </cell>
        </row>
        <row r="1260">
          <cell r="A1260" t="str">
            <v>3744A</v>
          </cell>
          <cell r="B1260" t="str">
            <v>Prtd Disp for Proc Mask</v>
          </cell>
        </row>
        <row r="1261">
          <cell r="A1261" t="str">
            <v>3745S</v>
          </cell>
          <cell r="B1261" t="str">
            <v>Unprtd Ctn Disp Pk Msk/1M</v>
          </cell>
        </row>
        <row r="1262">
          <cell r="A1262" t="str">
            <v>3749L</v>
          </cell>
          <cell r="B1262" t="str">
            <v>Lbl for Tidi D104/D105Ctn</v>
          </cell>
        </row>
        <row r="1263">
          <cell r="A1263">
            <v>3750</v>
          </cell>
          <cell r="B1263" t="str">
            <v>7.25" Wide Ylw Tiss.1-Ply</v>
          </cell>
        </row>
        <row r="1264">
          <cell r="A1264">
            <v>3751</v>
          </cell>
          <cell r="B1264" t="str">
            <v>Blue 1Ply Tissue 10.5lbs</v>
          </cell>
        </row>
        <row r="1265">
          <cell r="A1265">
            <v>3752</v>
          </cell>
          <cell r="B1265" t="str">
            <v>Binding Tp(12.5"Wide Mas)</v>
          </cell>
        </row>
        <row r="1266">
          <cell r="A1266" t="str">
            <v>3752A</v>
          </cell>
          <cell r="B1266" t="str">
            <v>1.25"Binding Tape#370,371</v>
          </cell>
        </row>
        <row r="1267">
          <cell r="A1267">
            <v>3753</v>
          </cell>
          <cell r="B1267" t="str">
            <v>Darby#951-5104 Mask/500</v>
          </cell>
        </row>
        <row r="1268">
          <cell r="A1268" t="str">
            <v>3753S</v>
          </cell>
          <cell r="B1268" t="str">
            <v>Unptd Ctn for Disp Pk Msk</v>
          </cell>
        </row>
        <row r="1269">
          <cell r="A1269" t="str">
            <v>3753W</v>
          </cell>
          <cell r="B1269" t="str">
            <v>Wht Tiss 1Ply 10.5lbWet/s</v>
          </cell>
        </row>
        <row r="1270">
          <cell r="A1270" t="str">
            <v>3755E</v>
          </cell>
          <cell r="B1270" t="str">
            <v>Disp box 951-5102 50 pk</v>
          </cell>
        </row>
        <row r="1271">
          <cell r="A1271">
            <v>3761</v>
          </cell>
          <cell r="B1271" t="str">
            <v>Darby#9513232 Mask/1000</v>
          </cell>
        </row>
        <row r="1272">
          <cell r="A1272" t="str">
            <v>3761P</v>
          </cell>
          <cell r="B1272" t="str">
            <v>10.5lb 1Ply Pink Tissue</v>
          </cell>
        </row>
        <row r="1273">
          <cell r="A1273" t="str">
            <v>3762SL</v>
          </cell>
          <cell r="B1273" t="str">
            <v>OUTER CTN LABEL W/B/CODE</v>
          </cell>
        </row>
        <row r="1274">
          <cell r="A1274">
            <v>3763</v>
          </cell>
          <cell r="B1274" t="str">
            <v>Darby#951-5100 Mask/500</v>
          </cell>
        </row>
        <row r="1275">
          <cell r="A1275" t="str">
            <v>3763S</v>
          </cell>
          <cell r="B1275" t="str">
            <v>Unprtd Ctn for Disp Pk373</v>
          </cell>
        </row>
        <row r="1276">
          <cell r="A1276" t="str">
            <v>3764D</v>
          </cell>
          <cell r="B1276" t="str">
            <v>Disp Bx Darby P.Msk/100pk</v>
          </cell>
        </row>
        <row r="1277">
          <cell r="A1277" t="str">
            <v>3764D-1</v>
          </cell>
          <cell r="B1277" t="str">
            <v>DISP BX DARBY P MSK.100PK</v>
          </cell>
        </row>
        <row r="1278">
          <cell r="A1278" t="str">
            <v>3765E</v>
          </cell>
          <cell r="B1278" t="str">
            <v>Disp Box 951-5100 50 pk</v>
          </cell>
        </row>
        <row r="1279">
          <cell r="A1279" t="str">
            <v>3767S</v>
          </cell>
          <cell r="B1279" t="str">
            <v>Shipper Ctn Mydent</v>
          </cell>
        </row>
        <row r="1280">
          <cell r="A1280" t="str">
            <v>3772SL</v>
          </cell>
          <cell r="B1280" t="str">
            <v>OUTER CTN LABEL REVA A</v>
          </cell>
        </row>
        <row r="1281">
          <cell r="A1281" t="str">
            <v>3773S</v>
          </cell>
          <cell r="B1281" t="str">
            <v>Outer Carton Label</v>
          </cell>
        </row>
        <row r="1282">
          <cell r="A1282" t="str">
            <v>3775E</v>
          </cell>
          <cell r="B1282" t="str">
            <v>Disp Box 951-5104 50 Pk</v>
          </cell>
        </row>
        <row r="1283">
          <cell r="A1283" t="str">
            <v>3775S</v>
          </cell>
          <cell r="B1283" t="str">
            <v>Outer Carton Label</v>
          </cell>
        </row>
        <row r="1284">
          <cell r="A1284" t="str">
            <v>3780DU</v>
          </cell>
          <cell r="B1284" t="str">
            <v>Unprtd disp for proc mask</v>
          </cell>
        </row>
        <row r="1285">
          <cell r="A1285" t="str">
            <v>3780SL</v>
          </cell>
          <cell r="B1285" t="str">
            <v>OUTER CTN LABEL W/BARCODE</v>
          </cell>
        </row>
        <row r="1286">
          <cell r="A1286">
            <v>3783</v>
          </cell>
          <cell r="B1286" t="str">
            <v>MAI/S6404 Fld/Rst/M/100C</v>
          </cell>
        </row>
        <row r="1287">
          <cell r="A1287" t="str">
            <v>3783SL</v>
          </cell>
          <cell r="B1287" t="str">
            <v>OUTER CTN LABEL</v>
          </cell>
        </row>
        <row r="1288">
          <cell r="A1288">
            <v>3784</v>
          </cell>
          <cell r="B1288" t="str">
            <v>MAI/S6405 Y/Iso Msk/1000</v>
          </cell>
        </row>
        <row r="1289">
          <cell r="A1289" t="str">
            <v>3784SL</v>
          </cell>
          <cell r="B1289" t="str">
            <v>SHP CRT LBL FOR 3784</v>
          </cell>
        </row>
        <row r="1290">
          <cell r="A1290">
            <v>3792</v>
          </cell>
          <cell r="B1290" t="str">
            <v>Unprinted Disp</v>
          </cell>
        </row>
        <row r="1291">
          <cell r="A1291" t="str">
            <v>3793A</v>
          </cell>
          <cell r="B1291" t="str">
            <v>Unprinted Disp Box</v>
          </cell>
        </row>
        <row r="1292">
          <cell r="A1292" t="str">
            <v>3796A</v>
          </cell>
          <cell r="B1292" t="str">
            <v>Unprtd Ctn Bulk Products</v>
          </cell>
        </row>
        <row r="1293">
          <cell r="A1293" t="str">
            <v>3801D</v>
          </cell>
          <cell r="B1293" t="str">
            <v>Disp Label for 380</v>
          </cell>
        </row>
        <row r="1294">
          <cell r="A1294" t="str">
            <v>3801W</v>
          </cell>
          <cell r="B1294" t="str">
            <v>Iso Mask White</v>
          </cell>
        </row>
        <row r="1295">
          <cell r="A1295">
            <v>3804</v>
          </cell>
          <cell r="B1295" t="str">
            <v>Ster Gen Purpose Tray/50</v>
          </cell>
        </row>
        <row r="1296">
          <cell r="A1296">
            <v>3806</v>
          </cell>
          <cell r="B1296" t="str">
            <v>5"Mosq Hemo Frcp St/form</v>
          </cell>
        </row>
        <row r="1297">
          <cell r="A1297" t="str">
            <v>3807C</v>
          </cell>
          <cell r="B1297" t="str">
            <v>Printed Ctn for Mask</v>
          </cell>
        </row>
        <row r="1298">
          <cell r="A1298">
            <v>3809</v>
          </cell>
          <cell r="B1298" t="str">
            <v>Unptd Shipper 5M Pack Msk</v>
          </cell>
        </row>
        <row r="1299">
          <cell r="A1299">
            <v>3810</v>
          </cell>
          <cell r="B1299" t="str">
            <v>Multi Ply Iso Mask/1000</v>
          </cell>
        </row>
        <row r="1300">
          <cell r="A1300">
            <v>3811</v>
          </cell>
          <cell r="B1300" t="str">
            <v>3 Ply Wadding Cellu</v>
          </cell>
        </row>
        <row r="1301">
          <cell r="A1301" t="str">
            <v>3812D</v>
          </cell>
          <cell r="B1301" t="str">
            <v>Disp Label for 381</v>
          </cell>
        </row>
        <row r="1302">
          <cell r="A1302" t="str">
            <v>3824A</v>
          </cell>
          <cell r="B1302" t="str">
            <v>Grade 11699 Collated Matl</v>
          </cell>
        </row>
        <row r="1303">
          <cell r="A1303">
            <v>3834</v>
          </cell>
          <cell r="B1303" t="str">
            <v>Printed Shipper Carton</v>
          </cell>
        </row>
        <row r="1304">
          <cell r="A1304">
            <v>3836</v>
          </cell>
          <cell r="B1304" t="str">
            <v>Disp Boxed for 383</v>
          </cell>
        </row>
        <row r="1305">
          <cell r="A1305">
            <v>3840</v>
          </cell>
          <cell r="B1305" t="str">
            <v>N/Glass Surgeons Mask/300</v>
          </cell>
        </row>
        <row r="1306">
          <cell r="A1306" t="str">
            <v>3841-I</v>
          </cell>
          <cell r="B1306" t="str">
            <v>POSI-GRIP UMBIL/INST/SHT</v>
          </cell>
        </row>
        <row r="1307">
          <cell r="A1307" t="str">
            <v>3880M</v>
          </cell>
          <cell r="B1307" t="str">
            <v>11i/2"X63/4"X33/8"W/MailR</v>
          </cell>
        </row>
        <row r="1308">
          <cell r="A1308" t="str">
            <v>3907B</v>
          </cell>
          <cell r="B1308" t="str">
            <v>Unprtd Disp 380,381,3810</v>
          </cell>
        </row>
        <row r="1309">
          <cell r="A1309">
            <v>3952</v>
          </cell>
          <cell r="B1309" t="str">
            <v>Ster TPN/CVP Dress Chg/30</v>
          </cell>
        </row>
        <row r="1310">
          <cell r="A1310" t="str">
            <v>3952A</v>
          </cell>
          <cell r="B1310" t="str">
            <v>POLYSKIN TRANSP/D/SPLY/M</v>
          </cell>
        </row>
        <row r="1311">
          <cell r="A1311" t="str">
            <v>3952B</v>
          </cell>
          <cell r="B1311" t="str">
            <v>BIOCLUSIVE DRESS C/SPLY</v>
          </cell>
        </row>
        <row r="1312">
          <cell r="A1312" t="str">
            <v>3952C</v>
          </cell>
          <cell r="B1312" t="str">
            <v>POLYSKIN M R. TRANSPARENT</v>
          </cell>
        </row>
        <row r="1313">
          <cell r="A1313" t="str">
            <v>3952SL</v>
          </cell>
          <cell r="B1313" t="str">
            <v>SHP LBL FOR 3952</v>
          </cell>
        </row>
        <row r="1314">
          <cell r="A1314">
            <v>4000</v>
          </cell>
          <cell r="B1314" t="str">
            <v>16oz Sponge Bowl</v>
          </cell>
        </row>
        <row r="1315">
          <cell r="A1315">
            <v>4001</v>
          </cell>
          <cell r="B1315" t="str">
            <v>2 5/8" Wide Coated Paper</v>
          </cell>
        </row>
        <row r="1316">
          <cell r="A1316" t="str">
            <v>4001A</v>
          </cell>
          <cell r="B1316" t="str">
            <v>#36Fletcher Ctd Ppr/C#400</v>
          </cell>
        </row>
        <row r="1317">
          <cell r="A1317">
            <v>4002</v>
          </cell>
          <cell r="B1317" t="str">
            <v>3.5 Mil Plastic -16ozBowl</v>
          </cell>
        </row>
        <row r="1318">
          <cell r="A1318" t="str">
            <v>4003A</v>
          </cell>
          <cell r="B1318" t="str">
            <v>Prtd Ctn 20.75"x11"x23"</v>
          </cell>
        </row>
        <row r="1319">
          <cell r="A1319">
            <v>4004</v>
          </cell>
          <cell r="B1319" t="str">
            <v>Unprtd Ctn 16oz Bowl</v>
          </cell>
        </row>
        <row r="1320">
          <cell r="A1320">
            <v>4005</v>
          </cell>
          <cell r="B1320" t="str">
            <v>Ster 16oz Sponge Bowl/75</v>
          </cell>
        </row>
        <row r="1321">
          <cell r="A1321" t="str">
            <v>4005A</v>
          </cell>
          <cell r="B1321" t="str">
            <v>#36Fltchr CtdPpr/Vollrath</v>
          </cell>
        </row>
        <row r="1322">
          <cell r="A1322" t="str">
            <v>4005SL</v>
          </cell>
          <cell r="B1322" t="str">
            <v>Shpr Label for 4005</v>
          </cell>
        </row>
        <row r="1323">
          <cell r="A1323" t="str">
            <v>4007B</v>
          </cell>
          <cell r="B1323" t="str">
            <v>Bl Color Concentrate/Bwls</v>
          </cell>
        </row>
        <row r="1324">
          <cell r="A1324">
            <v>4010</v>
          </cell>
          <cell r="B1324" t="str">
            <v>35oz Sponge Bowl</v>
          </cell>
        </row>
        <row r="1325">
          <cell r="A1325">
            <v>4011</v>
          </cell>
          <cell r="B1325" t="str">
            <v>3.5Mil Plastic -35ozBowl</v>
          </cell>
        </row>
        <row r="1326">
          <cell r="A1326" t="str">
            <v>4011A</v>
          </cell>
          <cell r="B1326" t="str">
            <v>#36Fletcher Ctd Ppr/C#401</v>
          </cell>
        </row>
        <row r="1327">
          <cell r="A1327" t="str">
            <v>4012A</v>
          </cell>
          <cell r="B1327" t="str">
            <v>Printed Ctn 23"x19.5"x14"</v>
          </cell>
        </row>
        <row r="1328">
          <cell r="A1328">
            <v>4013</v>
          </cell>
          <cell r="B1328" t="str">
            <v>Unprtd Ctn 35oz Bowl</v>
          </cell>
        </row>
        <row r="1329">
          <cell r="A1329">
            <v>4015</v>
          </cell>
          <cell r="B1329" t="str">
            <v>Ster 35oz Bowl #01232 /50</v>
          </cell>
        </row>
        <row r="1330">
          <cell r="A1330" t="str">
            <v>4015A</v>
          </cell>
          <cell r="B1330" t="str">
            <v>#36Fltchr CtdPpr/Vollrath</v>
          </cell>
        </row>
        <row r="1331">
          <cell r="A1331" t="str">
            <v>4015SL</v>
          </cell>
          <cell r="B1331" t="str">
            <v>Shipper Label for 4015</v>
          </cell>
        </row>
        <row r="1332">
          <cell r="A1332" t="str">
            <v>4019PP</v>
          </cell>
          <cell r="B1332" t="str">
            <v>FINA#3620WZ Polypropylene</v>
          </cell>
        </row>
        <row r="1333">
          <cell r="A1333">
            <v>4021</v>
          </cell>
          <cell r="B1333" t="str">
            <v>Polybag for 8oz Cups</v>
          </cell>
        </row>
        <row r="1334">
          <cell r="A1334">
            <v>4023</v>
          </cell>
          <cell r="B1334" t="str">
            <v>Printed 16oz Bulk Ctn</v>
          </cell>
        </row>
        <row r="1335">
          <cell r="A1335">
            <v>4031</v>
          </cell>
          <cell r="B1335" t="str">
            <v>Polybag for 16/35oz Bowls</v>
          </cell>
        </row>
        <row r="1336">
          <cell r="A1336">
            <v>4032</v>
          </cell>
          <cell r="B1336" t="str">
            <v>Printed 35oz Bulk Ctn</v>
          </cell>
        </row>
        <row r="1337">
          <cell r="A1337" t="str">
            <v>4050A</v>
          </cell>
          <cell r="B1337" t="str">
            <v>UNPTD UNCOATED 2FS TYVEK</v>
          </cell>
        </row>
        <row r="1338">
          <cell r="A1338" t="str">
            <v>4060AS</v>
          </cell>
          <cell r="B1338" t="str">
            <v>SUB ASSEM 40CC MUCUS/TRAP</v>
          </cell>
        </row>
        <row r="1339">
          <cell r="A1339" t="str">
            <v>4060PE</v>
          </cell>
          <cell r="B1339" t="str">
            <v>LLDPE 50Melt Polyethylene</v>
          </cell>
        </row>
        <row r="1340">
          <cell r="A1340" t="str">
            <v>4060S</v>
          </cell>
          <cell r="B1340" t="str">
            <v>Gen Purp. Crystal Styrene</v>
          </cell>
        </row>
        <row r="1341">
          <cell r="A1341" t="str">
            <v>4061T</v>
          </cell>
          <cell r="B1341" t="str">
            <v>Kraton Tube/Teflon Coated</v>
          </cell>
        </row>
        <row r="1342">
          <cell r="A1342">
            <v>4062</v>
          </cell>
          <cell r="B1342" t="str">
            <v>Specialty Imprinted Label</v>
          </cell>
        </row>
        <row r="1343">
          <cell r="A1343" t="str">
            <v>4063PE</v>
          </cell>
          <cell r="B1343" t="str">
            <v>Trap Cap</v>
          </cell>
        </row>
        <row r="1344">
          <cell r="A1344">
            <v>4064</v>
          </cell>
          <cell r="B1344" t="str">
            <v>Adpt(for 40cc &amp; 80ccVial)</v>
          </cell>
        </row>
        <row r="1345">
          <cell r="A1345" t="str">
            <v>4066A</v>
          </cell>
          <cell r="B1345" t="str">
            <v>Mold 40cc Vial(unprinted)</v>
          </cell>
        </row>
        <row r="1346">
          <cell r="A1346">
            <v>4067</v>
          </cell>
          <cell r="B1346" t="str">
            <v>Ster SpTrapC30200-176 /24</v>
          </cell>
        </row>
        <row r="1347">
          <cell r="A1347" t="str">
            <v>4067-1</v>
          </cell>
          <cell r="B1347" t="str">
            <v>PNTD SHIPPER CTN/ALLEG</v>
          </cell>
        </row>
        <row r="1348">
          <cell r="A1348" t="str">
            <v>4067AS</v>
          </cell>
          <cell r="B1348" t="str">
            <v>SUB ASSEM ALLEG 40CC S/T</v>
          </cell>
        </row>
        <row r="1349">
          <cell r="A1349" t="str">
            <v>4067W</v>
          </cell>
          <cell r="B1349" t="str">
            <v>PWC-00001 Wht Concentrate</v>
          </cell>
        </row>
        <row r="1350">
          <cell r="A1350">
            <v>4068</v>
          </cell>
          <cell r="B1350" t="str">
            <v>Ptd Shipper/40cc Spec Trp</v>
          </cell>
        </row>
        <row r="1351">
          <cell r="A1351" t="str">
            <v>4068A</v>
          </cell>
          <cell r="B1351" t="str">
            <v>Unprinted Shipper Carton</v>
          </cell>
        </row>
        <row r="1352">
          <cell r="A1352" t="str">
            <v>4068P</v>
          </cell>
          <cell r="B1352" t="str">
            <v>Prtd Bx Baxter/C30200-175</v>
          </cell>
        </row>
        <row r="1353">
          <cell r="A1353" t="str">
            <v>4070AS</v>
          </cell>
          <cell r="B1353" t="str">
            <v>SUB ASSEM 80CC MUCUS/TRAP</v>
          </cell>
        </row>
        <row r="1354">
          <cell r="A1354" t="str">
            <v>4070M</v>
          </cell>
          <cell r="B1354" t="str">
            <v>Mold 80ccVial for MucusTp</v>
          </cell>
        </row>
        <row r="1355">
          <cell r="A1355" t="str">
            <v>4070P</v>
          </cell>
          <cell r="B1355" t="str">
            <v>Prtd Vials w/logo(80cc)</v>
          </cell>
        </row>
        <row r="1356">
          <cell r="A1356">
            <v>4071</v>
          </cell>
          <cell r="B1356" t="str">
            <v>6Ml Nylon Rollstock</v>
          </cell>
        </row>
        <row r="1357">
          <cell r="A1357" t="str">
            <v>4072WP</v>
          </cell>
          <cell r="B1357" t="str">
            <v>CPPRO2096 60% TI 2 White</v>
          </cell>
        </row>
        <row r="1358">
          <cell r="A1358" t="str">
            <v>4073A</v>
          </cell>
          <cell r="B1358" t="str">
            <v>Unptd Disp Box</v>
          </cell>
        </row>
        <row r="1359">
          <cell r="A1359" t="str">
            <v>4073B</v>
          </cell>
          <cell r="B1359" t="str">
            <v>Prtd Disp Bx 407 w/barcde</v>
          </cell>
        </row>
        <row r="1360">
          <cell r="A1360">
            <v>4074</v>
          </cell>
          <cell r="B1360" t="str">
            <v>Ptd Ship/80cc Spec Traps</v>
          </cell>
        </row>
        <row r="1361">
          <cell r="A1361" t="str">
            <v>4074S</v>
          </cell>
          <cell r="B1361" t="str">
            <v>Unprtd Ctn for 407</v>
          </cell>
        </row>
        <row r="1362">
          <cell r="A1362" t="str">
            <v>4077A</v>
          </cell>
          <cell r="B1362" t="str">
            <v>Disp Box Label</v>
          </cell>
        </row>
        <row r="1363">
          <cell r="A1363">
            <v>4078</v>
          </cell>
          <cell r="B1363" t="str">
            <v>Bulk 80CC Specimen T/200C</v>
          </cell>
        </row>
        <row r="1364">
          <cell r="A1364" t="str">
            <v>4078CL</v>
          </cell>
          <cell r="B1364" t="str">
            <v>HANDLE W/CARE LABEL</v>
          </cell>
        </row>
        <row r="1365">
          <cell r="A1365" t="str">
            <v>4078SL</v>
          </cell>
          <cell r="B1365" t="str">
            <v>OUTER CTN LABEL</v>
          </cell>
        </row>
        <row r="1366">
          <cell r="A1366">
            <v>4079</v>
          </cell>
          <cell r="B1366" t="str">
            <v>80cc Vial&amp;Cap No Tube/200</v>
          </cell>
        </row>
        <row r="1367">
          <cell r="A1367" t="str">
            <v>4079AS</v>
          </cell>
          <cell r="B1367" t="str">
            <v>SUB ASSEM 80CC M/WO/TUB</v>
          </cell>
        </row>
        <row r="1368">
          <cell r="A1368">
            <v>4107</v>
          </cell>
          <cell r="B1368" t="str">
            <v>Sterile Wound Closure Kit</v>
          </cell>
        </row>
        <row r="1369">
          <cell r="A1369" t="str">
            <v>4109PP</v>
          </cell>
          <cell r="B1369" t="str">
            <v>NORCHEM#8004ZR H/Polypro</v>
          </cell>
        </row>
        <row r="1370">
          <cell r="A1370" t="str">
            <v>4156A</v>
          </cell>
          <cell r="B1370" t="str">
            <v>Glassine Bag/Plain</v>
          </cell>
        </row>
        <row r="1371">
          <cell r="A1371">
            <v>4201</v>
          </cell>
          <cell r="B1371" t="str">
            <v>10"x14"x6" Gusset Polybag</v>
          </cell>
        </row>
        <row r="1372">
          <cell r="A1372">
            <v>4203</v>
          </cell>
          <cell r="B1372" t="str">
            <v>Specimen Lid White</v>
          </cell>
        </row>
        <row r="1373">
          <cell r="A1373">
            <v>4204</v>
          </cell>
          <cell r="B1373" t="str">
            <v>Specimen Cup Red</v>
          </cell>
        </row>
        <row r="1374">
          <cell r="A1374">
            <v>4263</v>
          </cell>
          <cell r="B1374" t="str">
            <v>Ster Dialysis Kit/ 20</v>
          </cell>
        </row>
        <row r="1375">
          <cell r="A1375">
            <v>4392</v>
          </cell>
          <cell r="B1375" t="str">
            <v>Ster E.R. Laceration Ty/30</v>
          </cell>
        </row>
        <row r="1376">
          <cell r="A1376">
            <v>4606</v>
          </cell>
          <cell r="B1376" t="str">
            <v>N/Ster 40ccMucus Trap/200</v>
          </cell>
        </row>
        <row r="1377">
          <cell r="A1377">
            <v>4902</v>
          </cell>
          <cell r="B1377" t="str">
            <v>Ptd Shipper for 420/490</v>
          </cell>
        </row>
        <row r="1378">
          <cell r="A1378">
            <v>4903</v>
          </cell>
          <cell r="B1378" t="str">
            <v>Denture Lid Translucent</v>
          </cell>
        </row>
        <row r="1379">
          <cell r="A1379">
            <v>4904</v>
          </cell>
          <cell r="B1379" t="str">
            <v>Denture Cup Aqua</v>
          </cell>
        </row>
        <row r="1380">
          <cell r="A1380" t="str">
            <v>4907R</v>
          </cell>
          <cell r="B1380" t="str">
            <v>Red Color Conc.for PP</v>
          </cell>
        </row>
        <row r="1381">
          <cell r="A1381" t="str">
            <v>4908A</v>
          </cell>
          <cell r="B1381" t="str">
            <v>CPP14610 Aqua Colorant/PP</v>
          </cell>
        </row>
        <row r="1382">
          <cell r="A1382" t="str">
            <v>5010B</v>
          </cell>
          <cell r="B1382" t="str">
            <v>5 in 1 Connector</v>
          </cell>
        </row>
        <row r="1383">
          <cell r="A1383" t="str">
            <v>5010F</v>
          </cell>
          <cell r="B1383" t="str">
            <v>Female Stepped Conn. Sect</v>
          </cell>
        </row>
        <row r="1384">
          <cell r="A1384" t="str">
            <v>5010M</v>
          </cell>
          <cell r="B1384" t="str">
            <v>Male Stepped Conn Sect</v>
          </cell>
        </row>
        <row r="1385">
          <cell r="A1385" t="str">
            <v>5010PP</v>
          </cell>
          <cell r="B1385" t="str">
            <v>FINA 3622MZ Polypropylene</v>
          </cell>
        </row>
        <row r="1386">
          <cell r="A1386" t="str">
            <v>5011D</v>
          </cell>
          <cell r="B1386" t="str">
            <v>Unprtd Inner Shipper Ctn</v>
          </cell>
        </row>
        <row r="1387">
          <cell r="A1387" t="str">
            <v>5011DP</v>
          </cell>
          <cell r="B1387" t="str">
            <v>Inner Disp Box Prtd/501</v>
          </cell>
        </row>
        <row r="1388">
          <cell r="A1388" t="str">
            <v>5011M</v>
          </cell>
          <cell r="B1388" t="str">
            <v>Unprtd Master Shipper Ctn</v>
          </cell>
        </row>
        <row r="1389">
          <cell r="A1389" t="str">
            <v>5020B</v>
          </cell>
          <cell r="B1389" t="str">
            <v>Simms Conn/Irrigat/Nozzle</v>
          </cell>
        </row>
        <row r="1390">
          <cell r="A1390" t="str">
            <v>5030B</v>
          </cell>
          <cell r="B1390" t="str">
            <v>"T"-Connector</v>
          </cell>
        </row>
        <row r="1391">
          <cell r="A1391" t="str">
            <v>5030T</v>
          </cell>
          <cell r="B1391" t="str">
            <v>"T" Connector Section</v>
          </cell>
        </row>
        <row r="1392">
          <cell r="A1392" t="str">
            <v>5031D</v>
          </cell>
          <cell r="B1392" t="str">
            <v>Unprtd Inner Shipper Ctn</v>
          </cell>
        </row>
        <row r="1393">
          <cell r="A1393" t="str">
            <v>5031M</v>
          </cell>
          <cell r="B1393" t="str">
            <v>Unprtd Master Shipper Ctn</v>
          </cell>
        </row>
        <row r="1394">
          <cell r="A1394" t="str">
            <v>5040B</v>
          </cell>
          <cell r="B1394" t="str">
            <v>1/4" Straight Connector</v>
          </cell>
        </row>
        <row r="1395">
          <cell r="A1395" t="str">
            <v>5050B</v>
          </cell>
          <cell r="B1395" t="str">
            <v>5/16" Straight Connector</v>
          </cell>
        </row>
        <row r="1396">
          <cell r="A1396" t="str">
            <v>5060B</v>
          </cell>
          <cell r="B1396" t="str">
            <v>3/8" Straight Connector</v>
          </cell>
        </row>
        <row r="1397">
          <cell r="A1397" t="str">
            <v>5070B</v>
          </cell>
          <cell r="B1397" t="str">
            <v>1/4" Y-Connector</v>
          </cell>
        </row>
        <row r="1398">
          <cell r="A1398" t="str">
            <v>5080B</v>
          </cell>
          <cell r="B1398" t="str">
            <v>3/8 Y-Connector</v>
          </cell>
        </row>
        <row r="1399">
          <cell r="A1399" t="str">
            <v>5090B</v>
          </cell>
          <cell r="B1399" t="str">
            <v>6-in-1 Y-Connector</v>
          </cell>
        </row>
        <row r="1400">
          <cell r="A1400">
            <v>5100</v>
          </cell>
          <cell r="B1400" t="str">
            <v>Clean 5in1 Connector/2500</v>
          </cell>
        </row>
        <row r="1401">
          <cell r="A1401" t="str">
            <v>5100CP</v>
          </cell>
          <cell r="B1401" t="str">
            <v>Catheter Plug</v>
          </cell>
        </row>
        <row r="1402">
          <cell r="A1402" t="str">
            <v>5100DC</v>
          </cell>
          <cell r="B1402" t="str">
            <v>Drainage Tube Cover</v>
          </cell>
        </row>
        <row r="1403">
          <cell r="A1403" t="str">
            <v>5100SL</v>
          </cell>
          <cell r="B1403" t="str">
            <v>SMALL SHPR LBL FOR 5100</v>
          </cell>
        </row>
        <row r="1404">
          <cell r="A1404">
            <v>5106</v>
          </cell>
          <cell r="B1404" t="str">
            <v>Embossed Twl White 10x13"</v>
          </cell>
        </row>
        <row r="1405">
          <cell r="A1405" t="str">
            <v>5106-1</v>
          </cell>
          <cell r="B1405" t="str">
            <v>10X13 EMBOSSED TWL/PLINED</v>
          </cell>
        </row>
        <row r="1406">
          <cell r="A1406">
            <v>5116</v>
          </cell>
          <cell r="B1406" t="str">
            <v>18X26" W/W Non/Fen Drape</v>
          </cell>
        </row>
        <row r="1407">
          <cell r="A1407">
            <v>5117</v>
          </cell>
          <cell r="B1407" t="str">
            <v>18X26" W/W Fenestr. Drape</v>
          </cell>
        </row>
        <row r="1408">
          <cell r="A1408">
            <v>5119</v>
          </cell>
          <cell r="B1408" t="str">
            <v>18 X 18 FEN WHITE</v>
          </cell>
        </row>
        <row r="1409">
          <cell r="A1409">
            <v>5120</v>
          </cell>
          <cell r="B1409" t="str">
            <v>Clean Sim Connector/5000</v>
          </cell>
        </row>
        <row r="1410">
          <cell r="A1410" t="str">
            <v>5120SL</v>
          </cell>
          <cell r="B1410" t="str">
            <v>SMALL SHPR LBL FOR 5120</v>
          </cell>
        </row>
        <row r="1411">
          <cell r="A1411" t="str">
            <v>5121C</v>
          </cell>
          <cell r="B1411" t="str">
            <v>38/400 Wht Cap w/F/217F/L</v>
          </cell>
        </row>
        <row r="1412">
          <cell r="A1412" t="str">
            <v>5121CC</v>
          </cell>
          <cell r="B1412" t="str">
            <v>38/400 White PP Cap</v>
          </cell>
        </row>
        <row r="1413">
          <cell r="A1413" t="str">
            <v>5121D</v>
          </cell>
          <cell r="B1413" t="str">
            <v>Unptd Inner Ctn/Clean Con</v>
          </cell>
        </row>
        <row r="1414">
          <cell r="A1414" t="str">
            <v>5121M</v>
          </cell>
          <cell r="B1414" t="str">
            <v>Unptd Shipr Ctn/Clean Con</v>
          </cell>
        </row>
        <row r="1415">
          <cell r="A1415" t="str">
            <v>5122-1</v>
          </cell>
          <cell r="B1415" t="str">
            <v>Blue Foam Strip for Trach</v>
          </cell>
        </row>
        <row r="1416">
          <cell r="A1416" t="str">
            <v>5124B</v>
          </cell>
          <cell r="B1416" t="str">
            <v>Simms Connector (HDPE)</v>
          </cell>
        </row>
        <row r="1417">
          <cell r="A1417">
            <v>5130</v>
          </cell>
          <cell r="B1417" t="str">
            <v>Clean T Connector</v>
          </cell>
        </row>
        <row r="1418">
          <cell r="A1418">
            <v>5140</v>
          </cell>
          <cell r="B1418" t="str">
            <v>Clean 1/4" Str Conn/5000</v>
          </cell>
        </row>
        <row r="1419">
          <cell r="A1419">
            <v>5150</v>
          </cell>
          <cell r="B1419" t="str">
            <v>Clean 5/16"Str Conn/5000</v>
          </cell>
        </row>
        <row r="1420">
          <cell r="A1420">
            <v>5155</v>
          </cell>
          <cell r="B1420" t="str">
            <v>Clean 5/16"Str Conn/10000</v>
          </cell>
        </row>
        <row r="1421">
          <cell r="A1421">
            <v>5160</v>
          </cell>
          <cell r="B1421" t="str">
            <v>Clean 3/8IN Str</v>
          </cell>
        </row>
        <row r="1422">
          <cell r="A1422">
            <v>5170</v>
          </cell>
          <cell r="B1422" t="str">
            <v>Clean 1/4"YConn/5000</v>
          </cell>
        </row>
        <row r="1423">
          <cell r="A1423">
            <v>5180</v>
          </cell>
          <cell r="B1423" t="str">
            <v>Clean 3/8IN Y Conn</v>
          </cell>
        </row>
        <row r="1424">
          <cell r="A1424">
            <v>5190</v>
          </cell>
          <cell r="B1424" t="str">
            <v>Bulk 6 IN 1 Y Conn /2500</v>
          </cell>
        </row>
        <row r="1425">
          <cell r="A1425">
            <v>5313</v>
          </cell>
          <cell r="B1425" t="str">
            <v>Lg Rayon Balls for 5312</v>
          </cell>
        </row>
        <row r="1426">
          <cell r="A1426" t="str">
            <v>5317L</v>
          </cell>
          <cell r="B1426" t="str">
            <v>4.5"IRIS S/W/LG LOOP/M/F</v>
          </cell>
        </row>
        <row r="1427">
          <cell r="A1427" t="str">
            <v>5317N</v>
          </cell>
          <cell r="B1427" t="str">
            <v>4.5"Iris Scissor Straight</v>
          </cell>
        </row>
        <row r="1428">
          <cell r="A1428" t="str">
            <v>5317SN</v>
          </cell>
          <cell r="B1428" t="str">
            <v>4.5"Iris Scissor Sat Str</v>
          </cell>
        </row>
        <row r="1429">
          <cell r="A1429" t="str">
            <v>5317SNL</v>
          </cell>
          <cell r="B1429" t="str">
            <v>IRIS/S 4.5"STR/SAT/LG/F/L</v>
          </cell>
        </row>
        <row r="1430">
          <cell r="A1430">
            <v>5412</v>
          </cell>
          <cell r="B1430" t="str">
            <v>#1530 1x54"Micropore Tape</v>
          </cell>
        </row>
        <row r="1431">
          <cell r="A1431">
            <v>5414</v>
          </cell>
          <cell r="B1431" t="str">
            <v>4x5 Yard Stretch Gauze</v>
          </cell>
        </row>
        <row r="1432">
          <cell r="A1432">
            <v>5417</v>
          </cell>
          <cell r="B1432" t="str">
            <v>Ster Gen P/Dress Chg T/20</v>
          </cell>
        </row>
        <row r="1433">
          <cell r="A1433">
            <v>5422</v>
          </cell>
          <cell r="B1433" t="str">
            <v>Prepsite Prep Pad</v>
          </cell>
        </row>
        <row r="1434">
          <cell r="A1434">
            <v>5423</v>
          </cell>
          <cell r="B1434" t="str">
            <v>3X3 12Ply Gauze Dressing</v>
          </cell>
        </row>
        <row r="1435">
          <cell r="A1435" t="str">
            <v>5423-1</v>
          </cell>
          <cell r="B1435" t="str">
            <v>.3/3 12PLY GAUZE</v>
          </cell>
        </row>
        <row r="1436">
          <cell r="A1436" t="str">
            <v>5423-2</v>
          </cell>
          <cell r="B1436" t="str">
            <v>3"X3" 12PLY G/PROCESSED</v>
          </cell>
        </row>
        <row r="1437">
          <cell r="A1437">
            <v>5425</v>
          </cell>
          <cell r="B1437" t="str">
            <v>GM#25-5425 Ster SRK /50</v>
          </cell>
        </row>
        <row r="1438">
          <cell r="A1438" t="str">
            <v>5425SL</v>
          </cell>
          <cell r="B1438" t="str">
            <v>McKess/HBOC S/LbL 25-5425</v>
          </cell>
        </row>
        <row r="1439">
          <cell r="A1439">
            <v>5427</v>
          </cell>
          <cell r="B1439" t="str">
            <v>GM#25-5427 Ster SRK /50</v>
          </cell>
        </row>
        <row r="1440">
          <cell r="A1440" t="str">
            <v>5427SL</v>
          </cell>
          <cell r="B1440" t="str">
            <v>McKess/HBOC S/LBL 25-5427</v>
          </cell>
        </row>
        <row r="1441">
          <cell r="A1441">
            <v>5428</v>
          </cell>
          <cell r="B1441" t="str">
            <v>Adsn Tiss Frcp 1x2 T/F/P</v>
          </cell>
        </row>
        <row r="1442">
          <cell r="A1442">
            <v>5446</v>
          </cell>
          <cell r="B1442" t="str">
            <v>6cc Luer Lock Syringe</v>
          </cell>
        </row>
        <row r="1443">
          <cell r="A1443" t="str">
            <v>5446-1</v>
          </cell>
          <cell r="B1443" t="str">
            <v>6CC LUER LOCK SYRINGE L/F</v>
          </cell>
        </row>
        <row r="1444">
          <cell r="A1444">
            <v>5453</v>
          </cell>
          <cell r="B1444" t="str">
            <v>Prtd Ctn for GM SRK</v>
          </cell>
        </row>
        <row r="1445">
          <cell r="A1445" t="str">
            <v>5456N</v>
          </cell>
          <cell r="B1445" t="str">
            <v>Iris Scissor Cvd 4.5"</v>
          </cell>
        </row>
        <row r="1446">
          <cell r="A1446" t="str">
            <v>5460T</v>
          </cell>
          <cell r="B1446" t="str">
            <v>Transducer(Supplied byGM)</v>
          </cell>
        </row>
        <row r="1447">
          <cell r="A1447">
            <v>5481</v>
          </cell>
          <cell r="B1447" t="str">
            <v>2"x3"Opsite 3000 Transp/D</v>
          </cell>
        </row>
        <row r="1448">
          <cell r="A1448">
            <v>5491</v>
          </cell>
          <cell r="B1448" t="str">
            <v>Ster TPN/CVP Tray/20</v>
          </cell>
        </row>
        <row r="1449">
          <cell r="A1449" t="str">
            <v>5491A</v>
          </cell>
          <cell r="B1449" t="str">
            <v>TELFA 2"x3" Pad</v>
          </cell>
        </row>
        <row r="1450">
          <cell r="A1450">
            <v>5508</v>
          </cell>
          <cell r="B1450" t="str">
            <v>Ster Trach Set/20</v>
          </cell>
        </row>
        <row r="1451">
          <cell r="A1451">
            <v>5517</v>
          </cell>
          <cell r="B1451" t="str">
            <v>Clr Polybag 12x6x18Gusset</v>
          </cell>
        </row>
        <row r="1452">
          <cell r="A1452">
            <v>5559</v>
          </cell>
          <cell r="B1452" t="str">
            <v>23x24 3PPFlat 3Ply P/Poly</v>
          </cell>
        </row>
        <row r="1453">
          <cell r="A1453">
            <v>5562</v>
          </cell>
          <cell r="B1453" t="str">
            <v>2x36 Durapore Tape</v>
          </cell>
        </row>
        <row r="1454">
          <cell r="A1454">
            <v>5563</v>
          </cell>
          <cell r="B1454" t="str">
            <v>2x2 12Ply Gauze</v>
          </cell>
        </row>
        <row r="1455">
          <cell r="A1455" t="str">
            <v>5563-2</v>
          </cell>
          <cell r="B1455" t="str">
            <v>2"X2"12PLYGAUZE/PROCESSED</v>
          </cell>
        </row>
        <row r="1456">
          <cell r="A1456" t="str">
            <v>5563A</v>
          </cell>
          <cell r="B1456" t="str">
            <v>2INX2IN 12PLY INDEX/5</v>
          </cell>
        </row>
        <row r="1457">
          <cell r="A1457" t="str">
            <v>5563A-2</v>
          </cell>
          <cell r="B1457" t="str">
            <v>2"X2" 12PLY PROCESSED,5'S</v>
          </cell>
        </row>
        <row r="1458">
          <cell r="A1458">
            <v>5564</v>
          </cell>
          <cell r="B1458" t="str">
            <v>Ster HS/CE 100-3039/T/300</v>
          </cell>
        </row>
        <row r="1459">
          <cell r="A1459" t="str">
            <v>5564DL</v>
          </cell>
          <cell r="B1459" t="str">
            <v>D/LABEL CE/M/100-3039</v>
          </cell>
        </row>
        <row r="1460">
          <cell r="A1460" t="str">
            <v>5564SL</v>
          </cell>
          <cell r="B1460" t="str">
            <v>S/LABEL CE/M 100-3039</v>
          </cell>
        </row>
        <row r="1461">
          <cell r="A1461" t="str">
            <v>5565A</v>
          </cell>
          <cell r="B1461" t="str">
            <v>Scalpel #15 Blade</v>
          </cell>
        </row>
        <row r="1462">
          <cell r="A1462">
            <v>5632</v>
          </cell>
          <cell r="B1462" t="str">
            <v>Ster Dress Change Tray/24</v>
          </cell>
        </row>
        <row r="1463">
          <cell r="A1463">
            <v>5644</v>
          </cell>
          <cell r="B1463" t="str">
            <v>Ster Dress Change Tray/50</v>
          </cell>
        </row>
        <row r="1464">
          <cell r="A1464" t="str">
            <v>5644A</v>
          </cell>
          <cell r="B1464" t="str">
            <v>Procedure Sheet</v>
          </cell>
        </row>
        <row r="1465">
          <cell r="A1465">
            <v>5694</v>
          </cell>
          <cell r="B1465" t="str">
            <v>Ster PICC Insertion T/20C</v>
          </cell>
        </row>
        <row r="1466">
          <cell r="A1466">
            <v>5696</v>
          </cell>
          <cell r="B1466" t="str">
            <v>Ster Gen Suture Set/20</v>
          </cell>
        </row>
        <row r="1467">
          <cell r="A1467">
            <v>5710</v>
          </cell>
          <cell r="B1467" t="str">
            <v>Schein#5712 Shipper Label</v>
          </cell>
        </row>
        <row r="1468">
          <cell r="A1468" t="str">
            <v>5710A</v>
          </cell>
          <cell r="B1468" t="str">
            <v>HS#5710 Shpr Lbl/CE Mark</v>
          </cell>
        </row>
        <row r="1469">
          <cell r="A1469">
            <v>5711</v>
          </cell>
          <cell r="B1469" t="str">
            <v>Unp Ship #5712 H.Schein</v>
          </cell>
        </row>
        <row r="1470">
          <cell r="A1470">
            <v>5712</v>
          </cell>
          <cell r="B1470" t="str">
            <v>HS#100-3347 12X12 CSR/100</v>
          </cell>
        </row>
        <row r="1471">
          <cell r="A1471">
            <v>5716</v>
          </cell>
          <cell r="B1471" t="str">
            <v>Schein#5718 Shipper Label</v>
          </cell>
        </row>
        <row r="1472">
          <cell r="A1472">
            <v>5717</v>
          </cell>
          <cell r="B1472" t="str">
            <v>Unp Ship #5718 H.Schein</v>
          </cell>
        </row>
        <row r="1473">
          <cell r="A1473">
            <v>5718</v>
          </cell>
          <cell r="B1473" t="str">
            <v>HS#100-4683 18X18 CSR/100</v>
          </cell>
        </row>
        <row r="1474">
          <cell r="A1474">
            <v>5723</v>
          </cell>
          <cell r="B1474" t="str">
            <v>Unp Ship #5724 H.Schein</v>
          </cell>
        </row>
        <row r="1475">
          <cell r="A1475" t="str">
            <v>5723-1</v>
          </cell>
          <cell r="B1475" t="str">
            <v>UNPTD CTN/100PK 24X24 CSR</v>
          </cell>
        </row>
        <row r="1476">
          <cell r="A1476">
            <v>5724</v>
          </cell>
          <cell r="B1476" t="str">
            <v>HS#100-6950 24X24 CSR/100</v>
          </cell>
        </row>
        <row r="1477">
          <cell r="A1477" t="str">
            <v>5724S</v>
          </cell>
          <cell r="B1477" t="str">
            <v>Schein#5724 Shipper Label</v>
          </cell>
        </row>
        <row r="1478">
          <cell r="A1478">
            <v>5729</v>
          </cell>
          <cell r="B1478" t="str">
            <v>Unp Ship #5730 H.Schein</v>
          </cell>
        </row>
        <row r="1479">
          <cell r="A1479">
            <v>5730</v>
          </cell>
          <cell r="B1479" t="str">
            <v>HS#100-8187 30X30 CSR/100</v>
          </cell>
        </row>
        <row r="1480">
          <cell r="A1480" t="str">
            <v>5730S</v>
          </cell>
          <cell r="B1480" t="str">
            <v>Schein#5730 Shipper Label</v>
          </cell>
        </row>
        <row r="1481">
          <cell r="A1481">
            <v>5731</v>
          </cell>
          <cell r="B1481" t="str">
            <v>Schein#5736 Shipper Label</v>
          </cell>
        </row>
        <row r="1482">
          <cell r="A1482">
            <v>5732</v>
          </cell>
          <cell r="B1482" t="str">
            <v>Unp Ship #5736 H.Schein</v>
          </cell>
        </row>
        <row r="1483">
          <cell r="A1483">
            <v>5736</v>
          </cell>
          <cell r="B1483" t="str">
            <v>HS#100-2016 36X36 CSR/100</v>
          </cell>
        </row>
        <row r="1484">
          <cell r="A1484" t="str">
            <v>5760SL</v>
          </cell>
          <cell r="B1484" t="str">
            <v>DE LABEL CSR 97-93347</v>
          </cell>
        </row>
        <row r="1485">
          <cell r="A1485" t="str">
            <v>5761SL</v>
          </cell>
          <cell r="B1485" t="str">
            <v>DE LABEL CSR 97-94683</v>
          </cell>
        </row>
        <row r="1486">
          <cell r="A1486" t="str">
            <v>5762SL</v>
          </cell>
          <cell r="B1486" t="str">
            <v>DE LABEL CSR 97-96950</v>
          </cell>
        </row>
        <row r="1487">
          <cell r="A1487" t="str">
            <v>5763SL</v>
          </cell>
          <cell r="B1487" t="str">
            <v>DE/LABEL CSR 97-98187</v>
          </cell>
        </row>
        <row r="1488">
          <cell r="A1488" t="str">
            <v>5764SL</v>
          </cell>
          <cell r="B1488" t="str">
            <v>DE LABEL CSR 97-92016</v>
          </cell>
        </row>
        <row r="1489">
          <cell r="A1489" t="str">
            <v>5766DL</v>
          </cell>
          <cell r="B1489" t="str">
            <v>DISP LABEL DE N/FEN TWL</v>
          </cell>
        </row>
        <row r="1490">
          <cell r="A1490" t="str">
            <v>5766SL</v>
          </cell>
          <cell r="B1490" t="str">
            <v>S/CTN LABEL DE N/FEN TWL</v>
          </cell>
        </row>
        <row r="1491">
          <cell r="A1491" t="str">
            <v>5767DL</v>
          </cell>
          <cell r="B1491" t="str">
            <v>DISP LABEL DE/FEN/TWL</v>
          </cell>
        </row>
        <row r="1492">
          <cell r="A1492" t="str">
            <v>5767SL</v>
          </cell>
          <cell r="B1492" t="str">
            <v>S/CTN LABEL DE. FEN TWL</v>
          </cell>
        </row>
        <row r="1493">
          <cell r="A1493">
            <v>5814</v>
          </cell>
          <cell r="B1493" t="str">
            <v>Ster Prep Tray/20</v>
          </cell>
        </row>
        <row r="1494">
          <cell r="A1494" t="str">
            <v>5814A</v>
          </cell>
          <cell r="B1494" t="str">
            <v>8oz Polyprop Intake Cup</v>
          </cell>
        </row>
        <row r="1495">
          <cell r="A1495">
            <v>5816</v>
          </cell>
          <cell r="B1495" t="str">
            <v>Ster E N T Tray /20</v>
          </cell>
        </row>
        <row r="1496">
          <cell r="A1496">
            <v>5838</v>
          </cell>
          <cell r="B1496" t="str">
            <v>Ster Gen Instrument /30</v>
          </cell>
        </row>
        <row r="1497">
          <cell r="A1497" t="str">
            <v>5838A</v>
          </cell>
          <cell r="B1497" t="str">
            <v>POP-UP SOL CUPS W/P/LINER</v>
          </cell>
        </row>
        <row r="1498">
          <cell r="A1498" t="str">
            <v>5838B</v>
          </cell>
          <cell r="B1498" t="str">
            <v>Bl Pockt Bg 18x4x7L 1.5Ml</v>
          </cell>
        </row>
        <row r="1499">
          <cell r="A1499">
            <v>5840</v>
          </cell>
          <cell r="B1499" t="str">
            <v>GM#25-5840 Ster IV Kit/50</v>
          </cell>
        </row>
        <row r="1500">
          <cell r="A1500" t="str">
            <v>5840A</v>
          </cell>
          <cell r="B1500" t="str">
            <v>DVR 783 55# Coated Paper</v>
          </cell>
        </row>
        <row r="1501">
          <cell r="A1501" t="str">
            <v>5840L</v>
          </cell>
          <cell r="B1501" t="str">
            <v>GM#25-5840 Shipper Label</v>
          </cell>
        </row>
        <row r="1502">
          <cell r="A1502" t="str">
            <v>5846L</v>
          </cell>
          <cell r="B1502" t="str">
            <v>GM#25-5846 Shipper Label</v>
          </cell>
        </row>
        <row r="1503">
          <cell r="A1503">
            <v>5852</v>
          </cell>
          <cell r="B1503" t="str">
            <v>Ster ER Laceration Try/20</v>
          </cell>
        </row>
        <row r="1504">
          <cell r="A1504" t="str">
            <v>5852CC</v>
          </cell>
          <cell r="B1504" t="str">
            <v>CONTENT CARD W/B/CODE</v>
          </cell>
        </row>
        <row r="1505">
          <cell r="A1505">
            <v>5862</v>
          </cell>
          <cell r="B1505" t="str">
            <v>GM#25-5862 Ster IV Kit/50</v>
          </cell>
        </row>
        <row r="1506">
          <cell r="A1506" t="str">
            <v>5862L</v>
          </cell>
          <cell r="B1506" t="str">
            <v>GM#25-5862 Shipper Label</v>
          </cell>
        </row>
        <row r="1507">
          <cell r="A1507">
            <v>5880</v>
          </cell>
          <cell r="B1507" t="str">
            <v>Ster Cntl Line Dress T/50</v>
          </cell>
        </row>
        <row r="1508">
          <cell r="A1508" t="str">
            <v>5880A</v>
          </cell>
          <cell r="B1508" t="str">
            <v>Polyskin 4x4(#6645)</v>
          </cell>
        </row>
        <row r="1509">
          <cell r="A1509">
            <v>5888</v>
          </cell>
          <cell r="B1509" t="str">
            <v>Ster Gen Instrument T/30</v>
          </cell>
        </row>
        <row r="1510">
          <cell r="A1510" t="str">
            <v>5888SL</v>
          </cell>
          <cell r="B1510" t="str">
            <v>Shpr Lbl/barcode for 5888</v>
          </cell>
        </row>
        <row r="1511">
          <cell r="A1511">
            <v>5890</v>
          </cell>
          <cell r="B1511" t="str">
            <v>GM#25-5890 Ster IV Kit/50</v>
          </cell>
        </row>
        <row r="1512">
          <cell r="A1512" t="str">
            <v>5890L</v>
          </cell>
          <cell r="B1512" t="str">
            <v>GM#25-5890 Shipper Label</v>
          </cell>
        </row>
        <row r="1513">
          <cell r="A1513" t="str">
            <v>5896A</v>
          </cell>
          <cell r="B1513" t="str">
            <v>S&amp;N I.V.Prep Pad</v>
          </cell>
        </row>
        <row r="1514">
          <cell r="A1514" t="str">
            <v>5896B</v>
          </cell>
          <cell r="B1514" t="str">
            <v>Opsite IV1Step 23/8x3"Drs</v>
          </cell>
        </row>
        <row r="1515">
          <cell r="A1515" t="str">
            <v>5896C</v>
          </cell>
          <cell r="B1515" t="str">
            <v>Foam Adh Str 3/C2.25x2.75</v>
          </cell>
        </row>
        <row r="1516">
          <cell r="A1516">
            <v>5898</v>
          </cell>
          <cell r="B1516" t="str">
            <v>Ster Suturing set 20cs</v>
          </cell>
        </row>
        <row r="1517">
          <cell r="A1517" t="str">
            <v>5898A</v>
          </cell>
          <cell r="B1517" t="str">
            <v>4.5"Iris Forcep 1x2 Teeth</v>
          </cell>
        </row>
        <row r="1518">
          <cell r="A1518" t="str">
            <v>5908-1</v>
          </cell>
          <cell r="B1518" t="str">
            <v>N/S ALCOHOL PREP PAD</v>
          </cell>
        </row>
        <row r="1519">
          <cell r="A1519" t="str">
            <v>5928N</v>
          </cell>
          <cell r="B1519" t="str">
            <v>4.75"Adson Serr Frcp F/Pt</v>
          </cell>
        </row>
        <row r="1520">
          <cell r="A1520">
            <v>5937</v>
          </cell>
          <cell r="B1520" t="str">
            <v>PVP Ampule</v>
          </cell>
        </row>
        <row r="1521">
          <cell r="A1521">
            <v>5938</v>
          </cell>
          <cell r="B1521" t="str">
            <v>.75"x36"Transpore Tape</v>
          </cell>
        </row>
        <row r="1522">
          <cell r="A1522">
            <v>6015</v>
          </cell>
          <cell r="B1522" t="str">
            <v>Ster Sut Rmvr K Savoy/50</v>
          </cell>
        </row>
        <row r="1523">
          <cell r="A1523" t="str">
            <v>6015SL</v>
          </cell>
          <cell r="B1523" t="str">
            <v>Shpr Lbl/Savoy #105000SRK</v>
          </cell>
        </row>
        <row r="1524">
          <cell r="A1524">
            <v>6016</v>
          </cell>
          <cell r="B1524" t="str">
            <v>Savoy#60665 18x26Twl/300</v>
          </cell>
        </row>
        <row r="1525">
          <cell r="A1525" t="str">
            <v>6016D</v>
          </cell>
          <cell r="B1525" t="str">
            <v>Savoy#60665 Dispenser Lbl</v>
          </cell>
        </row>
        <row r="1526">
          <cell r="A1526" t="str">
            <v>6016S</v>
          </cell>
          <cell r="B1526" t="str">
            <v>Savoy#60665 Shipper label</v>
          </cell>
        </row>
        <row r="1527">
          <cell r="A1527">
            <v>6017</v>
          </cell>
          <cell r="B1527" t="str">
            <v>Savoy#60667 18x26FTwl/300</v>
          </cell>
        </row>
        <row r="1528">
          <cell r="A1528" t="str">
            <v>6017D</v>
          </cell>
          <cell r="B1528" t="str">
            <v>Savoy#60667 Dispenser Lbl</v>
          </cell>
        </row>
        <row r="1529">
          <cell r="A1529" t="str">
            <v>6017S</v>
          </cell>
          <cell r="B1529" t="str">
            <v>Savoy#60667 Shipper label</v>
          </cell>
        </row>
        <row r="1530">
          <cell r="A1530" t="str">
            <v>6036A</v>
          </cell>
          <cell r="B1530" t="str">
            <v>22Gauge x 1.5" Needle</v>
          </cell>
        </row>
        <row r="1531">
          <cell r="A1531">
            <v>6044</v>
          </cell>
          <cell r="B1531" t="str">
            <v>Ster Suture Removal T/50</v>
          </cell>
        </row>
        <row r="1532">
          <cell r="A1532" t="str">
            <v>6044SL</v>
          </cell>
          <cell r="B1532" t="str">
            <v>OUTER CTN LABEL W.B/CODE</v>
          </cell>
        </row>
        <row r="1533">
          <cell r="A1533">
            <v>6060</v>
          </cell>
          <cell r="B1533" t="str">
            <v>Ster Laceration Tray 20cs</v>
          </cell>
        </row>
        <row r="1534">
          <cell r="A1534" t="str">
            <v>6064T</v>
          </cell>
          <cell r="B1534" t="str">
            <v>3"x8" Tefla Pad</v>
          </cell>
        </row>
        <row r="1535">
          <cell r="A1535">
            <v>6066</v>
          </cell>
          <cell r="B1535" t="str">
            <v>Starln#1200696 Ster T/300</v>
          </cell>
        </row>
        <row r="1536">
          <cell r="A1536" t="str">
            <v>6066D</v>
          </cell>
          <cell r="B1536" t="str">
            <v>Starline#6066 Disp Lbl</v>
          </cell>
        </row>
        <row r="1537">
          <cell r="A1537" t="str">
            <v>6066S</v>
          </cell>
          <cell r="B1537" t="str">
            <v>Starline#6066 Shipper Lbl</v>
          </cell>
        </row>
        <row r="1538">
          <cell r="A1538">
            <v>6067</v>
          </cell>
          <cell r="B1538" t="str">
            <v>Starln#1200697Ster FT/300</v>
          </cell>
        </row>
        <row r="1539">
          <cell r="A1539" t="str">
            <v>6067D</v>
          </cell>
          <cell r="B1539" t="str">
            <v>Starline#6067 Disp Lbl</v>
          </cell>
        </row>
        <row r="1540">
          <cell r="A1540" t="str">
            <v>6067S</v>
          </cell>
          <cell r="B1540" t="str">
            <v>Starline#6067 Shipper Lbl</v>
          </cell>
        </row>
        <row r="1541">
          <cell r="A1541">
            <v>6084</v>
          </cell>
          <cell r="B1541" t="str">
            <v>Ster Dress Change Tray/20</v>
          </cell>
        </row>
        <row r="1542">
          <cell r="A1542" t="str">
            <v>6084A</v>
          </cell>
          <cell r="B1542" t="str">
            <v>I.V. Prep Swabstick</v>
          </cell>
        </row>
        <row r="1543">
          <cell r="A1543" t="str">
            <v>6084B</v>
          </cell>
          <cell r="B1543" t="str">
            <v>Steri-Strips 5/cd</v>
          </cell>
        </row>
        <row r="1544">
          <cell r="A1544">
            <v>6108</v>
          </cell>
          <cell r="B1544" t="str">
            <v>HEAVY DUTY BAG W/TAGS/10</v>
          </cell>
        </row>
        <row r="1545">
          <cell r="A1545">
            <v>6116</v>
          </cell>
          <cell r="B1545" t="str">
            <v>Abco#611696 Ster Twl/300</v>
          </cell>
        </row>
        <row r="1546">
          <cell r="A1546" t="str">
            <v>6116D</v>
          </cell>
          <cell r="B1546" t="str">
            <v>Disp Label for 611696</v>
          </cell>
        </row>
        <row r="1547">
          <cell r="A1547" t="str">
            <v>6116S</v>
          </cell>
          <cell r="B1547" t="str">
            <v>Shipper label for 611696</v>
          </cell>
        </row>
        <row r="1548">
          <cell r="A1548">
            <v>6117</v>
          </cell>
          <cell r="B1548" t="str">
            <v>Abco#611697 Ster FTwl/300</v>
          </cell>
        </row>
        <row r="1549">
          <cell r="A1549" t="str">
            <v>6117D-1</v>
          </cell>
          <cell r="B1549" t="str">
            <v>DISP LABEL</v>
          </cell>
        </row>
        <row r="1550">
          <cell r="A1550" t="str">
            <v>6117S</v>
          </cell>
          <cell r="B1550" t="str">
            <v>Shipper Label for 611697</v>
          </cell>
        </row>
        <row r="1551">
          <cell r="A1551">
            <v>6146</v>
          </cell>
          <cell r="B1551" t="str">
            <v>N/SMoore#55229 Inf/Kit/15</v>
          </cell>
        </row>
        <row r="1552">
          <cell r="A1552" t="str">
            <v>6146A</v>
          </cell>
          <cell r="B1552" t="str">
            <v>Orange Biohazard Adh Labl</v>
          </cell>
        </row>
        <row r="1553">
          <cell r="A1553" t="str">
            <v>6146BREVA</v>
          </cell>
          <cell r="B1553" t="str">
            <v>MOORE S/CTN LABEL /55229</v>
          </cell>
        </row>
        <row r="1554">
          <cell r="A1554" t="str">
            <v>6146CREVA</v>
          </cell>
          <cell r="B1554" t="str">
            <v>MOORE C/CARD W/bc/55229</v>
          </cell>
        </row>
        <row r="1555">
          <cell r="A1555">
            <v>6148</v>
          </cell>
          <cell r="B1555" t="str">
            <v>Ster Dress Change Tray/20</v>
          </cell>
        </row>
        <row r="1556">
          <cell r="A1556" t="str">
            <v>6148A</v>
          </cell>
          <cell r="B1556" t="str">
            <v>Biopore Dress w/Instruct.</v>
          </cell>
        </row>
        <row r="1557">
          <cell r="A1557" t="str">
            <v>6148B</v>
          </cell>
          <cell r="B1557" t="str">
            <v>Biopore Trans/D/Direct/Cd</v>
          </cell>
        </row>
        <row r="1558">
          <cell r="A1558">
            <v>6154</v>
          </cell>
          <cell r="B1558" t="str">
            <v>N/S Comm Disease Kit/10</v>
          </cell>
        </row>
        <row r="1559">
          <cell r="A1559" t="str">
            <v>6154A</v>
          </cell>
          <cell r="B1559" t="str">
            <v>PowderFree Gloves</v>
          </cell>
        </row>
        <row r="1560">
          <cell r="A1560" t="str">
            <v>6154B</v>
          </cell>
          <cell r="B1560" t="str">
            <v>Set of Instruction folded</v>
          </cell>
        </row>
        <row r="1561">
          <cell r="A1561" t="str">
            <v>6154C</v>
          </cell>
          <cell r="B1561" t="str">
            <v>Cleansing Towelettes</v>
          </cell>
        </row>
        <row r="1562">
          <cell r="A1562" t="str">
            <v>6154D</v>
          </cell>
          <cell r="B1562" t="str">
            <v>Antimicrobial Wipes</v>
          </cell>
        </row>
        <row r="1563">
          <cell r="A1563" t="str">
            <v>6166D</v>
          </cell>
          <cell r="B1563" t="str">
            <v>DE DISP LABEL HS 97-99687</v>
          </cell>
        </row>
        <row r="1564">
          <cell r="A1564" t="str">
            <v>6166S</v>
          </cell>
          <cell r="B1564" t="str">
            <v>DE SHIPPER L/97-99687</v>
          </cell>
        </row>
        <row r="1565">
          <cell r="A1565" t="str">
            <v>6167D</v>
          </cell>
          <cell r="B1565" t="str">
            <v>DE DISP LABEL HS 97-93039</v>
          </cell>
        </row>
        <row r="1566">
          <cell r="A1566" t="str">
            <v>6167S</v>
          </cell>
          <cell r="B1566" t="str">
            <v>DE SHIPPER L/97-93039</v>
          </cell>
        </row>
        <row r="1567">
          <cell r="A1567">
            <v>6180</v>
          </cell>
          <cell r="B1567" t="str">
            <v>N/Ster Blood Draw Kit/100</v>
          </cell>
        </row>
        <row r="1568">
          <cell r="A1568">
            <v>6246</v>
          </cell>
          <cell r="B1568" t="str">
            <v>Ster Suturing Set/20</v>
          </cell>
        </row>
        <row r="1569">
          <cell r="A1569">
            <v>6292</v>
          </cell>
          <cell r="B1569" t="str">
            <v>Ster Dress Change T/30</v>
          </cell>
        </row>
        <row r="1570">
          <cell r="A1570" t="str">
            <v>6292SL</v>
          </cell>
          <cell r="B1570" t="str">
            <v>SHPR LBL/BARCODE FOR 6292</v>
          </cell>
        </row>
        <row r="1571">
          <cell r="A1571">
            <v>6340</v>
          </cell>
          <cell r="B1571" t="str">
            <v>Bulk Twl Clr w/Pocket/250</v>
          </cell>
        </row>
        <row r="1572">
          <cell r="A1572" t="str">
            <v>6340S</v>
          </cell>
          <cell r="B1572" t="str">
            <v>Unprinted Ctn</v>
          </cell>
        </row>
        <row r="1573">
          <cell r="A1573">
            <v>6341</v>
          </cell>
          <cell r="B1573" t="str">
            <v>3"SCRIM REINFORCED MATL</v>
          </cell>
        </row>
        <row r="1574">
          <cell r="A1574">
            <v>6342</v>
          </cell>
          <cell r="B1574" t="str">
            <v>.00275 Clr Poly for Arrow</v>
          </cell>
        </row>
        <row r="1575">
          <cell r="A1575">
            <v>6345</v>
          </cell>
          <cell r="B1575" t="str">
            <v>Ster I.V. Start Kit/50</v>
          </cell>
        </row>
        <row r="1576">
          <cell r="A1576" t="str">
            <v>6361B</v>
          </cell>
          <cell r="B1576" t="str">
            <v>McKesson#25-515 Disp Box</v>
          </cell>
        </row>
        <row r="1577">
          <cell r="A1577" t="str">
            <v>6363C</v>
          </cell>
          <cell r="B1577" t="str">
            <v>McKesson #25-517 Disp Box</v>
          </cell>
        </row>
        <row r="1578">
          <cell r="A1578" t="str">
            <v>6364A</v>
          </cell>
          <cell r="B1578" t="str">
            <v>McKesson#25-515 Ptd Ship</v>
          </cell>
        </row>
        <row r="1579">
          <cell r="A1579" t="str">
            <v>6365A</v>
          </cell>
          <cell r="B1579" t="str">
            <v>McKesson#25-517 Ptd Ship</v>
          </cell>
        </row>
        <row r="1580">
          <cell r="A1580">
            <v>6366</v>
          </cell>
          <cell r="B1580" t="str">
            <v>GM#25-515 Ster Towel/300</v>
          </cell>
        </row>
        <row r="1581">
          <cell r="A1581">
            <v>6367</v>
          </cell>
          <cell r="B1581" t="str">
            <v>GM#25-517 Ster Fn Twl/300</v>
          </cell>
        </row>
        <row r="1582">
          <cell r="A1582">
            <v>6461</v>
          </cell>
          <cell r="B1582" t="str">
            <v>Schein#6466 Disp Label</v>
          </cell>
        </row>
        <row r="1583">
          <cell r="A1583">
            <v>6462</v>
          </cell>
          <cell r="B1583" t="str">
            <v>Schein#6466 Shipper Label</v>
          </cell>
        </row>
        <row r="1584">
          <cell r="A1584">
            <v>6466</v>
          </cell>
          <cell r="B1584" t="str">
            <v>Schn#1009687 Ster Twl/300</v>
          </cell>
        </row>
        <row r="1585">
          <cell r="A1585">
            <v>6598</v>
          </cell>
          <cell r="B1585" t="str">
            <v>18"x26" Towel w/Patch/500</v>
          </cell>
        </row>
        <row r="1586">
          <cell r="A1586" t="str">
            <v>6598SL</v>
          </cell>
          <cell r="B1586" t="str">
            <v>OUTER CTN LABEL W/BARCODE</v>
          </cell>
        </row>
        <row r="1587">
          <cell r="A1587">
            <v>6644</v>
          </cell>
          <cell r="B1587" t="str">
            <v>Shipper Label for 6647</v>
          </cell>
        </row>
        <row r="1588">
          <cell r="A1588">
            <v>6669</v>
          </cell>
          <cell r="B1588" t="str">
            <v>Unprinted Carton</v>
          </cell>
        </row>
        <row r="1589">
          <cell r="A1589" t="str">
            <v>6669P</v>
          </cell>
          <cell r="B1589" t="str">
            <v>Ptd Shipper for 6960/6970</v>
          </cell>
        </row>
        <row r="1590">
          <cell r="A1590">
            <v>6710</v>
          </cell>
          <cell r="B1590" t="str">
            <v>19.5"x23"Blue SRM Twl/200</v>
          </cell>
        </row>
        <row r="1591">
          <cell r="A1591">
            <v>6711</v>
          </cell>
          <cell r="B1591" t="str">
            <v>19.5"x23"SRM Twl/500</v>
          </cell>
        </row>
        <row r="1592">
          <cell r="A1592">
            <v>6802</v>
          </cell>
          <cell r="B1592" t="str">
            <v>18*26 Dex.T&amp;T W/1/2"Rel.</v>
          </cell>
        </row>
        <row r="1593">
          <cell r="A1593">
            <v>6808</v>
          </cell>
          <cell r="B1593" t="str">
            <v>Bulk 18x26 Unptd Twl/500</v>
          </cell>
        </row>
        <row r="1594">
          <cell r="A1594">
            <v>6809</v>
          </cell>
          <cell r="B1594" t="str">
            <v>1/2"Release Paper</v>
          </cell>
        </row>
        <row r="1595">
          <cell r="A1595" t="str">
            <v>6809-1</v>
          </cell>
          <cell r="B1595" t="str">
            <v>1/2IN RELEASE PAPER</v>
          </cell>
        </row>
        <row r="1596">
          <cell r="A1596">
            <v>6810</v>
          </cell>
          <cell r="B1596" t="str">
            <v>18X26 Bulk Prntd Twl/500</v>
          </cell>
        </row>
        <row r="1597">
          <cell r="A1597">
            <v>6811</v>
          </cell>
          <cell r="B1597" t="str">
            <v>18x26 Non-Absrb FnTwl/500</v>
          </cell>
        </row>
        <row r="1598">
          <cell r="A1598">
            <v>6820</v>
          </cell>
          <cell r="B1598" t="str">
            <v>N/S18X26 Blue Twl/Tpe/500</v>
          </cell>
        </row>
        <row r="1599">
          <cell r="A1599">
            <v>6822</v>
          </cell>
          <cell r="B1599" t="str">
            <v>19.5x23 Blue Absorb Twl</v>
          </cell>
        </row>
        <row r="1600">
          <cell r="A1600">
            <v>6831</v>
          </cell>
          <cell r="B1600" t="str">
            <v>18" Bl.Dexter Grade#3557</v>
          </cell>
        </row>
        <row r="1601">
          <cell r="A1601">
            <v>6841</v>
          </cell>
          <cell r="B1601" t="str">
            <v>Adhesive Patch 5"x5.25"</v>
          </cell>
        </row>
        <row r="1602">
          <cell r="A1602" t="str">
            <v>6841C</v>
          </cell>
          <cell r="B1602" t="str">
            <v>Adhesive Patch 5"x5.25"</v>
          </cell>
        </row>
        <row r="1603">
          <cell r="A1603">
            <v>6843</v>
          </cell>
          <cell r="B1603" t="str">
            <v>2.5"Adhesive Patch/Arrow</v>
          </cell>
        </row>
        <row r="1604">
          <cell r="A1604" t="str">
            <v>6843D</v>
          </cell>
          <cell r="B1604" t="str">
            <v>2PC ADH PATCH 2 3/8 X2.5"</v>
          </cell>
        </row>
        <row r="1605">
          <cell r="A1605" t="str">
            <v>6860A</v>
          </cell>
          <cell r="B1605" t="str">
            <v>Tidi#950108 Disp. Label</v>
          </cell>
        </row>
        <row r="1606">
          <cell r="A1606" t="str">
            <v>6860S</v>
          </cell>
          <cell r="B1606" t="str">
            <v>Tidi#950108 Shipper Label</v>
          </cell>
        </row>
        <row r="1607">
          <cell r="A1607" t="str">
            <v>6866A</v>
          </cell>
          <cell r="B1607" t="str">
            <v>Tidi#950109 Disp. Label</v>
          </cell>
        </row>
        <row r="1608">
          <cell r="A1608">
            <v>6913</v>
          </cell>
          <cell r="B1608" t="str">
            <v>Printed Disp Box/696</v>
          </cell>
        </row>
        <row r="1609">
          <cell r="A1609" t="str">
            <v>6913B</v>
          </cell>
          <cell r="B1609" t="str">
            <v>Ptd Disp Bx for 697</v>
          </cell>
        </row>
        <row r="1610">
          <cell r="A1610">
            <v>6914</v>
          </cell>
          <cell r="B1610" t="str">
            <v>Ptd Shipper Ctn/696, 697</v>
          </cell>
        </row>
        <row r="1611">
          <cell r="A1611" t="str">
            <v>6914S</v>
          </cell>
          <cell r="B1611" t="str">
            <v>Printed Shipper Ctn 696</v>
          </cell>
        </row>
        <row r="1612">
          <cell r="A1612">
            <v>6915</v>
          </cell>
          <cell r="B1612" t="str">
            <v>Plain Disp Bxs for Towel</v>
          </cell>
        </row>
        <row r="1613">
          <cell r="A1613">
            <v>6916</v>
          </cell>
          <cell r="B1613" t="str">
            <v>Unprinted Ctn for Towel</v>
          </cell>
        </row>
        <row r="1614">
          <cell r="A1614" t="str">
            <v>6930A</v>
          </cell>
          <cell r="B1614" t="str">
            <v>19.5"Blue SRM</v>
          </cell>
        </row>
        <row r="1615">
          <cell r="A1615" t="str">
            <v>6932A</v>
          </cell>
          <cell r="B1615" t="str">
            <v>PTD.CTN 21X13 1/2X9 3/8"</v>
          </cell>
        </row>
        <row r="1616">
          <cell r="A1616">
            <v>6934</v>
          </cell>
          <cell r="B1616" t="str">
            <v>Polybag/ 2Mil(28x18x39)</v>
          </cell>
        </row>
        <row r="1617">
          <cell r="A1617">
            <v>6935</v>
          </cell>
          <cell r="B1617" t="str">
            <v>19.5x28" Blue Twl/500</v>
          </cell>
        </row>
        <row r="1618">
          <cell r="A1618" t="str">
            <v>6950F</v>
          </cell>
          <cell r="B1618" t="str">
            <v>17.5" Blue Polypropylene</v>
          </cell>
        </row>
        <row r="1619">
          <cell r="A1619">
            <v>6960</v>
          </cell>
          <cell r="B1619" t="str">
            <v>18x26 White Twl-Bulk/500</v>
          </cell>
        </row>
        <row r="1620">
          <cell r="A1620">
            <v>6961</v>
          </cell>
          <cell r="B1620" t="str">
            <v>18"1Ply White Tissue</v>
          </cell>
        </row>
        <row r="1621">
          <cell r="A1621">
            <v>6962</v>
          </cell>
          <cell r="B1621" t="str">
            <v>18" 1 Ply Blue Tissue</v>
          </cell>
        </row>
        <row r="1622">
          <cell r="A1622">
            <v>6963</v>
          </cell>
          <cell r="B1622" t="str">
            <v>Moore#14170 Ster Twl/300</v>
          </cell>
        </row>
        <row r="1623">
          <cell r="A1623" t="str">
            <v>6963D</v>
          </cell>
          <cell r="B1623" t="str">
            <v>Moore#14170 Disp. Label</v>
          </cell>
        </row>
        <row r="1624">
          <cell r="A1624" t="str">
            <v>6963S</v>
          </cell>
          <cell r="B1624" t="str">
            <v>Moore#14170 Shipper Label</v>
          </cell>
        </row>
        <row r="1625">
          <cell r="A1625">
            <v>6964</v>
          </cell>
          <cell r="B1625" t="str">
            <v>Moore#14171 Ster FTwl/300</v>
          </cell>
        </row>
        <row r="1626">
          <cell r="A1626" t="str">
            <v>6964D</v>
          </cell>
          <cell r="B1626" t="str">
            <v>Moore#14171 Disp. Label</v>
          </cell>
        </row>
        <row r="1627">
          <cell r="A1627" t="str">
            <v>6964S</v>
          </cell>
          <cell r="B1627" t="str">
            <v>Moore#14171 Shipper Label</v>
          </cell>
        </row>
        <row r="1628">
          <cell r="A1628" t="str">
            <v>6966A</v>
          </cell>
          <cell r="B1628" t="str">
            <v>17.5" Clear Polyethylene</v>
          </cell>
        </row>
        <row r="1629">
          <cell r="A1629">
            <v>6969</v>
          </cell>
          <cell r="B1629" t="str">
            <v>I&amp;B#M199116A Ster Twl/300</v>
          </cell>
        </row>
        <row r="1630">
          <cell r="A1630" t="str">
            <v>6969D</v>
          </cell>
          <cell r="B1630" t="str">
            <v>I&amp;B#M199116A Disp. Label</v>
          </cell>
        </row>
        <row r="1631">
          <cell r="A1631" t="str">
            <v>6969S</v>
          </cell>
          <cell r="B1631" t="str">
            <v>I&amp;B#M19166A Shipper Label</v>
          </cell>
        </row>
        <row r="1632">
          <cell r="A1632">
            <v>6970</v>
          </cell>
          <cell r="B1632" t="str">
            <v>18x26 White Fen Towel/500</v>
          </cell>
        </row>
        <row r="1633">
          <cell r="A1633">
            <v>6971</v>
          </cell>
          <cell r="B1633" t="str">
            <v>30LB PAPER / 18LB LDPE</v>
          </cell>
        </row>
        <row r="1634">
          <cell r="A1634">
            <v>6972</v>
          </cell>
          <cell r="B1634" t="str">
            <v>CP6005/40lb/Unptd/Ctd Ppr</v>
          </cell>
        </row>
        <row r="1635">
          <cell r="A1635">
            <v>6979</v>
          </cell>
          <cell r="B1635" t="str">
            <v>STER TWL ING&amp;BELLM119117A</v>
          </cell>
        </row>
        <row r="1636">
          <cell r="A1636" t="str">
            <v>6979D</v>
          </cell>
          <cell r="B1636" t="str">
            <v>I&amp;B#M199117A Disp Label</v>
          </cell>
        </row>
        <row r="1637">
          <cell r="A1637" t="str">
            <v>6979S</v>
          </cell>
          <cell r="B1637" t="str">
            <v>I&amp;B#M199117A Ship Label</v>
          </cell>
        </row>
        <row r="1638">
          <cell r="A1638">
            <v>6980</v>
          </cell>
          <cell r="B1638" t="str">
            <v>18x26 Non-Fens. Twl/500</v>
          </cell>
        </row>
        <row r="1639">
          <cell r="A1639" t="str">
            <v>6981A</v>
          </cell>
          <cell r="B1639" t="str">
            <v>30LB PAPER G/5736/18#LDPE</v>
          </cell>
        </row>
        <row r="1640">
          <cell r="A1640">
            <v>6988</v>
          </cell>
          <cell r="B1640" t="str">
            <v>18X26 T/P/T Drpe/Adh Ptch</v>
          </cell>
        </row>
        <row r="1641">
          <cell r="A1641" t="str">
            <v>6988DB</v>
          </cell>
          <cell r="B1641" t="str">
            <v>Unptd Disp Box for 698</v>
          </cell>
        </row>
        <row r="1642">
          <cell r="A1642" t="str">
            <v>6988S</v>
          </cell>
          <cell r="B1642" t="str">
            <v>Unprinted Shipper for 698</v>
          </cell>
        </row>
        <row r="1643">
          <cell r="A1643" t="str">
            <v>6991A</v>
          </cell>
          <cell r="B1643" t="str">
            <v>Unprinted Ctn</v>
          </cell>
        </row>
        <row r="1644">
          <cell r="A1644" t="str">
            <v>6998S</v>
          </cell>
          <cell r="B1644" t="str">
            <v>Unprinted Ship for 699</v>
          </cell>
        </row>
        <row r="1645">
          <cell r="A1645" t="str">
            <v>6998SL</v>
          </cell>
          <cell r="B1645" t="str">
            <v>Outer Ctn Label</v>
          </cell>
        </row>
        <row r="1646">
          <cell r="A1646">
            <v>7001</v>
          </cell>
          <cell r="B1646" t="str">
            <v>Unptd 10Pk Shipper Ctn</v>
          </cell>
        </row>
        <row r="1647">
          <cell r="A1647" t="str">
            <v>7001I</v>
          </cell>
          <cell r="B1647" t="str">
            <v>Busse Instruction Sheet</v>
          </cell>
        </row>
        <row r="1648">
          <cell r="A1648" t="str">
            <v>7003A</v>
          </cell>
          <cell r="B1648" t="str">
            <v>Blue Underpad</v>
          </cell>
        </row>
        <row r="1649">
          <cell r="A1649">
            <v>7005</v>
          </cell>
          <cell r="B1649" t="str">
            <v>Printed Carton for 700</v>
          </cell>
        </row>
        <row r="1650">
          <cell r="A1650">
            <v>7006</v>
          </cell>
          <cell r="B1650" t="str">
            <v>GM#25-700 Shroud Kit/10</v>
          </cell>
        </row>
        <row r="1651">
          <cell r="A1651" t="str">
            <v>7006I</v>
          </cell>
          <cell r="B1651" t="str">
            <v>MC KESSON INSTRUCT/SHEET</v>
          </cell>
        </row>
        <row r="1652">
          <cell r="A1652" t="str">
            <v>7006SL</v>
          </cell>
          <cell r="B1652" t="str">
            <v>MC KESSON OUTER CTN LABEL</v>
          </cell>
        </row>
        <row r="1653">
          <cell r="A1653">
            <v>7007</v>
          </cell>
          <cell r="B1653" t="str">
            <v>Red Body Bag Tag</v>
          </cell>
        </row>
        <row r="1654">
          <cell r="A1654">
            <v>7008</v>
          </cell>
          <cell r="B1654" t="str">
            <v>GM#25-700 Instruction Sht</v>
          </cell>
        </row>
        <row r="1655">
          <cell r="A1655">
            <v>7009</v>
          </cell>
          <cell r="B1655" t="str">
            <v>Ing&amp;Bell#5-222 Shrd K/10</v>
          </cell>
        </row>
        <row r="1656">
          <cell r="A1656" t="str">
            <v>7009A</v>
          </cell>
          <cell r="B1656" t="str">
            <v>I&amp;B#5-222 Instruction Sht</v>
          </cell>
        </row>
        <row r="1657">
          <cell r="A1657" t="str">
            <v>7009B</v>
          </cell>
          <cell r="B1657" t="str">
            <v>I&amp;B#5-222 Shipper Label</v>
          </cell>
        </row>
        <row r="1658">
          <cell r="A1658" t="str">
            <v>7011I</v>
          </cell>
          <cell r="B1658" t="str">
            <v>Cat#701 Instr Sheet/Bcode</v>
          </cell>
        </row>
        <row r="1659">
          <cell r="A1659">
            <v>7030</v>
          </cell>
          <cell r="B1659" t="str">
            <v>14 FR Catheter</v>
          </cell>
        </row>
        <row r="1660">
          <cell r="A1660">
            <v>7032</v>
          </cell>
          <cell r="B1660" t="str">
            <v>4X4 8Ply Gauze Sponge</v>
          </cell>
        </row>
        <row r="1661">
          <cell r="A1661" t="str">
            <v>7032-1</v>
          </cell>
          <cell r="B1661" t="str">
            <v>4X4 8PLY GAUZE</v>
          </cell>
        </row>
        <row r="1662">
          <cell r="A1662" t="str">
            <v>7032-2</v>
          </cell>
          <cell r="B1662" t="str">
            <v>4"X4"8PLYGAUZE/PROCESSED</v>
          </cell>
        </row>
        <row r="1663">
          <cell r="A1663" t="str">
            <v>7032A</v>
          </cell>
          <cell r="B1663" t="str">
            <v>4X4 8Ply Indexed in 5</v>
          </cell>
        </row>
        <row r="1664">
          <cell r="A1664" t="str">
            <v>7032A-1</v>
          </cell>
          <cell r="B1664" t="str">
            <v>4X4 8PLY G/IND 5</v>
          </cell>
        </row>
        <row r="1665">
          <cell r="A1665" t="str">
            <v>7032A-2</v>
          </cell>
          <cell r="B1665" t="str">
            <v>4"X4"8PLYGAUZE/PROCESSED5</v>
          </cell>
        </row>
        <row r="1666">
          <cell r="A1666" t="str">
            <v>7035V</v>
          </cell>
          <cell r="B1666" t="str">
            <v>Vinyl Examination Gloves</v>
          </cell>
        </row>
        <row r="1667">
          <cell r="A1667">
            <v>7036</v>
          </cell>
          <cell r="B1667" t="str">
            <v>GM#25-703 Ster Trach T/20</v>
          </cell>
        </row>
        <row r="1668">
          <cell r="A1668" t="str">
            <v>7036SL</v>
          </cell>
          <cell r="B1668" t="str">
            <v>McKesson#25-703 Shipr Lbl</v>
          </cell>
        </row>
        <row r="1669">
          <cell r="A1669">
            <v>7051</v>
          </cell>
          <cell r="B1669" t="str">
            <v>Removable Basin (#3283)</v>
          </cell>
        </row>
        <row r="1670">
          <cell r="A1670">
            <v>7053</v>
          </cell>
          <cell r="B1670" t="str">
            <v>Unprinted Shipper Ctn</v>
          </cell>
        </row>
        <row r="1671">
          <cell r="A1671">
            <v>7054</v>
          </cell>
          <cell r="B1671" t="str">
            <v>4"Cotton Tip AplicatorP/H</v>
          </cell>
        </row>
        <row r="1672">
          <cell r="A1672">
            <v>7071</v>
          </cell>
          <cell r="B1672" t="str">
            <v>Zoned Coated Paper /707</v>
          </cell>
        </row>
        <row r="1673">
          <cell r="A1673" t="str">
            <v>7072A</v>
          </cell>
          <cell r="B1673" t="str">
            <v>Unprinted Disp Box</v>
          </cell>
        </row>
        <row r="1674">
          <cell r="A1674">
            <v>7073</v>
          </cell>
          <cell r="B1674" t="str">
            <v>Printed Ctn for 707</v>
          </cell>
        </row>
        <row r="1675">
          <cell r="A1675" t="str">
            <v>7073S</v>
          </cell>
          <cell r="B1675" t="str">
            <v>Prtd Shippr Ctn w/barcode</v>
          </cell>
        </row>
        <row r="1676">
          <cell r="A1676">
            <v>7079</v>
          </cell>
          <cell r="B1676" t="str">
            <v>Non-Ster Trach Dress/2000</v>
          </cell>
        </row>
        <row r="1677">
          <cell r="A1677" t="str">
            <v>7079SL</v>
          </cell>
          <cell r="B1677" t="str">
            <v>OUTER CTN LABEL</v>
          </cell>
        </row>
        <row r="1678">
          <cell r="A1678" t="str">
            <v>7080D</v>
          </cell>
          <cell r="B1678" t="str">
            <v>PVA-109 #35 Ppr Coated</v>
          </cell>
        </row>
        <row r="1679">
          <cell r="A1679">
            <v>7082</v>
          </cell>
          <cell r="B1679" t="str">
            <v>Hercules P530 Delnet 4oz</v>
          </cell>
        </row>
        <row r="1680">
          <cell r="A1680" t="str">
            <v>7084T</v>
          </cell>
          <cell r="B1680" t="str">
            <v>35lb Wht Ppr/Ppr Uncoated</v>
          </cell>
        </row>
        <row r="1681">
          <cell r="A1681">
            <v>7092</v>
          </cell>
          <cell r="B1681" t="str">
            <v>18x26 Poly Towel</v>
          </cell>
        </row>
        <row r="1682">
          <cell r="A1682">
            <v>7095</v>
          </cell>
          <cell r="B1682" t="str">
            <v>Straight Trim Trach Brush</v>
          </cell>
        </row>
        <row r="1683">
          <cell r="A1683">
            <v>7096</v>
          </cell>
          <cell r="B1683" t="str">
            <v>Prtd Shipper 710/711</v>
          </cell>
        </row>
        <row r="1684">
          <cell r="A1684">
            <v>7101</v>
          </cell>
          <cell r="B1684" t="str">
            <v>Coated Paper,14"wide</v>
          </cell>
        </row>
        <row r="1685">
          <cell r="A1685">
            <v>7102</v>
          </cell>
          <cell r="B1685" t="str">
            <v>30 MIL HIPS WHITE ROLLSTK</v>
          </cell>
        </row>
        <row r="1686">
          <cell r="A1686" t="str">
            <v>7102A</v>
          </cell>
          <cell r="B1686" t="str">
            <v>24Mil HIPS WHITE ROLLSTK</v>
          </cell>
        </row>
        <row r="1687">
          <cell r="A1687">
            <v>7103</v>
          </cell>
          <cell r="B1687" t="str">
            <v>4X4 8Ply Gauze Indexed 4</v>
          </cell>
        </row>
        <row r="1688">
          <cell r="A1688" t="str">
            <v>7103-1</v>
          </cell>
          <cell r="B1688" t="str">
            <v>4X4 8PLY G/IND 4</v>
          </cell>
        </row>
        <row r="1689">
          <cell r="A1689" t="str">
            <v>7103-2</v>
          </cell>
          <cell r="B1689" t="str">
            <v>4"X4"8PLYGAUZE/PROCESSED4</v>
          </cell>
        </row>
        <row r="1690">
          <cell r="A1690">
            <v>7105</v>
          </cell>
          <cell r="B1690" t="str">
            <v>6"Cotton Tip Applicator</v>
          </cell>
        </row>
        <row r="1691">
          <cell r="A1691" t="str">
            <v>7106G</v>
          </cell>
          <cell r="B1691" t="str">
            <v>Pipe Cleaner Galvanized</v>
          </cell>
        </row>
        <row r="1692">
          <cell r="A1692">
            <v>7107</v>
          </cell>
          <cell r="B1692" t="str">
            <v>Twill Tape</v>
          </cell>
        </row>
        <row r="1693">
          <cell r="A1693" t="str">
            <v>7112L</v>
          </cell>
          <cell r="B1693" t="str">
            <v>Latex Examination Gloves</v>
          </cell>
        </row>
        <row r="1694">
          <cell r="A1694">
            <v>7113</v>
          </cell>
          <cell r="B1694" t="str">
            <v>4X4 12Ply Trach Spnge/Trn</v>
          </cell>
        </row>
        <row r="1695">
          <cell r="A1695" t="str">
            <v>7113-1</v>
          </cell>
          <cell r="B1695" t="str">
            <v>4X4IN 12PLY TRACH SPNGE T</v>
          </cell>
        </row>
        <row r="1696">
          <cell r="A1696" t="str">
            <v>7113-2</v>
          </cell>
          <cell r="B1696" t="str">
            <v>4"X4" 12PLY TRACH SPG DEC</v>
          </cell>
        </row>
        <row r="1697">
          <cell r="A1697">
            <v>7114</v>
          </cell>
          <cell r="B1697" t="str">
            <v>16X18 Polylined Towel</v>
          </cell>
        </row>
        <row r="1698">
          <cell r="A1698">
            <v>7117</v>
          </cell>
          <cell r="B1698" t="str">
            <v>Printed Shipper for 7118</v>
          </cell>
        </row>
        <row r="1699">
          <cell r="A1699" t="str">
            <v>7118S</v>
          </cell>
          <cell r="B1699" t="str">
            <v>Abco 260479 Shppr Label</v>
          </cell>
        </row>
        <row r="1700">
          <cell r="A1700">
            <v>7123</v>
          </cell>
          <cell r="B1700" t="str">
            <v>Unprinted Shipper Ctn</v>
          </cell>
        </row>
        <row r="1701">
          <cell r="A1701">
            <v>7136</v>
          </cell>
          <cell r="B1701" t="str">
            <v>GM#25-713 Ster Trach T/20</v>
          </cell>
        </row>
        <row r="1702">
          <cell r="A1702" t="str">
            <v>7136SL</v>
          </cell>
          <cell r="B1702" t="str">
            <v>McKesson#25-713 Shpr Lbl</v>
          </cell>
        </row>
        <row r="1703">
          <cell r="A1703">
            <v>7141</v>
          </cell>
          <cell r="B1703" t="str">
            <v>Hydrogen Peroxide for 714</v>
          </cell>
        </row>
        <row r="1704">
          <cell r="A1704">
            <v>7156</v>
          </cell>
          <cell r="B1704" t="str">
            <v>GM#25-715 Ster Trach T/20</v>
          </cell>
        </row>
        <row r="1705">
          <cell r="A1705" t="str">
            <v>7156SL</v>
          </cell>
          <cell r="B1705" t="str">
            <v>McKesson#25-715 Shppr Lbl</v>
          </cell>
        </row>
        <row r="1706">
          <cell r="A1706">
            <v>7160</v>
          </cell>
          <cell r="B1706" t="str">
            <v>BULK SKIN STAPLE REMOVER</v>
          </cell>
        </row>
        <row r="1707">
          <cell r="A1707" t="str">
            <v>7161A</v>
          </cell>
          <cell r="B1707" t="str">
            <v>Unprtd Ctn/Staple Removr</v>
          </cell>
        </row>
        <row r="1708">
          <cell r="A1708" t="str">
            <v>7161SA</v>
          </cell>
          <cell r="B1708" t="str">
            <v>GM#25-716 Shipper Label</v>
          </cell>
        </row>
        <row r="1709">
          <cell r="A1709">
            <v>7162</v>
          </cell>
          <cell r="B1709" t="str">
            <v>Unptd Ship for SRK</v>
          </cell>
        </row>
        <row r="1710">
          <cell r="A1710">
            <v>7166</v>
          </cell>
          <cell r="B1710" t="str">
            <v>GM#25-716 Ster Stpl Rv/48</v>
          </cell>
        </row>
        <row r="1711">
          <cell r="A1711">
            <v>7169</v>
          </cell>
          <cell r="B1711" t="str">
            <v>Bulk Staple Removers/1000</v>
          </cell>
        </row>
        <row r="1712">
          <cell r="A1712" t="str">
            <v>7169SL</v>
          </cell>
          <cell r="B1712" t="str">
            <v>OUTER CTN LABEL</v>
          </cell>
        </row>
        <row r="1713">
          <cell r="A1713">
            <v>7170</v>
          </cell>
          <cell r="B1713" t="str">
            <v>Bulk Sharp/Blunt Scr/1000</v>
          </cell>
        </row>
        <row r="1714">
          <cell r="A1714">
            <v>7171</v>
          </cell>
          <cell r="B1714" t="str">
            <v>4.5"Sharp/Blunt Scissor</v>
          </cell>
        </row>
        <row r="1715">
          <cell r="A1715">
            <v>7172</v>
          </cell>
          <cell r="B1715" t="str">
            <v>15Mil Hips/2Mil PE Film</v>
          </cell>
        </row>
        <row r="1716">
          <cell r="A1716" t="str">
            <v>7173-1</v>
          </cell>
          <cell r="B1716" t="str">
            <v>35746G-POLYESTER LIDSTOCK</v>
          </cell>
        </row>
        <row r="1717">
          <cell r="A1717" t="str">
            <v>7173A</v>
          </cell>
          <cell r="B1717" t="str">
            <v>35746K-POLYESTER LIDSTOCK</v>
          </cell>
        </row>
        <row r="1718">
          <cell r="A1718">
            <v>7177</v>
          </cell>
          <cell r="B1718" t="str">
            <v>Ster Moore #14169 SRK/50</v>
          </cell>
        </row>
        <row r="1719">
          <cell r="A1719" t="str">
            <v>7177S</v>
          </cell>
          <cell r="B1719" t="str">
            <v>Moore#14169 Shipper Label</v>
          </cell>
        </row>
        <row r="1720">
          <cell r="A1720">
            <v>7190</v>
          </cell>
          <cell r="B1720" t="str">
            <v>Ster Posi-Grip Forcep/100</v>
          </cell>
        </row>
        <row r="1721">
          <cell r="A1721">
            <v>7191</v>
          </cell>
          <cell r="B1721" t="str">
            <v>12 Mil PVC</v>
          </cell>
        </row>
        <row r="1722">
          <cell r="A1722">
            <v>7192</v>
          </cell>
          <cell r="B1722" t="str">
            <v>Plastic Forcep Black</v>
          </cell>
        </row>
        <row r="1723">
          <cell r="A1723" t="str">
            <v>7192DC</v>
          </cell>
          <cell r="B1723" t="str">
            <v>Unprinted Carton</v>
          </cell>
        </row>
        <row r="1724">
          <cell r="A1724" t="str">
            <v>7192GP</v>
          </cell>
          <cell r="B1724" t="str">
            <v>30% Glass Filled PP-Black</v>
          </cell>
        </row>
        <row r="1725">
          <cell r="A1725">
            <v>7195</v>
          </cell>
          <cell r="B1725" t="str">
            <v>Bulk Posi-Grip Forcep/200</v>
          </cell>
        </row>
        <row r="1726">
          <cell r="A1726">
            <v>7197</v>
          </cell>
          <cell r="B1726" t="str">
            <v>Bulk Posi-Grip Frcp/2000</v>
          </cell>
        </row>
        <row r="1727">
          <cell r="A1727">
            <v>7200</v>
          </cell>
          <cell r="B1727" t="str">
            <v>Bulk Littauer Scr/1000</v>
          </cell>
        </row>
        <row r="1728">
          <cell r="A1728">
            <v>7201</v>
          </cell>
          <cell r="B1728" t="str">
            <v>4.5" Littauer Scissor</v>
          </cell>
        </row>
        <row r="1729">
          <cell r="A1729">
            <v>7202</v>
          </cell>
          <cell r="B1729" t="str">
            <v>4"Suture Forceps</v>
          </cell>
        </row>
        <row r="1730">
          <cell r="A1730" t="str">
            <v>7203H</v>
          </cell>
          <cell r="B1730" t="str">
            <v>4"x3" Oversponge</v>
          </cell>
        </row>
        <row r="1731">
          <cell r="A1731" t="str">
            <v>7203H-1</v>
          </cell>
          <cell r="B1731" t="str">
            <v>4"X4" OVERSPONGE</v>
          </cell>
        </row>
        <row r="1732">
          <cell r="A1732">
            <v>7204</v>
          </cell>
          <cell r="B1732" t="str">
            <v>Staple Removers</v>
          </cell>
        </row>
        <row r="1733">
          <cell r="A1733">
            <v>7205</v>
          </cell>
          <cell r="B1733" t="str">
            <v>Bulk Sharp/Sharp Scr/1000</v>
          </cell>
        </row>
        <row r="1734">
          <cell r="A1734">
            <v>7206</v>
          </cell>
          <cell r="B1734" t="str">
            <v>Prtd Ctn for ABCO SRK</v>
          </cell>
        </row>
        <row r="1735">
          <cell r="A1735">
            <v>7208</v>
          </cell>
          <cell r="B1735" t="str">
            <v>Abco#266000 Ster Srk /50</v>
          </cell>
        </row>
        <row r="1736">
          <cell r="A1736" t="str">
            <v>7208SL</v>
          </cell>
          <cell r="B1736" t="str">
            <v>OUTER CTN LABEL/266000</v>
          </cell>
        </row>
        <row r="1737">
          <cell r="A1737">
            <v>7213</v>
          </cell>
          <cell r="B1737" t="str">
            <v>S-2659 5" Metal Thumb Fcp</v>
          </cell>
        </row>
        <row r="1738">
          <cell r="A1738" t="str">
            <v>7213-1</v>
          </cell>
          <cell r="B1738" t="str">
            <v>5" METAL THUMB FORCEP</v>
          </cell>
        </row>
        <row r="1739">
          <cell r="A1739">
            <v>7245</v>
          </cell>
          <cell r="B1739" t="str">
            <v>Unp Ship 7246</v>
          </cell>
        </row>
        <row r="1740">
          <cell r="A1740">
            <v>7246</v>
          </cell>
          <cell r="B1740" t="str">
            <v>Ster 5 1/4" S/B Scr/100</v>
          </cell>
        </row>
        <row r="1741">
          <cell r="A1741" t="str">
            <v>7250A</v>
          </cell>
          <cell r="B1741" t="str">
            <v>J200CN3 54"Emb Polyeth.Fm</v>
          </cell>
        </row>
        <row r="1742">
          <cell r="A1742" t="str">
            <v>7250B</v>
          </cell>
          <cell r="B1742" t="str">
            <v>Adult Shrd Sheet 54x108"</v>
          </cell>
        </row>
        <row r="1743">
          <cell r="A1743">
            <v>7251</v>
          </cell>
          <cell r="B1743" t="str">
            <v>Tags for Shroud Kit</v>
          </cell>
        </row>
        <row r="1744">
          <cell r="A1744">
            <v>7254</v>
          </cell>
          <cell r="B1744" t="str">
            <v>Polyester Braid/Ties</v>
          </cell>
        </row>
        <row r="1745">
          <cell r="A1745">
            <v>7256</v>
          </cell>
          <cell r="B1745" t="str">
            <v>Busse Adult Shrd Inst Sht</v>
          </cell>
        </row>
        <row r="1746">
          <cell r="A1746">
            <v>7257</v>
          </cell>
          <cell r="B1746" t="str">
            <v>Polybags for Shroud Kits</v>
          </cell>
        </row>
        <row r="1747">
          <cell r="A1747" t="str">
            <v>7270B</v>
          </cell>
          <cell r="B1747" t="str">
            <v>CB200CN3 72" EMB POLY FLM</v>
          </cell>
        </row>
        <row r="1748">
          <cell r="A1748">
            <v>7271</v>
          </cell>
          <cell r="B1748" t="str">
            <v>Instruction Sheet/727</v>
          </cell>
        </row>
        <row r="1749">
          <cell r="A1749">
            <v>7275</v>
          </cell>
          <cell r="B1749" t="str">
            <v>Prtd Ctn for XL Shroud</v>
          </cell>
        </row>
        <row r="1750">
          <cell r="A1750" t="str">
            <v>7275A</v>
          </cell>
          <cell r="B1750" t="str">
            <v>Unprtd Ctn 2000/pcs/Forcp</v>
          </cell>
        </row>
        <row r="1751">
          <cell r="A1751">
            <v>7281</v>
          </cell>
          <cell r="B1751" t="str">
            <v>GM#25-727 Instruct. Sheet</v>
          </cell>
        </row>
        <row r="1752">
          <cell r="A1752">
            <v>7286</v>
          </cell>
          <cell r="B1752" t="str">
            <v>GM#25-727 Shroud/10</v>
          </cell>
        </row>
        <row r="1753">
          <cell r="A1753" t="str">
            <v>7286I</v>
          </cell>
          <cell r="B1753" t="str">
            <v>MC KESSON INSTRUCT/SHEET</v>
          </cell>
        </row>
        <row r="1754">
          <cell r="A1754" t="str">
            <v>7286SL</v>
          </cell>
          <cell r="B1754" t="str">
            <v>MC KESSON OUTER CTN LABEL</v>
          </cell>
        </row>
        <row r="1755">
          <cell r="A1755">
            <v>7289</v>
          </cell>
          <cell r="B1755" t="str">
            <v>Ing&amp;Bell#5-223 Shroud/10</v>
          </cell>
        </row>
        <row r="1756">
          <cell r="A1756" t="str">
            <v>7289A</v>
          </cell>
          <cell r="B1756" t="str">
            <v>I&amp;B#5-223 Instruction Sht</v>
          </cell>
        </row>
        <row r="1757">
          <cell r="A1757" t="str">
            <v>7289B</v>
          </cell>
          <cell r="B1757" t="str">
            <v>I&amp;B#5-223 Shipper Label</v>
          </cell>
        </row>
        <row r="1758">
          <cell r="A1758" t="str">
            <v>7294A</v>
          </cell>
          <cell r="B1758" t="str">
            <v>Unprinted Ctn for 9447</v>
          </cell>
        </row>
        <row r="1759">
          <cell r="A1759" t="str">
            <v>7294B</v>
          </cell>
          <cell r="B1759" t="str">
            <v>23.5"x20.5"x19"Unptd Ctn</v>
          </cell>
        </row>
        <row r="1760">
          <cell r="A1760" t="str">
            <v>7294B-1</v>
          </cell>
          <cell r="B1760" t="str">
            <v>UNP/C/25+9/16X19+1/16X14</v>
          </cell>
        </row>
        <row r="1761">
          <cell r="A1761">
            <v>7324</v>
          </cell>
          <cell r="B1761" t="str">
            <v>Stitch Cutter</v>
          </cell>
        </row>
        <row r="1762">
          <cell r="A1762" t="str">
            <v>7324BL</v>
          </cell>
          <cell r="B1762" t="str">
            <v>Blade for Stitch Cutter</v>
          </cell>
        </row>
        <row r="1763">
          <cell r="A1763" t="str">
            <v>7324F</v>
          </cell>
          <cell r="B1763" t="str">
            <v>FOAM HNDL/STITCH CUTTER</v>
          </cell>
        </row>
        <row r="1764">
          <cell r="A1764" t="str">
            <v>7324PS</v>
          </cell>
          <cell r="B1764" t="str">
            <v>Protect Sleeve/Stitch Cut</v>
          </cell>
        </row>
        <row r="1765">
          <cell r="A1765" t="str">
            <v>7350A</v>
          </cell>
          <cell r="B1765" t="str">
            <v>Cnv C/Slip Strip 7/8"x21"</v>
          </cell>
        </row>
        <row r="1766">
          <cell r="A1766" t="str">
            <v>7350V</v>
          </cell>
          <cell r="B1766" t="str">
            <v>Clr Rigid Vinyl Sheeting</v>
          </cell>
        </row>
        <row r="1767">
          <cell r="A1767">
            <v>7361</v>
          </cell>
          <cell r="B1767" t="str">
            <v>2-pc Busse Box for 736</v>
          </cell>
        </row>
        <row r="1768">
          <cell r="A1768">
            <v>7362</v>
          </cell>
          <cell r="B1768" t="str">
            <v>1M Packed Boxes for 736</v>
          </cell>
        </row>
        <row r="1769">
          <cell r="A1769">
            <v>7370</v>
          </cell>
          <cell r="B1769" t="str">
            <v>N/S L/SCISS/W/P/Hdl/1000</v>
          </cell>
        </row>
        <row r="1770">
          <cell r="A1770" t="str">
            <v>7370SL</v>
          </cell>
          <cell r="B1770" t="str">
            <v>OUTER CTN LABEL</v>
          </cell>
        </row>
        <row r="1771">
          <cell r="A1771" t="str">
            <v>7371L</v>
          </cell>
          <cell r="B1771" t="str">
            <v>Littauer with Plastic Hdl</v>
          </cell>
        </row>
        <row r="1772">
          <cell r="A1772" t="str">
            <v>7372L</v>
          </cell>
          <cell r="B1772" t="str">
            <v>Busse#737 Shipper Label</v>
          </cell>
        </row>
        <row r="1773">
          <cell r="A1773" t="str">
            <v>7382D</v>
          </cell>
          <cell r="B1773" t="str">
            <v>Printed Disp Box for 738</v>
          </cell>
        </row>
        <row r="1774">
          <cell r="A1774" t="str">
            <v>7382L</v>
          </cell>
          <cell r="B1774" t="str">
            <v>Busse#738 Shipper Label</v>
          </cell>
        </row>
        <row r="1775">
          <cell r="A1775" t="str">
            <v>7382S</v>
          </cell>
          <cell r="B1775" t="str">
            <v>Unprinted Ctn for 738/740</v>
          </cell>
        </row>
        <row r="1776">
          <cell r="A1776" t="str">
            <v>7390SL</v>
          </cell>
          <cell r="B1776" t="str">
            <v>OUTER CTN LABEL</v>
          </cell>
        </row>
        <row r="1777">
          <cell r="A1777" t="str">
            <v>7391SS</v>
          </cell>
          <cell r="B1777" t="str">
            <v>S/S Scissors plastic hdl</v>
          </cell>
        </row>
        <row r="1778">
          <cell r="A1778" t="str">
            <v>7392L</v>
          </cell>
          <cell r="B1778" t="str">
            <v>Busse#739 Shipper Label</v>
          </cell>
        </row>
        <row r="1779">
          <cell r="A1779" t="str">
            <v>7402D</v>
          </cell>
          <cell r="B1779" t="str">
            <v>Printed Disp Box for 740</v>
          </cell>
        </row>
        <row r="1780">
          <cell r="A1780" t="str">
            <v>7402L</v>
          </cell>
          <cell r="B1780" t="str">
            <v>Busse#740 Shipper Label</v>
          </cell>
        </row>
        <row r="1781">
          <cell r="A1781" t="str">
            <v>7440N</v>
          </cell>
          <cell r="B1781" t="str">
            <v>P/F NITRILE GLOVE WALLET</v>
          </cell>
        </row>
        <row r="1782">
          <cell r="A1782">
            <v>7491</v>
          </cell>
          <cell r="B1782" t="str">
            <v>18 Gauge x 1.5"Needle</v>
          </cell>
        </row>
        <row r="1783">
          <cell r="A1783">
            <v>7492</v>
          </cell>
          <cell r="B1783" t="str">
            <v>STER 27 G X 1.5" NEEDLE</v>
          </cell>
        </row>
        <row r="1784">
          <cell r="A1784" t="str">
            <v>7492A</v>
          </cell>
          <cell r="B1784" t="str">
            <v>N-Ster 27Gaugex1.5"Needle</v>
          </cell>
        </row>
        <row r="1785">
          <cell r="A1785">
            <v>7493</v>
          </cell>
          <cell r="B1785" t="str">
            <v>25Gauge x 5/8 Needle</v>
          </cell>
        </row>
        <row r="1786">
          <cell r="A1786">
            <v>7494</v>
          </cell>
          <cell r="B1786" t="str">
            <v>N/Ster 12cc LuerLock Syr.</v>
          </cell>
        </row>
        <row r="1787">
          <cell r="A1787" t="str">
            <v>7494-1</v>
          </cell>
          <cell r="B1787" t="str">
            <v>N/S 12CC L/LOCK SYR. L/F</v>
          </cell>
        </row>
        <row r="1788">
          <cell r="A1788">
            <v>7495</v>
          </cell>
          <cell r="B1788" t="str">
            <v>2oz Plastic Medicine Cups</v>
          </cell>
        </row>
        <row r="1789">
          <cell r="A1789">
            <v>7500</v>
          </cell>
          <cell r="B1789" t="str">
            <v>15 Mil PVC</v>
          </cell>
        </row>
        <row r="1790">
          <cell r="A1790">
            <v>7501</v>
          </cell>
          <cell r="B1790" t="str">
            <v>13X19 Wht Absorbent Towel</v>
          </cell>
        </row>
        <row r="1791">
          <cell r="A1791">
            <v>7506</v>
          </cell>
          <cell r="B1791" t="str">
            <v>Ptd Shipper for 750/759</v>
          </cell>
        </row>
        <row r="1792">
          <cell r="A1792">
            <v>7511</v>
          </cell>
          <cell r="B1792" t="str">
            <v>4.5"Sharp/Sharp Scissor</v>
          </cell>
        </row>
        <row r="1793">
          <cell r="A1793">
            <v>7512</v>
          </cell>
          <cell r="B1793" t="str">
            <v>5"Tissue Forcep</v>
          </cell>
        </row>
        <row r="1794">
          <cell r="A1794" t="str">
            <v>7513N</v>
          </cell>
          <cell r="B1794" t="str">
            <v>Baumgartner Needleholder</v>
          </cell>
        </row>
        <row r="1795">
          <cell r="A1795">
            <v>7515</v>
          </cell>
          <cell r="B1795" t="str">
            <v>Unptd Ctd Tyvek Instr/Srk</v>
          </cell>
        </row>
        <row r="1796">
          <cell r="A1796">
            <v>7516</v>
          </cell>
          <cell r="B1796" t="str">
            <v>18X26B/W/Twl Ptnd/Ster/Fl</v>
          </cell>
        </row>
        <row r="1797">
          <cell r="A1797">
            <v>7517</v>
          </cell>
          <cell r="B1797" t="str">
            <v>Ster Moore#14168 Mnr T/20</v>
          </cell>
        </row>
        <row r="1798">
          <cell r="A1798" t="str">
            <v>7517S</v>
          </cell>
          <cell r="B1798" t="str">
            <v>Moore#14168 Shipper Label</v>
          </cell>
        </row>
        <row r="1799">
          <cell r="A1799">
            <v>7519</v>
          </cell>
          <cell r="B1799" t="str">
            <v>18X26 Fenestrated Drape</v>
          </cell>
        </row>
        <row r="1800">
          <cell r="A1800" t="str">
            <v>7522C</v>
          </cell>
          <cell r="B1800" t="str">
            <v>Sterile Lg Alcohol Pad</v>
          </cell>
        </row>
        <row r="1801">
          <cell r="A1801" t="str">
            <v>7523-1</v>
          </cell>
          <cell r="B1801" t="str">
            <v>N/S PVP IOD PREP PAD MED</v>
          </cell>
        </row>
        <row r="1802">
          <cell r="A1802">
            <v>7524</v>
          </cell>
          <cell r="B1802" t="str">
            <v>3"Applicator for 752-755</v>
          </cell>
        </row>
        <row r="1803">
          <cell r="A1803" t="str">
            <v>7526L</v>
          </cell>
          <cell r="B1803" t="str">
            <v>5"MOSQ HEMO CVD/LG LOOP</v>
          </cell>
        </row>
        <row r="1804">
          <cell r="A1804" t="str">
            <v>7526N</v>
          </cell>
          <cell r="B1804" t="str">
            <v>5"Mosquito Hemostat Cvd</v>
          </cell>
        </row>
        <row r="1805">
          <cell r="A1805" t="str">
            <v>7526SN</v>
          </cell>
          <cell r="B1805" t="str">
            <v>5"Mosquito Hemo Cvd Satin</v>
          </cell>
        </row>
        <row r="1806">
          <cell r="A1806" t="str">
            <v>7526SNL</v>
          </cell>
          <cell r="B1806" t="str">
            <v>S/MOSQ HEMO CVRD 5"LG/F/L</v>
          </cell>
        </row>
        <row r="1807">
          <cell r="A1807" t="str">
            <v>7531N</v>
          </cell>
          <cell r="B1807" t="str">
            <v>5"Mosquito Hemostat str</v>
          </cell>
        </row>
        <row r="1808">
          <cell r="A1808">
            <v>7537</v>
          </cell>
          <cell r="B1808" t="str">
            <v>2"Safety Pins for 752-755</v>
          </cell>
        </row>
        <row r="1809">
          <cell r="A1809">
            <v>7541</v>
          </cell>
          <cell r="B1809" t="str">
            <v>5 1/4" SHARP/BLUNT</v>
          </cell>
        </row>
        <row r="1810">
          <cell r="A1810" t="str">
            <v>7542N</v>
          </cell>
          <cell r="B1810" t="str">
            <v>5.5"KELLY HEMOSTAT CURVED</v>
          </cell>
        </row>
        <row r="1811">
          <cell r="A1811" t="str">
            <v>7546-1</v>
          </cell>
          <cell r="B1811" t="str">
            <v>UNPRINTED SHIPPER CTN</v>
          </cell>
        </row>
        <row r="1812">
          <cell r="A1812">
            <v>7549</v>
          </cell>
          <cell r="B1812" t="str">
            <v>UNPRINTED CARTON</v>
          </cell>
        </row>
        <row r="1813">
          <cell r="A1813" t="str">
            <v>7551N</v>
          </cell>
          <cell r="B1813" t="str">
            <v>5.5"Kelly Hemostat Strght</v>
          </cell>
        </row>
        <row r="1814">
          <cell r="A1814" t="str">
            <v>7551SN</v>
          </cell>
          <cell r="B1814" t="str">
            <v>5.5"Str Kelly Hemo Satin</v>
          </cell>
        </row>
        <row r="1815">
          <cell r="A1815">
            <v>7561</v>
          </cell>
          <cell r="B1815" t="str">
            <v>Polybag w/Twist tie/756-8</v>
          </cell>
        </row>
        <row r="1816">
          <cell r="A1816">
            <v>7563</v>
          </cell>
          <cell r="B1816" t="str">
            <v>4X4 12ply Unsewn Sponge</v>
          </cell>
        </row>
        <row r="1817">
          <cell r="A1817" t="str">
            <v>7563-1</v>
          </cell>
          <cell r="B1817" t="str">
            <v>4X4 12PLY GAUZE</v>
          </cell>
        </row>
        <row r="1818">
          <cell r="A1818" t="str">
            <v>7563-2</v>
          </cell>
          <cell r="B1818" t="str">
            <v>4"X4"12PLYGAUZE/PROCESSED</v>
          </cell>
        </row>
        <row r="1819">
          <cell r="A1819" t="str">
            <v>7572-1</v>
          </cell>
          <cell r="B1819" t="str">
            <v>N/S IODOPHOR PVP SWABS{1}</v>
          </cell>
        </row>
        <row r="1820">
          <cell r="A1820" t="str">
            <v>7573FN</v>
          </cell>
          <cell r="B1820" t="str">
            <v>5" Halsey Needhldr/f/pt</v>
          </cell>
        </row>
        <row r="1821">
          <cell r="A1821" t="str">
            <v>7573L</v>
          </cell>
          <cell r="B1821" t="str">
            <v>5"WEBSTER NHLDR/LG LOOP</v>
          </cell>
        </row>
        <row r="1822">
          <cell r="A1822" t="str">
            <v>7573N</v>
          </cell>
          <cell r="B1822" t="str">
            <v>5" Webster Needleholder</v>
          </cell>
        </row>
        <row r="1823">
          <cell r="A1823" t="str">
            <v>7573SFL</v>
          </cell>
          <cell r="B1823" t="str">
            <v>HALSEY F/PT/S/N/H/W/L/BEL</v>
          </cell>
        </row>
        <row r="1824">
          <cell r="A1824" t="str">
            <v>7573SFN</v>
          </cell>
          <cell r="B1824" t="str">
            <v>HALSEY F/PT NDLEHDR SATIN</v>
          </cell>
        </row>
        <row r="1825">
          <cell r="A1825" t="str">
            <v>7573SN</v>
          </cell>
          <cell r="B1825" t="str">
            <v>5" Halsey Needlhld Stn</v>
          </cell>
        </row>
        <row r="1826">
          <cell r="A1826" t="str">
            <v>7575A</v>
          </cell>
          <cell r="B1826" t="str">
            <v>Unprinted Carton</v>
          </cell>
        </row>
        <row r="1827">
          <cell r="A1827" t="str">
            <v>7576SN</v>
          </cell>
          <cell r="B1827" t="str">
            <v>6"HALSEY FP N/HOLDL/SAT</v>
          </cell>
        </row>
        <row r="1828">
          <cell r="A1828" t="str">
            <v>7576SNL</v>
          </cell>
          <cell r="B1828" t="str">
            <v>6"HALSEY FP LGE LOOP STN</v>
          </cell>
        </row>
        <row r="1829">
          <cell r="A1829">
            <v>7581</v>
          </cell>
          <cell r="B1829" t="str">
            <v>#11 Scalpel for 758</v>
          </cell>
        </row>
        <row r="1830">
          <cell r="A1830">
            <v>7590</v>
          </cell>
          <cell r="B1830" t="str">
            <v>Bulk Green Forceps/1000</v>
          </cell>
        </row>
        <row r="1831">
          <cell r="A1831">
            <v>7595</v>
          </cell>
          <cell r="B1831" t="str">
            <v>Transfer Forceps Blue</v>
          </cell>
        </row>
        <row r="1832">
          <cell r="A1832" t="str">
            <v>7595A</v>
          </cell>
          <cell r="B1832" t="str">
            <v>Aqua Color (CMIPS03559)</v>
          </cell>
        </row>
        <row r="1833">
          <cell r="A1833" t="str">
            <v>7595B</v>
          </cell>
          <cell r="B1833" t="str">
            <v>Transfer Forcep Aqua</v>
          </cell>
        </row>
        <row r="1834">
          <cell r="A1834" t="str">
            <v>7595S</v>
          </cell>
          <cell r="B1834" t="str">
            <v>Unprinted Ctn for Forcep</v>
          </cell>
        </row>
        <row r="1835">
          <cell r="A1835">
            <v>7597</v>
          </cell>
          <cell r="B1835" t="str">
            <v>#1527 1x54"Transpore Tape</v>
          </cell>
        </row>
        <row r="1836">
          <cell r="A1836" t="str">
            <v>7598A</v>
          </cell>
          <cell r="B1836" t="str">
            <v>5x9"Abdominal Pad</v>
          </cell>
        </row>
        <row r="1837">
          <cell r="A1837">
            <v>7631</v>
          </cell>
          <cell r="B1837" t="str">
            <v>Medi-Rule</v>
          </cell>
        </row>
        <row r="1838">
          <cell r="A1838">
            <v>7653</v>
          </cell>
          <cell r="B1838" t="str">
            <v>Unprinted Ctn</v>
          </cell>
        </row>
        <row r="1839">
          <cell r="A1839">
            <v>7701</v>
          </cell>
          <cell r="B1839" t="str">
            <v>PRINTED DISP BOX FOR /770</v>
          </cell>
        </row>
        <row r="1840">
          <cell r="A1840" t="str">
            <v>7701-1</v>
          </cell>
          <cell r="B1840" t="str">
            <v>PRINTED DISP BOX</v>
          </cell>
        </row>
        <row r="1841">
          <cell r="A1841">
            <v>7702</v>
          </cell>
          <cell r="B1841" t="str">
            <v>UNP SHIP FOR 770</v>
          </cell>
        </row>
        <row r="1842">
          <cell r="A1842" t="str">
            <v>7702-1</v>
          </cell>
          <cell r="B1842" t="str">
            <v>UNPRINTED SHIPPER CTN</v>
          </cell>
        </row>
        <row r="1843">
          <cell r="A1843" t="str">
            <v>7720A</v>
          </cell>
          <cell r="B1843" t="str">
            <v>STAPLE REMOVEL W/DISP/HDL</v>
          </cell>
        </row>
        <row r="1844">
          <cell r="A1844" t="str">
            <v>7720S</v>
          </cell>
          <cell r="B1844" t="str">
            <v>UNPRINTED CTN</v>
          </cell>
        </row>
        <row r="1845">
          <cell r="A1845" t="str">
            <v>7801N</v>
          </cell>
          <cell r="B1845" t="str">
            <v>5/1/2" LISTER B/SCISSOR</v>
          </cell>
        </row>
        <row r="1846">
          <cell r="A1846">
            <v>7911</v>
          </cell>
          <cell r="B1846" t="str">
            <v>ONE PIECE /24" TAPE</v>
          </cell>
        </row>
        <row r="1847">
          <cell r="A1847">
            <v>7981</v>
          </cell>
          <cell r="B1847" t="str">
            <v>CLEAR POLY BAG /W/T/TIE</v>
          </cell>
        </row>
        <row r="1848">
          <cell r="A1848">
            <v>7982</v>
          </cell>
          <cell r="B1848" t="str">
            <v>4x4 6Ply Drain Sponge</v>
          </cell>
        </row>
        <row r="1849">
          <cell r="A1849" t="str">
            <v>8001A</v>
          </cell>
          <cell r="B1849" t="str">
            <v>Saline Solution 4oz</v>
          </cell>
        </row>
        <row r="1850">
          <cell r="A1850">
            <v>8009</v>
          </cell>
          <cell r="B1850" t="str">
            <v>Ster Port Access Kit/30</v>
          </cell>
        </row>
        <row r="1851">
          <cell r="A1851" t="str">
            <v>8009A</v>
          </cell>
          <cell r="B1851" t="str">
            <v>INTERLINK NEEDLE SYS CAP</v>
          </cell>
        </row>
        <row r="1852">
          <cell r="A1852" t="str">
            <v>8009B</v>
          </cell>
          <cell r="B1852" t="str">
            <v>Instr Sheet Interlink Sys</v>
          </cell>
        </row>
        <row r="1853">
          <cell r="A1853" t="str">
            <v>8009CC</v>
          </cell>
          <cell r="B1853" t="str">
            <v>CONTENT CARD</v>
          </cell>
        </row>
        <row r="1854">
          <cell r="A1854" t="str">
            <v>8009SL</v>
          </cell>
          <cell r="B1854" t="str">
            <v>OUTER CTN LABELW/BARCODE</v>
          </cell>
        </row>
        <row r="1855">
          <cell r="A1855">
            <v>8026</v>
          </cell>
          <cell r="B1855" t="str">
            <v>Ster IV Start Kit/50</v>
          </cell>
        </row>
        <row r="1856">
          <cell r="A1856" t="str">
            <v>8026SL</v>
          </cell>
          <cell r="B1856" t="str">
            <v>OUTER CTN LABEL W/BARCODE</v>
          </cell>
        </row>
        <row r="1857">
          <cell r="A1857">
            <v>8028</v>
          </cell>
          <cell r="B1857" t="str">
            <v>Ster TPN/CVP Dress Chg/30</v>
          </cell>
        </row>
        <row r="1858">
          <cell r="A1858">
            <v>8042</v>
          </cell>
          <cell r="B1858" t="str">
            <v>Ster CVP Kit/20</v>
          </cell>
        </row>
        <row r="1859">
          <cell r="A1859" t="str">
            <v>8042A</v>
          </cell>
          <cell r="B1859" t="str">
            <v>Reflux Valve w/Cap</v>
          </cell>
        </row>
        <row r="1860">
          <cell r="A1860">
            <v>8045</v>
          </cell>
          <cell r="B1860" t="str">
            <v>Ster ER Laceration T/20</v>
          </cell>
        </row>
        <row r="1861">
          <cell r="A1861">
            <v>8047</v>
          </cell>
          <cell r="B1861" t="str">
            <v>Ster Laceration Tray/20</v>
          </cell>
        </row>
        <row r="1862">
          <cell r="A1862" t="str">
            <v>8047A</v>
          </cell>
          <cell r="B1862" t="str">
            <v>Lg Ampule Breaker</v>
          </cell>
        </row>
        <row r="1863">
          <cell r="A1863">
            <v>8050</v>
          </cell>
          <cell r="B1863" t="str">
            <v>Ster Suturing Tray/20</v>
          </cell>
        </row>
        <row r="1864">
          <cell r="A1864">
            <v>8066</v>
          </cell>
          <cell r="B1864" t="str">
            <v>STER SKIN SCRUB TRAY/20C</v>
          </cell>
        </row>
        <row r="1865">
          <cell r="A1865">
            <v>8067</v>
          </cell>
          <cell r="B1865" t="str">
            <v>Ster IV Start Kit/50</v>
          </cell>
        </row>
        <row r="1866">
          <cell r="A1866" t="str">
            <v>8067SL</v>
          </cell>
          <cell r="B1866" t="str">
            <v>Shpr Lbl/Barcode for 8067</v>
          </cell>
        </row>
        <row r="1867">
          <cell r="A1867">
            <v>8068</v>
          </cell>
          <cell r="B1867" t="str">
            <v>Ster E.R. Laceration T/20</v>
          </cell>
        </row>
        <row r="1868">
          <cell r="A1868" t="str">
            <v>8068CC</v>
          </cell>
          <cell r="B1868" t="str">
            <v>Cont Crd/Barcode for 8068</v>
          </cell>
        </row>
        <row r="1869">
          <cell r="A1869" t="str">
            <v>8068SL</v>
          </cell>
          <cell r="B1869" t="str">
            <v>Shpr Lbl/Barcode for 8068</v>
          </cell>
        </row>
        <row r="1870">
          <cell r="A1870">
            <v>8069</v>
          </cell>
          <cell r="B1870" t="str">
            <v>Ster Dressing Chg Tray/20</v>
          </cell>
        </row>
        <row r="1871">
          <cell r="A1871" t="str">
            <v>8069CC</v>
          </cell>
          <cell r="B1871" t="str">
            <v>Cont Crd/Barcode for 8069</v>
          </cell>
        </row>
        <row r="1872">
          <cell r="A1872" t="str">
            <v>8069SL</v>
          </cell>
          <cell r="B1872" t="str">
            <v>Shpr Lbl/Barcode for 8069</v>
          </cell>
        </row>
        <row r="1873">
          <cell r="A1873">
            <v>8070</v>
          </cell>
          <cell r="B1873" t="str">
            <v>Ster E R Laceration T/20c</v>
          </cell>
        </row>
        <row r="1874">
          <cell r="A1874" t="str">
            <v>8070CC</v>
          </cell>
          <cell r="B1874" t="str">
            <v>CONTENT CARD/WBARCODE</v>
          </cell>
        </row>
        <row r="1875">
          <cell r="A1875" t="str">
            <v>8070SL</v>
          </cell>
          <cell r="B1875" t="str">
            <v>OUTER S/LABEL W/BARCODE</v>
          </cell>
        </row>
        <row r="1876">
          <cell r="A1876">
            <v>8074</v>
          </cell>
          <cell r="B1876" t="str">
            <v>Bulk Pk 2-Comp. Tray /450</v>
          </cell>
        </row>
        <row r="1877">
          <cell r="A1877">
            <v>8075</v>
          </cell>
          <cell r="B1877" t="str">
            <v>N/Ster IV Start Kit/50</v>
          </cell>
        </row>
        <row r="1878">
          <cell r="A1878" t="str">
            <v>8075A</v>
          </cell>
          <cell r="B1878" t="str">
            <v>Barrier Wipe(3M#3344)</v>
          </cell>
        </row>
        <row r="1879">
          <cell r="A1879" t="str">
            <v>8075B</v>
          </cell>
          <cell r="B1879" t="str">
            <v>Ster Tegaderm 1.75x1.75</v>
          </cell>
        </row>
        <row r="1880">
          <cell r="A1880" t="str">
            <v>8075C</v>
          </cell>
          <cell r="B1880" t="str">
            <v>I V SITE LABEL WHITE</v>
          </cell>
        </row>
        <row r="1881">
          <cell r="A1881" t="str">
            <v>8075SL</v>
          </cell>
          <cell r="B1881" t="str">
            <v>Shpr Lbl with cont crd</v>
          </cell>
        </row>
        <row r="1882">
          <cell r="A1882">
            <v>8080</v>
          </cell>
          <cell r="B1882" t="str">
            <v>Ster ER Laceration Pk/20</v>
          </cell>
        </row>
        <row r="1883">
          <cell r="A1883" t="str">
            <v>8080A</v>
          </cell>
          <cell r="B1883" t="str">
            <v>18 Gauge x 1" Needle</v>
          </cell>
        </row>
        <row r="1884">
          <cell r="A1884" t="str">
            <v>8080CC</v>
          </cell>
          <cell r="B1884" t="str">
            <v>Cont Cd/Barcode for 8080</v>
          </cell>
        </row>
        <row r="1885">
          <cell r="A1885" t="str">
            <v>8080P1</v>
          </cell>
          <cell r="B1885" t="str">
            <v>Anesthetic Lbl/ Med cup</v>
          </cell>
        </row>
        <row r="1886">
          <cell r="A1886" t="str">
            <v>8080P2</v>
          </cell>
          <cell r="B1886" t="str">
            <v>Prep A Label for Med cup</v>
          </cell>
        </row>
        <row r="1887">
          <cell r="A1887" t="str">
            <v>8080SL</v>
          </cell>
          <cell r="B1887" t="str">
            <v>Ship Lbl/Barcode for 8080</v>
          </cell>
        </row>
        <row r="1888">
          <cell r="A1888">
            <v>8088</v>
          </cell>
          <cell r="B1888" t="str">
            <v>N/Ster Dialy/On/Off/T/20c</v>
          </cell>
        </row>
        <row r="1889">
          <cell r="A1889" t="str">
            <v>8088A</v>
          </cell>
          <cell r="B1889" t="str">
            <v>SURESEAL PRES. BANDAGE XL</v>
          </cell>
        </row>
        <row r="1890">
          <cell r="A1890" t="str">
            <v>8088B</v>
          </cell>
          <cell r="B1890" t="str">
            <v>STER 4X4 OVRSPONGE 2/PKG</v>
          </cell>
        </row>
        <row r="1891">
          <cell r="A1891" t="str">
            <v>8088C</v>
          </cell>
          <cell r="B1891" t="str">
            <v>6" x 8" ZIPLOC BAG</v>
          </cell>
        </row>
        <row r="1892">
          <cell r="A1892">
            <v>8091</v>
          </cell>
          <cell r="B1892" t="str">
            <v>STER V A D Access Kit/20c</v>
          </cell>
        </row>
        <row r="1893">
          <cell r="A1893" t="str">
            <v>8091CC</v>
          </cell>
          <cell r="B1893" t="str">
            <v>CONTENT CARD W/BARCODE</v>
          </cell>
        </row>
        <row r="1894">
          <cell r="A1894" t="str">
            <v>8091SL</v>
          </cell>
          <cell r="B1894" t="str">
            <v>SHIP/CTN LABEL W/BARCODE</v>
          </cell>
        </row>
        <row r="1895">
          <cell r="A1895" t="str">
            <v>8100A</v>
          </cell>
          <cell r="B1895" t="str">
            <v>23.5"Taffeta Matl for 810</v>
          </cell>
        </row>
        <row r="1896">
          <cell r="A1896">
            <v>8102</v>
          </cell>
          <cell r="B1896" t="str">
            <v>Ptd Ctn for Bib</v>
          </cell>
        </row>
        <row r="1897">
          <cell r="A1897" t="str">
            <v>8102PL</v>
          </cell>
          <cell r="B1897" t="str">
            <v>Unptd Ctn for 810 / 815</v>
          </cell>
        </row>
        <row r="1898">
          <cell r="A1898">
            <v>8105</v>
          </cell>
          <cell r="B1898" t="str">
            <v>Ster E.R Lacerat Tray 20</v>
          </cell>
        </row>
        <row r="1899">
          <cell r="A1899" t="str">
            <v>8105CC</v>
          </cell>
          <cell r="B1899" t="str">
            <v>CONTENT CARD W/BARCODE</v>
          </cell>
        </row>
        <row r="1900">
          <cell r="A1900" t="str">
            <v>8105SL</v>
          </cell>
          <cell r="B1900" t="str">
            <v>OUTER CTN LABEL W/BARCODE</v>
          </cell>
        </row>
        <row r="1901">
          <cell r="A1901">
            <v>8122</v>
          </cell>
          <cell r="B1901" t="str">
            <v>Ster Suturing Tray/ 20</v>
          </cell>
        </row>
        <row r="1902">
          <cell r="A1902" t="str">
            <v>8122CC</v>
          </cell>
          <cell r="B1902" t="str">
            <v>Cont Crd/Barcode for 8122</v>
          </cell>
        </row>
        <row r="1903">
          <cell r="A1903" t="str">
            <v>8122SL</v>
          </cell>
          <cell r="B1903" t="str">
            <v>Shp Lbl/Barcode for 8122</v>
          </cell>
        </row>
        <row r="1904">
          <cell r="A1904">
            <v>8125</v>
          </cell>
          <cell r="B1904" t="str">
            <v>Ster E.R.Laceration Ty/20</v>
          </cell>
        </row>
        <row r="1905">
          <cell r="A1905" t="str">
            <v>8125CC</v>
          </cell>
          <cell r="B1905" t="str">
            <v>CONTENT CARD W/BARGODE</v>
          </cell>
        </row>
        <row r="1906">
          <cell r="A1906" t="str">
            <v>8125SL</v>
          </cell>
          <cell r="B1906" t="str">
            <v>OUTER CTN LABEL</v>
          </cell>
        </row>
        <row r="1907">
          <cell r="A1907">
            <v>8126</v>
          </cell>
          <cell r="B1907" t="str">
            <v>Ster IV Start Kit/50</v>
          </cell>
        </row>
        <row r="1908">
          <cell r="A1908" t="str">
            <v>8126A</v>
          </cell>
          <cell r="B1908" t="str">
            <v>Iodine Tin Ampule 2% Sepp</v>
          </cell>
        </row>
        <row r="1909">
          <cell r="A1909">
            <v>8127</v>
          </cell>
          <cell r="B1909" t="str">
            <v>Ster Dress Chg TrayY/20cs</v>
          </cell>
        </row>
        <row r="1910">
          <cell r="A1910">
            <v>8130</v>
          </cell>
          <cell r="B1910" t="str">
            <v>Ster Suture Removal K/50c</v>
          </cell>
        </row>
        <row r="1911">
          <cell r="A1911">
            <v>8131</v>
          </cell>
          <cell r="B1911" t="str">
            <v>Ster C/Line D/Chg Tray/50</v>
          </cell>
        </row>
        <row r="1912">
          <cell r="A1912" t="str">
            <v>8131SL</v>
          </cell>
          <cell r="B1912" t="str">
            <v>OUTER CTN LABELW/BARCODE</v>
          </cell>
        </row>
        <row r="1913">
          <cell r="A1913">
            <v>8132</v>
          </cell>
          <cell r="B1913" t="str">
            <v>Ster Dress Chg Tray 30cs</v>
          </cell>
        </row>
        <row r="1914">
          <cell r="A1914">
            <v>8146</v>
          </cell>
          <cell r="B1914" t="str">
            <v>Ster Laceration Tray/20CS</v>
          </cell>
        </row>
        <row r="1915">
          <cell r="A1915" t="str">
            <v>8146CC</v>
          </cell>
          <cell r="B1915" t="str">
            <v>CONTENT/CARD W/BARCODE</v>
          </cell>
        </row>
        <row r="1916">
          <cell r="A1916" t="str">
            <v>8146SL</v>
          </cell>
          <cell r="B1916" t="str">
            <v>OUTER CTN LABEL W/BARCODE</v>
          </cell>
        </row>
        <row r="1917">
          <cell r="A1917">
            <v>8150</v>
          </cell>
          <cell r="B1917" t="str">
            <v>Sterile Dress Chg Tray/20</v>
          </cell>
        </row>
        <row r="1918">
          <cell r="A1918" t="str">
            <v>8150A</v>
          </cell>
          <cell r="B1918" t="str">
            <v>Fabtex Emboss/Wh/Plw/C/Mt</v>
          </cell>
        </row>
        <row r="1919">
          <cell r="A1919">
            <v>8153</v>
          </cell>
          <cell r="B1919" t="str">
            <v>N/Ster Wound Care Kit/20</v>
          </cell>
        </row>
        <row r="1920">
          <cell r="A1920" t="str">
            <v>8153A</v>
          </cell>
          <cell r="B1920" t="str">
            <v>STER/SHURCLENZ/B/OF/SOAP</v>
          </cell>
        </row>
        <row r="1921">
          <cell r="A1921" t="str">
            <v>8153B</v>
          </cell>
          <cell r="B1921" t="str">
            <v>STER OPTIPORE SPONGE</v>
          </cell>
        </row>
        <row r="1922">
          <cell r="A1922" t="str">
            <v>8153C</v>
          </cell>
          <cell r="B1922" t="str">
            <v>STER 4X4 SP/IN TUBS OF/10</v>
          </cell>
        </row>
        <row r="1923">
          <cell r="A1923" t="str">
            <v>8153D</v>
          </cell>
          <cell r="B1923" t="str">
            <v>STER KERLIX BANDAGE</v>
          </cell>
        </row>
        <row r="1924">
          <cell r="A1924" t="str">
            <v>8153E</v>
          </cell>
          <cell r="B1924" t="str">
            <v>4IN COBAN DRESSING</v>
          </cell>
        </row>
        <row r="1925">
          <cell r="A1925" t="str">
            <v>8153F</v>
          </cell>
          <cell r="B1925" t="str">
            <v>STER 6IN C/TIP APPIC/2PKG</v>
          </cell>
        </row>
        <row r="1926">
          <cell r="A1926" t="str">
            <v>8153G</v>
          </cell>
          <cell r="B1926" t="str">
            <v>23INX36IN 5PLY UNDERPAD</v>
          </cell>
        </row>
        <row r="1927">
          <cell r="A1927">
            <v>8167</v>
          </cell>
          <cell r="B1927" t="str">
            <v>Ster C/Line Dress/C/T/30C</v>
          </cell>
        </row>
        <row r="1928">
          <cell r="A1928">
            <v>8179</v>
          </cell>
          <cell r="B1928" t="str">
            <v>N/S Arterial Blood 20/cs</v>
          </cell>
        </row>
        <row r="1929">
          <cell r="A1929" t="str">
            <v>8179A</v>
          </cell>
          <cell r="B1929" t="str">
            <v>ARTERIAL BLOOD SAMP/KIT</v>
          </cell>
        </row>
        <row r="1930">
          <cell r="A1930" t="str">
            <v>8179B</v>
          </cell>
          <cell r="B1930" t="str">
            <v>STER 22GA X 1.5 IN NEEDLE</v>
          </cell>
        </row>
        <row r="1931">
          <cell r="A1931" t="str">
            <v>8179C</v>
          </cell>
          <cell r="B1931" t="str">
            <v>ZIPLOC 6X9IN ORANGE B/BAG</v>
          </cell>
        </row>
        <row r="1932">
          <cell r="A1932" t="str">
            <v>8179D</v>
          </cell>
          <cell r="B1932" t="str">
            <v>STER 2X2IN 8PLY GZE 2/PKG</v>
          </cell>
        </row>
        <row r="1933">
          <cell r="A1933" t="str">
            <v>8179I</v>
          </cell>
          <cell r="B1933" t="str">
            <v>DRY-HEPARIN INSERT</v>
          </cell>
        </row>
        <row r="1934">
          <cell r="A1934">
            <v>8180</v>
          </cell>
          <cell r="B1934" t="str">
            <v>Ster Dress Chg Tray/20cs</v>
          </cell>
        </row>
        <row r="1935">
          <cell r="A1935">
            <v>8181</v>
          </cell>
          <cell r="B1935" t="str">
            <v>Ster I V Start Kit/L/F/50</v>
          </cell>
        </row>
        <row r="1936">
          <cell r="A1936" t="str">
            <v>8181SL</v>
          </cell>
          <cell r="B1936" t="str">
            <v>OUTER CTN LABEL W/BARCODE</v>
          </cell>
        </row>
        <row r="1937">
          <cell r="A1937">
            <v>8186</v>
          </cell>
          <cell r="B1937" t="str">
            <v>Ster Subclavin/On/Of/T/20</v>
          </cell>
        </row>
        <row r="1938">
          <cell r="A1938" t="str">
            <v>8186A</v>
          </cell>
          <cell r="B1938" t="str">
            <v>COVADERM DRESSING 4INX4IN</v>
          </cell>
        </row>
        <row r="1939">
          <cell r="A1939" t="str">
            <v>8186B</v>
          </cell>
          <cell r="B1939" t="str">
            <v>1INX54IN DURAPORE TAPE</v>
          </cell>
        </row>
        <row r="1940">
          <cell r="A1940" t="str">
            <v>8186CC</v>
          </cell>
          <cell r="B1940" t="str">
            <v>CONTENT CARD W/BAR/CODE</v>
          </cell>
        </row>
        <row r="1941">
          <cell r="A1941" t="str">
            <v>8186G</v>
          </cell>
          <cell r="B1941" t="str">
            <v>3/4IN ROUND GREEN/A/LABEL</v>
          </cell>
        </row>
        <row r="1942">
          <cell r="A1942" t="str">
            <v>8186R</v>
          </cell>
          <cell r="B1942" t="str">
            <v>3/4IN ROUND RED ADH LABEL</v>
          </cell>
        </row>
        <row r="1943">
          <cell r="A1943" t="str">
            <v>8186SL</v>
          </cell>
          <cell r="B1943" t="str">
            <v>OUTER CTN LABEL W/BARCODE</v>
          </cell>
        </row>
        <row r="1944">
          <cell r="A1944">
            <v>8188</v>
          </cell>
          <cell r="B1944" t="str">
            <v>Ster Dress Chg Tray/20cs</v>
          </cell>
        </row>
        <row r="1945">
          <cell r="A1945" t="str">
            <v>8188A</v>
          </cell>
          <cell r="B1945" t="str">
            <v>Wallet Vinyl Gloves MD/PR</v>
          </cell>
        </row>
        <row r="1946">
          <cell r="A1946" t="str">
            <v>8188CC</v>
          </cell>
          <cell r="B1946" t="str">
            <v>CONTENT CARD W/BAR/CODE</v>
          </cell>
        </row>
        <row r="1947">
          <cell r="A1947" t="str">
            <v>8188SL</v>
          </cell>
          <cell r="B1947" t="str">
            <v>OUTER CTN LABEL</v>
          </cell>
        </row>
        <row r="1948">
          <cell r="A1948" t="str">
            <v>8190A</v>
          </cell>
          <cell r="B1948" t="str">
            <v>Chloraprep Sepp, .67 ml, Bulk</v>
          </cell>
        </row>
        <row r="1949">
          <cell r="A1949">
            <v>8195</v>
          </cell>
          <cell r="B1949" t="str">
            <v>Ster Blood Drawing KIT/20</v>
          </cell>
        </row>
        <row r="1950">
          <cell r="A1950" t="str">
            <v>8195CC</v>
          </cell>
          <cell r="B1950" t="str">
            <v>CONTENT CARD W/B/CODE</v>
          </cell>
        </row>
        <row r="1951">
          <cell r="A1951" t="str">
            <v>8195SL</v>
          </cell>
          <cell r="B1951" t="str">
            <v>SHIPPER CTN L/W/B/CODE</v>
          </cell>
        </row>
        <row r="1952">
          <cell r="A1952">
            <v>8198</v>
          </cell>
          <cell r="B1952" t="str">
            <v>Ster C/Line Dress Chg/20c</v>
          </cell>
        </row>
        <row r="1953">
          <cell r="A1953" t="str">
            <v>8198CC</v>
          </cell>
          <cell r="B1953" t="str">
            <v>CONTENT CARDW/BARCODE</v>
          </cell>
        </row>
        <row r="1954">
          <cell r="A1954" t="str">
            <v>8198SL</v>
          </cell>
          <cell r="B1954" t="str">
            <v>OUTER CTN LABEL W/BCODE</v>
          </cell>
        </row>
        <row r="1955">
          <cell r="A1955">
            <v>8203</v>
          </cell>
          <cell r="B1955" t="str">
            <v>P/Mortem W/Cvr /BAG 10/cs</v>
          </cell>
        </row>
        <row r="1956">
          <cell r="A1956" t="str">
            <v>8203C</v>
          </cell>
          <cell r="B1956" t="str">
            <v>CONTENT CARD W/B/CODE</v>
          </cell>
        </row>
        <row r="1957">
          <cell r="A1957" t="str">
            <v>8203LF</v>
          </cell>
          <cell r="B1957" t="str">
            <v>Latex Free Tourniquet</v>
          </cell>
        </row>
        <row r="1958">
          <cell r="A1958" t="str">
            <v>8203S</v>
          </cell>
          <cell r="B1958" t="str">
            <v>SHIPPER LABEL W/B/CODE</v>
          </cell>
        </row>
        <row r="1959">
          <cell r="A1959">
            <v>8221</v>
          </cell>
          <cell r="B1959" t="str">
            <v>.75"x18"Transpore Tape</v>
          </cell>
        </row>
        <row r="1960">
          <cell r="A1960">
            <v>8222</v>
          </cell>
          <cell r="B1960" t="str">
            <v>UNPRINTED CARTON</v>
          </cell>
        </row>
        <row r="1961">
          <cell r="A1961">
            <v>8223</v>
          </cell>
          <cell r="B1961" t="str">
            <v>Adhesive Bandage</v>
          </cell>
        </row>
        <row r="1962">
          <cell r="A1962" t="str">
            <v>8226A</v>
          </cell>
          <cell r="B1962" t="str">
            <v>1x18x.025 Band Tourniquet</v>
          </cell>
        </row>
        <row r="1963">
          <cell r="A1963">
            <v>8228</v>
          </cell>
          <cell r="B1963" t="str">
            <v>STER TPV/CVP/D/CHG/T/20CS</v>
          </cell>
        </row>
        <row r="1964">
          <cell r="A1964" t="str">
            <v>8228CC</v>
          </cell>
          <cell r="B1964" t="str">
            <v>CONTENT CARD W/BARCODE</v>
          </cell>
        </row>
        <row r="1965">
          <cell r="A1965" t="str">
            <v>8228SL</v>
          </cell>
          <cell r="B1965" t="str">
            <v>OUTER CTN LABEL W/BARCODE</v>
          </cell>
        </row>
        <row r="1966">
          <cell r="A1966">
            <v>8242</v>
          </cell>
          <cell r="B1966" t="str">
            <v>Ster Gen/P/Dress Kit/50CS</v>
          </cell>
        </row>
        <row r="1967">
          <cell r="A1967" t="str">
            <v>8242A</v>
          </cell>
          <cell r="B1967" t="str">
            <v>FLAT BOTTOM TRAY</v>
          </cell>
        </row>
        <row r="1968">
          <cell r="A1968" t="str">
            <v>8242N</v>
          </cell>
          <cell r="B1968" t="str">
            <v>6IN SERRATED THUMB FORCEP</v>
          </cell>
        </row>
        <row r="1969">
          <cell r="A1969" t="str">
            <v>8243A</v>
          </cell>
          <cell r="B1969" t="str">
            <v>Tegadrm w/lbl 2 3/8"x2.75</v>
          </cell>
        </row>
        <row r="1970">
          <cell r="A1970">
            <v>8245</v>
          </cell>
          <cell r="B1970" t="str">
            <v>Ster Dress Change Tray/30</v>
          </cell>
        </row>
        <row r="1971">
          <cell r="A1971" t="str">
            <v>8245SL</v>
          </cell>
          <cell r="B1971" t="str">
            <v>SHIPPER LABEL W/BARCODE</v>
          </cell>
        </row>
        <row r="1972">
          <cell r="A1972">
            <v>8248</v>
          </cell>
          <cell r="B1972" t="str">
            <v>Ster C/Line Dress C/K/50C</v>
          </cell>
        </row>
        <row r="1973">
          <cell r="A1973" t="str">
            <v>8248A</v>
          </cell>
          <cell r="B1973" t="str">
            <v>P/SWAB SPONGESTICK 51/4"</v>
          </cell>
        </row>
        <row r="1974">
          <cell r="A1974" t="str">
            <v>8248B</v>
          </cell>
          <cell r="B1974" t="str">
            <v>HIBICLENS 15MIL LIQUID</v>
          </cell>
        </row>
        <row r="1975">
          <cell r="A1975">
            <v>8250</v>
          </cell>
          <cell r="B1975" t="str">
            <v>Wallet Latex Gloves MD/PR</v>
          </cell>
        </row>
        <row r="1976">
          <cell r="A1976" t="str">
            <v>8252A</v>
          </cell>
          <cell r="B1976" t="str">
            <v>Unptd Ctn D/C/Tray/30cs</v>
          </cell>
        </row>
        <row r="1977">
          <cell r="A1977" t="str">
            <v>8252C</v>
          </cell>
          <cell r="B1977" t="str">
            <v>Unptd Ctn for 3/C Tray</v>
          </cell>
        </row>
        <row r="1978">
          <cell r="A1978" t="str">
            <v>8252D</v>
          </cell>
          <cell r="B1978" t="str">
            <v>Unprinted Ctn 25"x21"x8"</v>
          </cell>
        </row>
        <row r="1979">
          <cell r="A1979" t="str">
            <v>8253-1</v>
          </cell>
          <cell r="B1979" t="str">
            <v>N/S PVP IOD OINTMENT 1.5G</v>
          </cell>
        </row>
        <row r="1980">
          <cell r="A1980">
            <v>8254</v>
          </cell>
          <cell r="B1980" t="str">
            <v>2X2 NON -ADHER/D/W/SPLIT</v>
          </cell>
        </row>
        <row r="1981">
          <cell r="A1981">
            <v>8255</v>
          </cell>
          <cell r="B1981" t="str">
            <v>2X2 NON-ADHERING DRESSING</v>
          </cell>
        </row>
        <row r="1982">
          <cell r="A1982">
            <v>8256</v>
          </cell>
          <cell r="B1982" t="str">
            <v>3x4 N/Adhering Pad 825/6</v>
          </cell>
        </row>
        <row r="1983">
          <cell r="A1983" t="str">
            <v>8256L</v>
          </cell>
          <cell r="B1983" t="str">
            <v>32x36"Occlusive Lam Sht</v>
          </cell>
        </row>
        <row r="1984">
          <cell r="A1984" t="str">
            <v>8257-1</v>
          </cell>
          <cell r="B1984" t="str">
            <v>N/S COMPOUND TINCT/BENZ S</v>
          </cell>
        </row>
        <row r="1985">
          <cell r="A1985" t="str">
            <v>8260-1</v>
          </cell>
          <cell r="B1985" t="str">
            <v>N/S IODINE PREP SWABS{3}</v>
          </cell>
        </row>
        <row r="1986">
          <cell r="A1986">
            <v>8261</v>
          </cell>
          <cell r="B1986" t="str">
            <v>2"X 2" 8PLY GAUGE SPONGE</v>
          </cell>
        </row>
        <row r="1987">
          <cell r="A1987" t="str">
            <v>8261-1</v>
          </cell>
          <cell r="B1987" t="str">
            <v>2X2 8PLY GAUZE</v>
          </cell>
        </row>
        <row r="1988">
          <cell r="A1988" t="str">
            <v>8261-2</v>
          </cell>
          <cell r="B1988" t="str">
            <v>2"X2"8PLY/GAUZE/PROCESSED</v>
          </cell>
        </row>
        <row r="1989">
          <cell r="A1989">
            <v>8262</v>
          </cell>
          <cell r="B1989" t="str">
            <v>3"x3" Gauze Sponge 826</v>
          </cell>
        </row>
        <row r="1990">
          <cell r="A1990" t="str">
            <v>8262-1</v>
          </cell>
          <cell r="B1990" t="str">
            <v>3X3 8PLY GAUZE</v>
          </cell>
        </row>
        <row r="1991">
          <cell r="A1991" t="str">
            <v>8262-2</v>
          </cell>
          <cell r="B1991" t="str">
            <v>3'X3"8PLYGAUZE/PROCESSED</v>
          </cell>
        </row>
        <row r="1992">
          <cell r="A1992">
            <v>8264</v>
          </cell>
          <cell r="B1992" t="str">
            <v>Transpore Sur Tape 1ydL1W</v>
          </cell>
        </row>
        <row r="1993">
          <cell r="A1993">
            <v>8265</v>
          </cell>
          <cell r="B1993" t="str">
            <v>Dressing Chg Label 825/6</v>
          </cell>
        </row>
        <row r="1994">
          <cell r="A1994" t="str">
            <v>8265G</v>
          </cell>
          <cell r="B1994" t="str">
            <v>Dressing Change Label/B/W</v>
          </cell>
        </row>
        <row r="1995">
          <cell r="A1995" t="str">
            <v>8267-1</v>
          </cell>
          <cell r="B1995" t="str">
            <v>10" x 15" TOWER TEAR BAG</v>
          </cell>
        </row>
        <row r="1996">
          <cell r="A1996" t="str">
            <v>8267A</v>
          </cell>
          <cell r="B1996" t="str">
            <v>10"x12" Unitear Bag</v>
          </cell>
        </row>
        <row r="1997">
          <cell r="A1997" t="str">
            <v>8267D</v>
          </cell>
          <cell r="B1997" t="str">
            <v>10X12 UNITEAR BG W/WICKET</v>
          </cell>
        </row>
        <row r="1998">
          <cell r="A1998">
            <v>8269</v>
          </cell>
          <cell r="B1998" t="str">
            <v>#4210 Hypafix 10cmx10M</v>
          </cell>
        </row>
        <row r="1999">
          <cell r="A1999">
            <v>8270</v>
          </cell>
          <cell r="B1999" t="str">
            <v>SURGEONS MASK (383)</v>
          </cell>
        </row>
        <row r="2000">
          <cell r="A2000">
            <v>8271</v>
          </cell>
          <cell r="B2000" t="str">
            <v>N/Ster 4X5 Tegaderm Dres</v>
          </cell>
        </row>
        <row r="2001">
          <cell r="A2001">
            <v>8276</v>
          </cell>
          <cell r="B2001" t="str">
            <v>1"x18" Transpore Tape</v>
          </cell>
        </row>
        <row r="2002">
          <cell r="A2002">
            <v>8277</v>
          </cell>
          <cell r="B2002" t="str">
            <v>ACET A/C S/STK 3'S</v>
          </cell>
        </row>
        <row r="2003">
          <cell r="A2003" t="str">
            <v>8277-1</v>
          </cell>
          <cell r="B2003" t="str">
            <v>N/S ACETONE ALCOH S/S{1}</v>
          </cell>
        </row>
        <row r="2004">
          <cell r="A2004">
            <v>8294</v>
          </cell>
          <cell r="B2004" t="str">
            <v>2x18 Transpore Tape/8291</v>
          </cell>
        </row>
        <row r="2005">
          <cell r="A2005" t="str">
            <v>8296-1</v>
          </cell>
          <cell r="B2005" t="str">
            <v>N/S ALCOH'SWABSTICK {3}</v>
          </cell>
        </row>
        <row r="2006">
          <cell r="A2006" t="str">
            <v>8296-2</v>
          </cell>
          <cell r="B2006" t="str">
            <v>N/S ALCOH SWABSSTICK[1's]</v>
          </cell>
        </row>
        <row r="2007">
          <cell r="A2007">
            <v>8308</v>
          </cell>
          <cell r="B2007" t="str">
            <v>Ster Central Line Dressing Change Tray/50</v>
          </cell>
        </row>
        <row r="2008">
          <cell r="A2008" t="str">
            <v>8310BN</v>
          </cell>
          <cell r="B2008" t="str">
            <v>4.5"Iris Scissor Cvd Satn</v>
          </cell>
        </row>
        <row r="2009">
          <cell r="A2009" t="str">
            <v>8310BNL</v>
          </cell>
          <cell r="B2009" t="str">
            <v>41/2" CRVD IRIS S/S LG/L</v>
          </cell>
        </row>
        <row r="2010">
          <cell r="A2010">
            <v>8311</v>
          </cell>
          <cell r="B2010" t="str">
            <v>Injection Cap</v>
          </cell>
        </row>
        <row r="2011">
          <cell r="A2011">
            <v>8316</v>
          </cell>
          <cell r="B2011" t="str">
            <v>Ster l/f/Dress Chg Ty/50C</v>
          </cell>
        </row>
        <row r="2012">
          <cell r="A2012">
            <v>8328</v>
          </cell>
          <cell r="B2012" t="str">
            <v>Ster Dress Chg Tray/50/cs</v>
          </cell>
        </row>
        <row r="2013">
          <cell r="A2013" t="str">
            <v>8328A</v>
          </cell>
          <cell r="B2013" t="str">
            <v>1in x 4in DURAPORE STRIP</v>
          </cell>
        </row>
        <row r="2014">
          <cell r="A2014" t="str">
            <v>8328B</v>
          </cell>
          <cell r="B2014" t="str">
            <v>1X4"DURAPORE STRIP/NOTCHD</v>
          </cell>
        </row>
        <row r="2015">
          <cell r="A2015">
            <v>8330</v>
          </cell>
          <cell r="B2015" t="str">
            <v>Ster Dress change Tray/50</v>
          </cell>
        </row>
        <row r="2016">
          <cell r="A2016">
            <v>8331</v>
          </cell>
          <cell r="B2016" t="str">
            <v>Ster PICC Insertion/T/20C</v>
          </cell>
        </row>
        <row r="2017">
          <cell r="A2017" t="str">
            <v>8331A</v>
          </cell>
          <cell r="B2017" t="str">
            <v>18"X36" W/W TWL W/3"FEN</v>
          </cell>
        </row>
        <row r="2018">
          <cell r="A2018" t="str">
            <v>8331B</v>
          </cell>
          <cell r="B2018" t="str">
            <v>4 IN. CURVED IRIS FORCEPS</v>
          </cell>
        </row>
        <row r="2019">
          <cell r="A2019" t="str">
            <v>8331C</v>
          </cell>
          <cell r="B2019" t="str">
            <v>1/2'X4" STERI-STRIP 3PK</v>
          </cell>
        </row>
        <row r="2020">
          <cell r="A2020">
            <v>8336</v>
          </cell>
          <cell r="B2020" t="str">
            <v>SterCVP Dress Chg Tray50C</v>
          </cell>
        </row>
        <row r="2021">
          <cell r="A2021">
            <v>8342</v>
          </cell>
          <cell r="B2021" t="str">
            <v>Ster C/Line Dress C/T/20C</v>
          </cell>
        </row>
        <row r="2022">
          <cell r="A2022">
            <v>8344</v>
          </cell>
          <cell r="B2022" t="str">
            <v>Ster C/Line Dress Chg T50</v>
          </cell>
        </row>
        <row r="2023">
          <cell r="A2023">
            <v>8345</v>
          </cell>
          <cell r="B2023" t="str">
            <v>Ster V.A.D.Access Ty/30/C</v>
          </cell>
        </row>
        <row r="2024">
          <cell r="A2024">
            <v>8350</v>
          </cell>
          <cell r="B2024" t="str">
            <v>Ster C/Line Dress Chg/50c</v>
          </cell>
        </row>
        <row r="2025">
          <cell r="A2025">
            <v>8352</v>
          </cell>
          <cell r="B2025" t="str">
            <v>Ster V.A.D. Access kit/30</v>
          </cell>
        </row>
        <row r="2026">
          <cell r="A2026">
            <v>8353</v>
          </cell>
          <cell r="B2026" t="str">
            <v>Ster Dress Change Ty/50CS</v>
          </cell>
        </row>
        <row r="2027">
          <cell r="A2027">
            <v>8356</v>
          </cell>
          <cell r="B2027" t="str">
            <v>Ster C/Line Dress Chg T30</v>
          </cell>
        </row>
        <row r="2028">
          <cell r="A2028">
            <v>8361</v>
          </cell>
          <cell r="B2028" t="str">
            <v>Ster Dress Chg Tray 30cs</v>
          </cell>
        </row>
        <row r="2029">
          <cell r="A2029">
            <v>8368</v>
          </cell>
          <cell r="B2029" t="str">
            <v>Ster C/Line Dress Chg T20</v>
          </cell>
        </row>
        <row r="2030">
          <cell r="A2030">
            <v>8369</v>
          </cell>
          <cell r="B2030" t="str">
            <v>Ster Dressing Chg Tray/20</v>
          </cell>
        </row>
        <row r="2031">
          <cell r="A2031">
            <v>8372</v>
          </cell>
          <cell r="B2031" t="str">
            <v>Ster TPN Dress Chg T/50</v>
          </cell>
        </row>
        <row r="2032">
          <cell r="A2032">
            <v>8380</v>
          </cell>
          <cell r="B2032" t="str">
            <v>Ster Dress CHANGE Ty /30C</v>
          </cell>
        </row>
        <row r="2033">
          <cell r="A2033">
            <v>8399</v>
          </cell>
          <cell r="B2033" t="str">
            <v>Ster V.A.D.Access Kit/20c</v>
          </cell>
        </row>
        <row r="2034">
          <cell r="A2034">
            <v>8401</v>
          </cell>
          <cell r="B2034" t="str">
            <v>4X8 12Ply Gauze Sponge</v>
          </cell>
        </row>
        <row r="2035">
          <cell r="A2035">
            <v>8402</v>
          </cell>
          <cell r="B2035" t="str">
            <v>2"x54" Micropore Tape</v>
          </cell>
        </row>
        <row r="2036">
          <cell r="A2036">
            <v>8407</v>
          </cell>
          <cell r="B2036" t="str">
            <v>Unptd Ship for 5549/8403</v>
          </cell>
        </row>
        <row r="2037">
          <cell r="A2037" t="str">
            <v>8412D</v>
          </cell>
          <cell r="B2037" t="str">
            <v>12"X12" CSR WRAP</v>
          </cell>
        </row>
        <row r="2038">
          <cell r="A2038">
            <v>8414</v>
          </cell>
          <cell r="B2038" t="str">
            <v>Ster IV Start Kit/100</v>
          </cell>
        </row>
        <row r="2039">
          <cell r="A2039" t="str">
            <v>8414A</v>
          </cell>
          <cell r="B2039" t="str">
            <v>Pvp Prep Solution Ampule</v>
          </cell>
        </row>
        <row r="2040">
          <cell r="A2040" t="str">
            <v>8414B</v>
          </cell>
          <cell r="B2040" t="str">
            <v>2"x2.75"Polyskin Dressing</v>
          </cell>
        </row>
        <row r="2041">
          <cell r="A2041" t="str">
            <v>8415D</v>
          </cell>
          <cell r="B2041" t="str">
            <v>15"X 15" CSR WRAP</v>
          </cell>
        </row>
        <row r="2042">
          <cell r="A2042" t="str">
            <v>8418D</v>
          </cell>
          <cell r="B2042" t="str">
            <v>18X18 CSR WRAP</v>
          </cell>
        </row>
        <row r="2043">
          <cell r="A2043" t="str">
            <v>8420D</v>
          </cell>
          <cell r="B2043" t="str">
            <v>20" X 20" CSR WRAP</v>
          </cell>
        </row>
        <row r="2044">
          <cell r="A2044">
            <v>8423</v>
          </cell>
          <cell r="B2044" t="str">
            <v>Ster Wound Closure T/20</v>
          </cell>
        </row>
        <row r="2045">
          <cell r="A2045" t="str">
            <v>8423CC</v>
          </cell>
          <cell r="B2045" t="str">
            <v>CONTENT CARD W/BARCODE</v>
          </cell>
        </row>
        <row r="2046">
          <cell r="A2046" t="str">
            <v>8423SL</v>
          </cell>
          <cell r="B2046" t="str">
            <v>OUTER CTN LABEL W/BARCODE</v>
          </cell>
        </row>
        <row r="2047">
          <cell r="A2047" t="str">
            <v>8424D</v>
          </cell>
          <cell r="B2047" t="str">
            <v>24" X 24" CSR WRAP</v>
          </cell>
        </row>
        <row r="2048">
          <cell r="A2048">
            <v>8427</v>
          </cell>
          <cell r="B2048" t="str">
            <v>BD301029 10cc L/L Syringe</v>
          </cell>
        </row>
        <row r="2049">
          <cell r="A2049" t="str">
            <v>8427-1</v>
          </cell>
          <cell r="B2049" t="str">
            <v>10CC SYR L/LOCK L/F301029</v>
          </cell>
        </row>
        <row r="2050">
          <cell r="A2050" t="str">
            <v>8430D</v>
          </cell>
          <cell r="B2050" t="str">
            <v>30" X 30" CSR WRAP</v>
          </cell>
        </row>
        <row r="2051">
          <cell r="A2051" t="str">
            <v>8436D</v>
          </cell>
          <cell r="B2051" t="str">
            <v>36"X 36" CSR WRAP</v>
          </cell>
        </row>
        <row r="2052">
          <cell r="A2052" t="str">
            <v>8440C</v>
          </cell>
          <cell r="B2052" t="str">
            <v>6x8Foam Instrment Holder</v>
          </cell>
        </row>
        <row r="2053">
          <cell r="A2053" t="str">
            <v>8440D</v>
          </cell>
          <cell r="B2053" t="str">
            <v>40"X40" CSR WRAP</v>
          </cell>
        </row>
        <row r="2054">
          <cell r="A2054">
            <v>8441</v>
          </cell>
          <cell r="B2054" t="str">
            <v>Ster 30Gaugex.5" Needle</v>
          </cell>
        </row>
        <row r="2055">
          <cell r="A2055">
            <v>8443</v>
          </cell>
          <cell r="B2055" t="str">
            <v>Ster 27 Gaugex1.25"Needle</v>
          </cell>
        </row>
        <row r="2056">
          <cell r="A2056" t="str">
            <v>8445D</v>
          </cell>
          <cell r="B2056" t="str">
            <v>45X45 CSR WRAP</v>
          </cell>
        </row>
        <row r="2057">
          <cell r="A2057" t="str">
            <v>8454D</v>
          </cell>
          <cell r="B2057" t="str">
            <v>54" X 54" CSR WRAP</v>
          </cell>
        </row>
        <row r="2058">
          <cell r="A2058" t="str">
            <v>8500D</v>
          </cell>
          <cell r="B2058" t="str">
            <v>#11395 CSR Matl (Dexter)</v>
          </cell>
        </row>
        <row r="2059">
          <cell r="A2059">
            <v>8503</v>
          </cell>
          <cell r="B2059" t="str">
            <v>10x10 Standard CSR/1000</v>
          </cell>
        </row>
        <row r="2060">
          <cell r="A2060">
            <v>8512</v>
          </cell>
          <cell r="B2060" t="str">
            <v>Printed Carton for 851</v>
          </cell>
        </row>
        <row r="2061">
          <cell r="A2061">
            <v>8513</v>
          </cell>
          <cell r="B2061" t="str">
            <v>Polylining/Wrap 850-858</v>
          </cell>
        </row>
        <row r="2062">
          <cell r="A2062">
            <v>8522</v>
          </cell>
          <cell r="B2062" t="str">
            <v>Printed Ctn for 852</v>
          </cell>
        </row>
        <row r="2063">
          <cell r="A2063" t="str">
            <v>8524D</v>
          </cell>
          <cell r="B2063" t="str">
            <v>24" CSR Material</v>
          </cell>
        </row>
        <row r="2064">
          <cell r="A2064">
            <v>8532</v>
          </cell>
          <cell r="B2064" t="str">
            <v>Ptd Ctn for 853 858 862</v>
          </cell>
        </row>
        <row r="2065">
          <cell r="A2065" t="str">
            <v>8536D</v>
          </cell>
          <cell r="B2065" t="str">
            <v>36" CSR Material</v>
          </cell>
        </row>
        <row r="2066">
          <cell r="A2066" t="str">
            <v>8540D</v>
          </cell>
          <cell r="B2066" t="str">
            <v>40" CSR Material</v>
          </cell>
        </row>
        <row r="2067">
          <cell r="A2067">
            <v>8542</v>
          </cell>
          <cell r="B2067" t="str">
            <v>Ptd Ctn for 854/863/844</v>
          </cell>
        </row>
        <row r="2068">
          <cell r="A2068" t="str">
            <v>8545D</v>
          </cell>
          <cell r="B2068" t="str">
            <v>45" CSR Material</v>
          </cell>
        </row>
        <row r="2069">
          <cell r="A2069" t="str">
            <v>8554D</v>
          </cell>
          <cell r="B2069" t="str">
            <v>54" CSR Material</v>
          </cell>
        </row>
        <row r="2070">
          <cell r="A2070" t="str">
            <v>8560D</v>
          </cell>
          <cell r="B2070" t="str">
            <v>60" CSR Material</v>
          </cell>
        </row>
        <row r="2071">
          <cell r="A2071">
            <v>8562</v>
          </cell>
          <cell r="B2071" t="str">
            <v>Printed Carton for 856</v>
          </cell>
        </row>
        <row r="2072">
          <cell r="A2072">
            <v>8585</v>
          </cell>
          <cell r="B2072" t="str">
            <v>Cida#12-0054 54x54CSR/100</v>
          </cell>
        </row>
        <row r="2073">
          <cell r="A2073">
            <v>8705</v>
          </cell>
          <cell r="B2073" t="str">
            <v>Ster Port Access Tray/30c</v>
          </cell>
        </row>
        <row r="2074">
          <cell r="A2074">
            <v>8710</v>
          </cell>
          <cell r="B2074" t="str">
            <v>Ster Dress Chg Tray/30cs</v>
          </cell>
        </row>
        <row r="2075">
          <cell r="A2075">
            <v>8711</v>
          </cell>
          <cell r="B2075" t="str">
            <v>Ster Dress Chg Ty 30/cs</v>
          </cell>
        </row>
        <row r="2076">
          <cell r="A2076">
            <v>8712</v>
          </cell>
          <cell r="B2076" t="str">
            <v>Ster Vad Access Kit 30cs</v>
          </cell>
        </row>
        <row r="2077">
          <cell r="A2077">
            <v>8713</v>
          </cell>
          <cell r="B2077" t="str">
            <v>Ster Laceration Tray /20</v>
          </cell>
        </row>
        <row r="2078">
          <cell r="A2078">
            <v>8714</v>
          </cell>
          <cell r="B2078" t="str">
            <v>Ster Dress Chg Tray 30CS</v>
          </cell>
        </row>
        <row r="2079">
          <cell r="A2079" t="str">
            <v>8714A</v>
          </cell>
          <cell r="B2079" t="str">
            <v>SMART SITE ADAPTOR/STER</v>
          </cell>
        </row>
        <row r="2080">
          <cell r="A2080" t="str">
            <v>8714B</v>
          </cell>
          <cell r="B2080" t="str">
            <v>COVADERM 4'X4" ADH DRESS</v>
          </cell>
        </row>
        <row r="2081">
          <cell r="A2081">
            <v>8716</v>
          </cell>
          <cell r="B2081" t="str">
            <v>Ster C/Line Dress C/Ty/30</v>
          </cell>
        </row>
        <row r="2082">
          <cell r="A2082">
            <v>8719</v>
          </cell>
          <cell r="B2082" t="str">
            <v>Ster C/Line Barrier Pk/20</v>
          </cell>
        </row>
        <row r="2083">
          <cell r="A2083" t="str">
            <v>8719A</v>
          </cell>
          <cell r="B2083" t="str">
            <v>BARRIER PACK PROCED SHEET</v>
          </cell>
        </row>
        <row r="2084">
          <cell r="A2084">
            <v>8722</v>
          </cell>
          <cell r="B2084" t="str">
            <v>Sterile Dress Chg T/20cs</v>
          </cell>
        </row>
        <row r="2085">
          <cell r="A2085">
            <v>8725</v>
          </cell>
          <cell r="B2085" t="str">
            <v>Ster Eye Pack/20</v>
          </cell>
        </row>
        <row r="2086">
          <cell r="A2086" t="str">
            <v>8725A</v>
          </cell>
          <cell r="B2086" t="str">
            <v>Wallet Latex Gloves LG/Pr</v>
          </cell>
        </row>
        <row r="2087">
          <cell r="A2087" t="str">
            <v>8725B</v>
          </cell>
          <cell r="B2087" t="str">
            <v>TOWER TEAR BAG 11INX15IN</v>
          </cell>
        </row>
        <row r="2088">
          <cell r="A2088">
            <v>8732</v>
          </cell>
          <cell r="B2088" t="str">
            <v>Ster Suture Removal kit50</v>
          </cell>
        </row>
        <row r="2089">
          <cell r="A2089">
            <v>8733</v>
          </cell>
          <cell r="B2089" t="str">
            <v>Ster Suture Removal Kit50</v>
          </cell>
        </row>
        <row r="2090">
          <cell r="A2090">
            <v>8743</v>
          </cell>
          <cell r="B2090" t="str">
            <v>Ster E.R.Laceration T/20C</v>
          </cell>
        </row>
        <row r="2091">
          <cell r="A2091">
            <v>8754</v>
          </cell>
          <cell r="B2091" t="str">
            <v>Sterile Suture Tray /30cs</v>
          </cell>
        </row>
        <row r="2092">
          <cell r="A2092">
            <v>8756</v>
          </cell>
          <cell r="B2092" t="str">
            <v>Ster Lams Animal Pack/6cs</v>
          </cell>
        </row>
        <row r="2093">
          <cell r="A2093" t="str">
            <v>8756A</v>
          </cell>
          <cell r="B2093" t="str">
            <v>BACK TABLE COVER 44"X90"</v>
          </cell>
        </row>
        <row r="2094">
          <cell r="A2094" t="str">
            <v>8756B</v>
          </cell>
          <cell r="B2094" t="str">
            <v>BLUE XLG GOWN/LIGHTWEIGHT</v>
          </cell>
        </row>
        <row r="2095">
          <cell r="A2095" t="str">
            <v>8756C</v>
          </cell>
          <cell r="B2095" t="str">
            <v>LAPAROTOMY DRAPE 60"X108"</v>
          </cell>
        </row>
        <row r="2096">
          <cell r="A2096" t="str">
            <v>8756D</v>
          </cell>
          <cell r="B2096" t="str">
            <v>HEADER BAG 17"X22"</v>
          </cell>
        </row>
        <row r="2097">
          <cell r="A2097">
            <v>8758</v>
          </cell>
          <cell r="B2097" t="str">
            <v>Ster 5i/2" S/Blunt N/S 50</v>
          </cell>
        </row>
        <row r="2098">
          <cell r="A2098">
            <v>8759</v>
          </cell>
          <cell r="B2098" t="str">
            <v>Ster 51/2"Crvd/K/Hemost50</v>
          </cell>
        </row>
        <row r="2099">
          <cell r="A2099">
            <v>8760</v>
          </cell>
          <cell r="B2099" t="str">
            <v>Ster 51/2" Str/K/Hemost50</v>
          </cell>
        </row>
        <row r="2100">
          <cell r="A2100">
            <v>8762</v>
          </cell>
          <cell r="B2100" t="str">
            <v>SterR/Artery Cath Tray/30</v>
          </cell>
        </row>
        <row r="2101">
          <cell r="A2101" t="str">
            <v>8762A</v>
          </cell>
          <cell r="B2101" t="str">
            <v>30ML 1% LIDOCAINE</v>
          </cell>
        </row>
        <row r="2102">
          <cell r="A2102" t="str">
            <v>8762B</v>
          </cell>
          <cell r="B2102" t="str">
            <v>3-0 STERILE SUTURE</v>
          </cell>
        </row>
        <row r="2103">
          <cell r="A2103" t="str">
            <v>8762C</v>
          </cell>
          <cell r="B2103" t="str">
            <v>4WAY STOPCOCK W/TBG,STER</v>
          </cell>
        </row>
        <row r="2104">
          <cell r="A2104" t="str">
            <v>8762I</v>
          </cell>
          <cell r="B2104" t="str">
            <v>INSTR SHEET/LIDOCAINE</v>
          </cell>
        </row>
        <row r="2105">
          <cell r="A2105">
            <v>8765</v>
          </cell>
          <cell r="B2105" t="str">
            <v>Ster C/Line Dress Chg T30</v>
          </cell>
        </row>
        <row r="2106">
          <cell r="A2106">
            <v>8774</v>
          </cell>
          <cell r="B2106" t="str">
            <v>Non/Sterile On/Off Kit50c</v>
          </cell>
        </row>
        <row r="2107">
          <cell r="A2107" t="str">
            <v>8774A</v>
          </cell>
          <cell r="B2107" t="str">
            <v>SHEER ADHESIVE STRIP 1"X3</v>
          </cell>
        </row>
        <row r="2108">
          <cell r="A2108">
            <v>8776</v>
          </cell>
          <cell r="B2108" t="str">
            <v>Ster C/LINE Dress Chg T50</v>
          </cell>
        </row>
        <row r="2109">
          <cell r="A2109">
            <v>8777</v>
          </cell>
          <cell r="B2109" t="str">
            <v>Ster Incision/Drain T/50C</v>
          </cell>
        </row>
        <row r="2110">
          <cell r="A2110">
            <v>8780</v>
          </cell>
          <cell r="B2110" t="str">
            <v>Ster E.R.Laceration Ty/20</v>
          </cell>
        </row>
        <row r="2111">
          <cell r="A2111">
            <v>8783</v>
          </cell>
          <cell r="B2111" t="str">
            <v>Ster Laceration Tray/20cs</v>
          </cell>
        </row>
        <row r="2112">
          <cell r="A2112">
            <v>8784</v>
          </cell>
          <cell r="B2112" t="str">
            <v>Ster Laceration Tray/20cs</v>
          </cell>
        </row>
        <row r="2113">
          <cell r="A2113">
            <v>8787</v>
          </cell>
          <cell r="B2113" t="str">
            <v>Ster Wound Care Kit/30 cs</v>
          </cell>
        </row>
        <row r="2114">
          <cell r="A2114">
            <v>8792</v>
          </cell>
          <cell r="B2114" t="str">
            <v>Ster C/Line Dress Chg T30</v>
          </cell>
        </row>
        <row r="2115">
          <cell r="A2115">
            <v>8793</v>
          </cell>
          <cell r="B2115" t="str">
            <v>SterTPN Dress Chg Tray/30</v>
          </cell>
        </row>
        <row r="2116">
          <cell r="A2116" t="str">
            <v>8793A</v>
          </cell>
          <cell r="B2116" t="str">
            <v>TRANSPORE TAPE 2'X 24'</v>
          </cell>
        </row>
        <row r="2117">
          <cell r="A2117">
            <v>8802</v>
          </cell>
          <cell r="B2117" t="str">
            <v>Ster E R Laceration Ty20</v>
          </cell>
        </row>
        <row r="2118">
          <cell r="A2118">
            <v>8804</v>
          </cell>
          <cell r="B2118" t="str">
            <v>Ster C/Wire Dressing T/20</v>
          </cell>
        </row>
        <row r="2119">
          <cell r="A2119">
            <v>8807</v>
          </cell>
          <cell r="B2119" t="str">
            <v>M/{63198}Ster I V S/KIT50</v>
          </cell>
        </row>
        <row r="2120">
          <cell r="A2120" t="str">
            <v>8807SL</v>
          </cell>
          <cell r="B2120" t="str">
            <v>OUTER CTN LABEL M/63198</v>
          </cell>
        </row>
        <row r="2121">
          <cell r="A2121">
            <v>8808</v>
          </cell>
          <cell r="B2121" t="str">
            <v>M/63199}Ster IV S/KIT 50C</v>
          </cell>
        </row>
        <row r="2122">
          <cell r="A2122" t="str">
            <v>8808SL</v>
          </cell>
          <cell r="B2122" t="str">
            <v>OUTER CTN LABEL M/63199</v>
          </cell>
        </row>
        <row r="2123">
          <cell r="A2123">
            <v>8809</v>
          </cell>
          <cell r="B2123" t="str">
            <v>V/S#041100 Ster I.V.K/50C</v>
          </cell>
        </row>
        <row r="2124">
          <cell r="A2124" t="str">
            <v>8809A</v>
          </cell>
          <cell r="B2124" t="str">
            <v>3/4"X3"L/F ADH/BANDAGE</v>
          </cell>
        </row>
        <row r="2125">
          <cell r="A2125">
            <v>8810</v>
          </cell>
          <cell r="B2125" t="str">
            <v>Ster Instrument Tray/20CS</v>
          </cell>
        </row>
        <row r="2126">
          <cell r="A2126" t="str">
            <v>8810A</v>
          </cell>
          <cell r="B2126" t="str">
            <v>DERF NEEDLE HOLDER</v>
          </cell>
        </row>
        <row r="2127">
          <cell r="A2127" t="str">
            <v>8810B</v>
          </cell>
          <cell r="B2127" t="str">
            <v>TOWEL CLAMP (PLASTIC)</v>
          </cell>
        </row>
        <row r="2128">
          <cell r="A2128" t="str">
            <v>8810C</v>
          </cell>
          <cell r="B2128" t="str">
            <v>#3 KNIFE HANDLE</v>
          </cell>
        </row>
        <row r="2129">
          <cell r="A2129" t="str">
            <v>8810CC</v>
          </cell>
          <cell r="B2129" t="str">
            <v>CONTENT CARD W/BARCODE</v>
          </cell>
        </row>
        <row r="2130">
          <cell r="A2130" t="str">
            <v>8810SL</v>
          </cell>
          <cell r="B2130" t="str">
            <v>SHIP/CTN LABEL W/BARCODE</v>
          </cell>
        </row>
        <row r="2131">
          <cell r="A2131" t="str">
            <v>8811CC</v>
          </cell>
          <cell r="B2131" t="str">
            <v>CONTENT CARD/W/BARCODE</v>
          </cell>
        </row>
        <row r="2132">
          <cell r="A2132" t="str">
            <v>8811SL</v>
          </cell>
          <cell r="B2132" t="str">
            <v>OUTER CTN LABEL/W/BARCODE</v>
          </cell>
        </row>
        <row r="2133">
          <cell r="A2133">
            <v>8815</v>
          </cell>
          <cell r="B2133" t="str">
            <v>Ster Latex F/I V Start/50</v>
          </cell>
        </row>
        <row r="2134">
          <cell r="A2134" t="str">
            <v>8815SL</v>
          </cell>
          <cell r="B2134" t="str">
            <v>OUTER CTN LABEL/W/BARCODE</v>
          </cell>
        </row>
        <row r="2135">
          <cell r="A2135">
            <v>8817</v>
          </cell>
          <cell r="B2135" t="str">
            <v>Ster Laceration Tray/20</v>
          </cell>
        </row>
        <row r="2136">
          <cell r="A2136" t="str">
            <v>8817CC</v>
          </cell>
          <cell r="B2136" t="str">
            <v>CONTENTCARD W/BARCODE</v>
          </cell>
        </row>
        <row r="2137">
          <cell r="A2137" t="str">
            <v>8817SL</v>
          </cell>
          <cell r="B2137" t="str">
            <v>OUTER CTN LABEL W/BARCODE</v>
          </cell>
        </row>
        <row r="2138">
          <cell r="A2138">
            <v>8824</v>
          </cell>
          <cell r="B2138" t="str">
            <v>Ster E R Laceration/T/20c</v>
          </cell>
        </row>
        <row r="2139">
          <cell r="A2139" t="str">
            <v>8824CC</v>
          </cell>
          <cell r="B2139" t="str">
            <v>CONTENT CARD W/BARCODE</v>
          </cell>
        </row>
        <row r="2140">
          <cell r="A2140" t="str">
            <v>8824SL</v>
          </cell>
          <cell r="B2140" t="str">
            <v>OUTER S/LABEL W/BARCODE</v>
          </cell>
        </row>
        <row r="2141">
          <cell r="A2141">
            <v>8828</v>
          </cell>
          <cell r="B2141" t="str">
            <v>Ster Dress chg Tray/20cs</v>
          </cell>
        </row>
        <row r="2142">
          <cell r="A2142" t="str">
            <v>8828A</v>
          </cell>
          <cell r="B2142" t="str">
            <v>TEGADERM HP TRAN D/4X43/4</v>
          </cell>
        </row>
        <row r="2143">
          <cell r="A2143" t="str">
            <v>8828CC</v>
          </cell>
          <cell r="B2143" t="str">
            <v>CONTENT C/W/BARCODE</v>
          </cell>
        </row>
        <row r="2144">
          <cell r="A2144" t="str">
            <v>8828SL</v>
          </cell>
          <cell r="B2144" t="str">
            <v>OUTER CTN LABEL W/BCODE</v>
          </cell>
        </row>
        <row r="2145">
          <cell r="A2145">
            <v>8852</v>
          </cell>
          <cell r="B2145" t="str">
            <v>Sterile laceration T /20</v>
          </cell>
        </row>
        <row r="2146">
          <cell r="A2146" t="str">
            <v>8852CC</v>
          </cell>
          <cell r="B2146" t="str">
            <v>CONTENT CARD W/BARCODE</v>
          </cell>
        </row>
        <row r="2147">
          <cell r="A2147" t="str">
            <v>8852SL</v>
          </cell>
          <cell r="B2147" t="str">
            <v>S/LABEL W/BARCODE</v>
          </cell>
        </row>
        <row r="2148">
          <cell r="A2148">
            <v>8855</v>
          </cell>
          <cell r="B2148" t="str">
            <v>Ster C/Line D/Chg Tray/20</v>
          </cell>
        </row>
        <row r="2149">
          <cell r="A2149" t="str">
            <v>8855CC</v>
          </cell>
          <cell r="B2149" t="str">
            <v>CONTENT CARD W/BARCODE</v>
          </cell>
        </row>
        <row r="2150">
          <cell r="A2150" t="str">
            <v>8855SL</v>
          </cell>
          <cell r="B2150" t="str">
            <v>OUTER CTN LABEL W/BARCODE</v>
          </cell>
        </row>
        <row r="2151">
          <cell r="A2151" t="str">
            <v>8872A</v>
          </cell>
          <cell r="B2151" t="str">
            <v>SENSICARE LF GLOVE,MED</v>
          </cell>
        </row>
        <row r="2152">
          <cell r="A2152" t="str">
            <v>8874A</v>
          </cell>
          <cell r="B2152" t="str">
            <v>TRANSP/D/23/8INX23/4IN</v>
          </cell>
        </row>
        <row r="2153">
          <cell r="A2153">
            <v>8877</v>
          </cell>
          <cell r="B2153" t="str">
            <v>Sterile Dress Chg Tray/50</v>
          </cell>
        </row>
        <row r="2154">
          <cell r="A2154">
            <v>8878</v>
          </cell>
          <cell r="B2154" t="str">
            <v>Ster Laceration Tray/20CS</v>
          </cell>
        </row>
        <row r="2155">
          <cell r="A2155" t="str">
            <v>8878A</v>
          </cell>
          <cell r="B2155" t="str">
            <v>10 ML LF CONTROL SYRINGE</v>
          </cell>
        </row>
        <row r="2156">
          <cell r="A2156" t="str">
            <v>8878B</v>
          </cell>
          <cell r="B2156" t="str">
            <v>ZEROWET SPLASHIELD</v>
          </cell>
        </row>
        <row r="2157">
          <cell r="A2157" t="str">
            <v>8878I</v>
          </cell>
          <cell r="B2157" t="str">
            <v>SPLASHIELD INSTR. SHEET</v>
          </cell>
        </row>
        <row r="2158">
          <cell r="A2158">
            <v>8886</v>
          </cell>
          <cell r="B2158" t="str">
            <v>Ster Dressing Chg Tray/20</v>
          </cell>
        </row>
        <row r="2159">
          <cell r="A2159" t="str">
            <v>8886CC</v>
          </cell>
          <cell r="B2159" t="str">
            <v>CONTENT CARDW/BARCODE</v>
          </cell>
        </row>
        <row r="2160">
          <cell r="A2160" t="str">
            <v>8886SL</v>
          </cell>
          <cell r="B2160" t="str">
            <v>OUTER CTN LABEL W/B/CODE</v>
          </cell>
        </row>
        <row r="2161">
          <cell r="A2161">
            <v>8898</v>
          </cell>
          <cell r="B2161" t="str">
            <v>Ster Dress Chg Tray/30cs</v>
          </cell>
        </row>
        <row r="2162">
          <cell r="A2162" t="str">
            <v>8898A</v>
          </cell>
          <cell r="B2162" t="str">
            <v>PERSIST SWABS 3'S</v>
          </cell>
        </row>
        <row r="2163">
          <cell r="A2163" t="str">
            <v>8898CC</v>
          </cell>
          <cell r="B2163" t="str">
            <v>CONTENT CARD W/BARCODE</v>
          </cell>
        </row>
        <row r="2164">
          <cell r="A2164" t="str">
            <v>8898SL</v>
          </cell>
          <cell r="B2164" t="str">
            <v>OUTER CTN LABEL W/BARCODE</v>
          </cell>
        </row>
        <row r="2165">
          <cell r="A2165">
            <v>8905</v>
          </cell>
          <cell r="B2165" t="str">
            <v>Ster Dressing Chg Tray/20</v>
          </cell>
        </row>
        <row r="2166">
          <cell r="A2166" t="str">
            <v>8905CC</v>
          </cell>
          <cell r="B2166" t="str">
            <v>CONTENT CARD W/BARCODE</v>
          </cell>
        </row>
        <row r="2167">
          <cell r="A2167" t="str">
            <v>8905SL</v>
          </cell>
          <cell r="B2167" t="str">
            <v>OUTER CTN LABELW/BARCODE</v>
          </cell>
        </row>
        <row r="2168">
          <cell r="A2168" t="str">
            <v>8905T</v>
          </cell>
          <cell r="B2168" t="str">
            <v>Ster Dress Change Tray/20</v>
          </cell>
        </row>
        <row r="2169">
          <cell r="A2169">
            <v>8906</v>
          </cell>
          <cell r="B2169" t="str">
            <v>M/63200}STER I V S/KIT 50</v>
          </cell>
        </row>
        <row r="2170">
          <cell r="A2170" t="str">
            <v>8906SL</v>
          </cell>
          <cell r="B2170" t="str">
            <v>OUTER CTN LABEL M/63200</v>
          </cell>
        </row>
        <row r="2171">
          <cell r="A2171">
            <v>8908</v>
          </cell>
          <cell r="B2171" t="str">
            <v>Ster Dress Chg Tray/20cs</v>
          </cell>
        </row>
        <row r="2172">
          <cell r="A2172" t="str">
            <v>8908CC</v>
          </cell>
          <cell r="B2172" t="str">
            <v>CONTENT CARDW/BARCODE</v>
          </cell>
        </row>
        <row r="2173">
          <cell r="A2173" t="str">
            <v>8908SL</v>
          </cell>
          <cell r="B2173" t="str">
            <v>OUTER CTN LABELW/BARCODE</v>
          </cell>
        </row>
        <row r="2174">
          <cell r="A2174" t="str">
            <v>8909CC</v>
          </cell>
          <cell r="B2174" t="str">
            <v>CONTENT CARDW/BARCODE</v>
          </cell>
        </row>
        <row r="2175">
          <cell r="A2175">
            <v>8925</v>
          </cell>
          <cell r="B2175" t="str">
            <v>Ster Central D/chg T/50CS</v>
          </cell>
        </row>
        <row r="2176">
          <cell r="A2176" t="str">
            <v>8925A</v>
          </cell>
          <cell r="B2176" t="str">
            <v>TRIPLE ANTIB/OINTMENT .9G</v>
          </cell>
        </row>
        <row r="2177">
          <cell r="A2177">
            <v>8943</v>
          </cell>
          <cell r="B2177" t="str">
            <v>Ster Subclavian D/Chg/T20</v>
          </cell>
        </row>
        <row r="2178">
          <cell r="A2178">
            <v>8944</v>
          </cell>
          <cell r="B2178" t="str">
            <v>Ster ER Lac.Tray/20</v>
          </cell>
        </row>
        <row r="2179">
          <cell r="A2179" t="str">
            <v>8944CC</v>
          </cell>
          <cell r="B2179" t="str">
            <v>CONTENT CARD W/BARCODE</v>
          </cell>
        </row>
        <row r="2180">
          <cell r="A2180" t="str">
            <v>8944SL</v>
          </cell>
          <cell r="B2180" t="str">
            <v>OUTER CTN LABEL W/B/CODE</v>
          </cell>
        </row>
        <row r="2181">
          <cell r="A2181">
            <v>8949</v>
          </cell>
          <cell r="B2181" t="str">
            <v>Ster Suturing Tray 20CS</v>
          </cell>
        </row>
        <row r="2182">
          <cell r="A2182">
            <v>8953</v>
          </cell>
          <cell r="B2182" t="str">
            <v>Ster Dress Chg Tray/20</v>
          </cell>
        </row>
        <row r="2183">
          <cell r="A2183">
            <v>8954</v>
          </cell>
          <cell r="B2183" t="str">
            <v>Ster Dress Chg Tray /20cs</v>
          </cell>
        </row>
        <row r="2184">
          <cell r="A2184">
            <v>8958</v>
          </cell>
          <cell r="B2184" t="str">
            <v>Ster C/Line Removal K/50C</v>
          </cell>
        </row>
        <row r="2185">
          <cell r="A2185" t="str">
            <v>8958A</v>
          </cell>
          <cell r="B2185" t="str">
            <v>BETADINE PREP PAD</v>
          </cell>
        </row>
        <row r="2186">
          <cell r="A2186" t="str">
            <v>8958B</v>
          </cell>
          <cell r="B2186" t="str">
            <v>2"X3 1/2" ADH/BANDAGE</v>
          </cell>
        </row>
        <row r="2187">
          <cell r="A2187">
            <v>8960</v>
          </cell>
          <cell r="B2187" t="str">
            <v>Ster Dress Chg Tray/20CS</v>
          </cell>
        </row>
        <row r="2188">
          <cell r="A2188">
            <v>8963</v>
          </cell>
          <cell r="B2188" t="str">
            <v>SterTPN/CVP/ D/Chg T/20/C</v>
          </cell>
        </row>
        <row r="2189">
          <cell r="A2189">
            <v>8991</v>
          </cell>
          <cell r="B2189" t="str">
            <v>Ster I.V. Start kit 50CS</v>
          </cell>
        </row>
        <row r="2190">
          <cell r="A2190" t="str">
            <v>8991A</v>
          </cell>
          <cell r="B2190" t="str">
            <v>P/F WALLETED VINYL GLOVES</v>
          </cell>
        </row>
        <row r="2191">
          <cell r="A2191">
            <v>8992</v>
          </cell>
          <cell r="B2191" t="str">
            <v>Ster Gen Purp/Instr/T 20C</v>
          </cell>
        </row>
        <row r="2192">
          <cell r="A2192">
            <v>8999</v>
          </cell>
          <cell r="B2192" t="str">
            <v>SterTPN//CVP DressChg T20</v>
          </cell>
        </row>
        <row r="2193">
          <cell r="A2193" t="str">
            <v>8999A</v>
          </cell>
          <cell r="B2193" t="str">
            <v>STER-STRIPS 1/4"X3"{3/CD}</v>
          </cell>
        </row>
        <row r="2194">
          <cell r="A2194" t="str">
            <v>9011G</v>
          </cell>
          <cell r="B2194" t="str">
            <v>Unprinted Carton</v>
          </cell>
        </row>
        <row r="2195">
          <cell r="A2195" t="str">
            <v>9011T</v>
          </cell>
          <cell r="B2195" t="str">
            <v>Unprinted Carton</v>
          </cell>
        </row>
        <row r="2196">
          <cell r="A2196" t="str">
            <v>9013A</v>
          </cell>
          <cell r="B2196" t="str">
            <v>Size #4 Manilla Tag 6pt</v>
          </cell>
        </row>
        <row r="2197">
          <cell r="A2197">
            <v>9016</v>
          </cell>
          <cell r="B2197" t="str">
            <v>GM#25-901 P.Mortem Bag/10</v>
          </cell>
        </row>
        <row r="2198">
          <cell r="A2198" t="str">
            <v>9016CC</v>
          </cell>
          <cell r="B2198" t="str">
            <v>MC KESSON CONTENT CARD</v>
          </cell>
        </row>
        <row r="2199">
          <cell r="A2199" t="str">
            <v>9016SL</v>
          </cell>
          <cell r="B2199" t="str">
            <v>MC KESSON OUTER CTN LABEL</v>
          </cell>
        </row>
        <row r="2200">
          <cell r="A2200">
            <v>9023</v>
          </cell>
          <cell r="B2200" t="str">
            <v>3Pt Tag Ylw for Body Bag</v>
          </cell>
        </row>
        <row r="2201">
          <cell r="A2201">
            <v>9044</v>
          </cell>
          <cell r="B2201" t="str">
            <v>GM#25-904 Instruction Sht</v>
          </cell>
        </row>
        <row r="2202">
          <cell r="A2202">
            <v>9045</v>
          </cell>
          <cell r="B2202" t="str">
            <v>GM#25-904 Shipper Label</v>
          </cell>
        </row>
        <row r="2203">
          <cell r="A2203">
            <v>9046</v>
          </cell>
          <cell r="B2203" t="str">
            <v>GM#25-904 P.Mortem Kit/10</v>
          </cell>
        </row>
        <row r="2204">
          <cell r="A2204" t="str">
            <v>9046I</v>
          </cell>
          <cell r="B2204" t="str">
            <v>MC KESSON INSTRUCT/SHEET</v>
          </cell>
        </row>
        <row r="2205">
          <cell r="A2205" t="str">
            <v>9046SL</v>
          </cell>
          <cell r="B2205" t="str">
            <v>MC KESSON OUTER CTN LABEL</v>
          </cell>
        </row>
        <row r="2206">
          <cell r="A2206">
            <v>9053</v>
          </cell>
          <cell r="B2206" t="str">
            <v>5"Insert Forceps for 9055</v>
          </cell>
        </row>
        <row r="2207">
          <cell r="A2207">
            <v>9075</v>
          </cell>
          <cell r="B2207" t="str">
            <v>P/M BAG WH/C/W/GOWN /10CS</v>
          </cell>
        </row>
        <row r="2208">
          <cell r="A2208" t="str">
            <v>9075CC</v>
          </cell>
          <cell r="B2208" t="str">
            <v>CONT/CARD W/BAR CARD</v>
          </cell>
        </row>
        <row r="2209">
          <cell r="A2209" t="str">
            <v>9075SL</v>
          </cell>
          <cell r="B2209" t="str">
            <v>OUTER CTN L/BAR CODE</v>
          </cell>
        </row>
        <row r="2210">
          <cell r="A2210">
            <v>9079</v>
          </cell>
          <cell r="B2210" t="str">
            <v>I&amp;B#5-228 P.Mort/Cvd Z/10</v>
          </cell>
        </row>
        <row r="2211">
          <cell r="A2211" t="str">
            <v>9079A</v>
          </cell>
          <cell r="B2211" t="str">
            <v>I&amp;B#5-228 Content Card</v>
          </cell>
        </row>
        <row r="2212">
          <cell r="A2212" t="str">
            <v>9079S</v>
          </cell>
          <cell r="B2212" t="str">
            <v>I&amp;B#5-228 Shipper Label</v>
          </cell>
        </row>
        <row r="2213">
          <cell r="A2213">
            <v>9085</v>
          </cell>
          <cell r="B2213" t="str">
            <v>I&amp;B#5-225 P.Mort/Cvd Z/10</v>
          </cell>
        </row>
        <row r="2214">
          <cell r="A2214" t="str">
            <v>9085A</v>
          </cell>
          <cell r="B2214" t="str">
            <v>Instruction Sheet</v>
          </cell>
        </row>
        <row r="2215">
          <cell r="A2215" t="str">
            <v>9085S</v>
          </cell>
          <cell r="B2215" t="str">
            <v>Shipper Label</v>
          </cell>
        </row>
        <row r="2216">
          <cell r="A2216">
            <v>9113</v>
          </cell>
          <cell r="B2216" t="str">
            <v>Ster Suture Rmvr Kit/50</v>
          </cell>
        </row>
        <row r="2217">
          <cell r="A2217" t="str">
            <v>9113SL</v>
          </cell>
          <cell r="B2217" t="str">
            <v>OUTER CTN LABEL</v>
          </cell>
        </row>
        <row r="2218">
          <cell r="A2218">
            <v>9120</v>
          </cell>
          <cell r="B2218" t="str">
            <v>Ster Dress Change Tray/20</v>
          </cell>
        </row>
        <row r="2219">
          <cell r="A2219">
            <v>9142</v>
          </cell>
          <cell r="B2219" t="str">
            <v>Tongue Blade</v>
          </cell>
        </row>
        <row r="2220">
          <cell r="A2220" t="str">
            <v>9143A</v>
          </cell>
          <cell r="B2220" t="str">
            <v>11"x13" Tower T Bag/wcktd</v>
          </cell>
        </row>
        <row r="2221">
          <cell r="A2221" t="str">
            <v>9143B</v>
          </cell>
          <cell r="B2221" t="str">
            <v>11INX13.5 UNITEAR B/WCKTD</v>
          </cell>
        </row>
        <row r="2222">
          <cell r="A2222">
            <v>9145</v>
          </cell>
          <cell r="B2222" t="str">
            <v>Ster Minor Procedure T/20</v>
          </cell>
        </row>
        <row r="2223">
          <cell r="A2223">
            <v>9153</v>
          </cell>
          <cell r="B2223" t="str">
            <v>Ster Dress Change Tray/20</v>
          </cell>
        </row>
        <row r="2224">
          <cell r="A2224">
            <v>9157</v>
          </cell>
          <cell r="B2224" t="str">
            <v>Ster Debridement Set/20</v>
          </cell>
        </row>
        <row r="2225">
          <cell r="A2225" t="str">
            <v>9157A</v>
          </cell>
          <cell r="B2225" t="str">
            <v>5.5"Mayo Scissor Curved</v>
          </cell>
        </row>
        <row r="2226">
          <cell r="A2226" t="str">
            <v>9157B</v>
          </cell>
          <cell r="B2226" t="str">
            <v>#10 Scalpel</v>
          </cell>
        </row>
        <row r="2227">
          <cell r="A2227" t="str">
            <v>9157C</v>
          </cell>
          <cell r="B2227" t="str">
            <v>5"Thumb Forcep w/1x2Teeth</v>
          </cell>
        </row>
        <row r="2228">
          <cell r="A2228" t="str">
            <v>9157D</v>
          </cell>
          <cell r="B2228" t="str">
            <v>5" THUMB DRESS FORCEP</v>
          </cell>
        </row>
        <row r="2229">
          <cell r="A2229" t="str">
            <v>9185CC</v>
          </cell>
          <cell r="B2229" t="str">
            <v>content card w/b/code</v>
          </cell>
        </row>
        <row r="2230">
          <cell r="A2230" t="str">
            <v>9195CC</v>
          </cell>
          <cell r="B2230" t="str">
            <v>CONTENT CARD W/BAR CODE</v>
          </cell>
        </row>
        <row r="2231">
          <cell r="A2231">
            <v>9262</v>
          </cell>
          <cell r="B2231" t="str">
            <v>#6 003 Lg Cotton Ball</v>
          </cell>
        </row>
        <row r="2232">
          <cell r="A2232">
            <v>9264</v>
          </cell>
          <cell r="B2232" t="str">
            <v>UNPRINTED CARTON</v>
          </cell>
        </row>
        <row r="2233">
          <cell r="A2233">
            <v>9276</v>
          </cell>
          <cell r="B2233" t="str">
            <v>2.75x.5"Butterfly Bandage</v>
          </cell>
        </row>
        <row r="2234">
          <cell r="A2234" t="str">
            <v>9286I</v>
          </cell>
          <cell r="B2234" t="str">
            <v>INSTRUCTION SHEET</v>
          </cell>
        </row>
        <row r="2235">
          <cell r="A2235">
            <v>9297</v>
          </cell>
          <cell r="B2235" t="str">
            <v>1"x18"Micropore Tape</v>
          </cell>
        </row>
        <row r="2236">
          <cell r="A2236">
            <v>9336</v>
          </cell>
          <cell r="B2236" t="str">
            <v>Ster ER Laceration T/20</v>
          </cell>
        </row>
        <row r="2237">
          <cell r="A2237" t="str">
            <v>9336A</v>
          </cell>
          <cell r="B2237" t="str">
            <v>3x3 Zipper Polybag</v>
          </cell>
        </row>
        <row r="2238">
          <cell r="A2238" t="str">
            <v>9336B</v>
          </cell>
          <cell r="B2238" t="str">
            <v>Ster 19 Gaugex1" Needle</v>
          </cell>
        </row>
        <row r="2239">
          <cell r="A2239" t="str">
            <v>9336C</v>
          </cell>
          <cell r="B2239" t="str">
            <v>Ster 27 Gaugex1.25"Needle</v>
          </cell>
        </row>
        <row r="2240">
          <cell r="A2240" t="str">
            <v>9336D</v>
          </cell>
          <cell r="B2240" t="str">
            <v>Ster 25 Gaugex5/8"Needle</v>
          </cell>
        </row>
        <row r="2241">
          <cell r="A2241">
            <v>9346</v>
          </cell>
          <cell r="B2241" t="str">
            <v>2"x54" Durapore Tape</v>
          </cell>
        </row>
        <row r="2242">
          <cell r="A2242" t="str">
            <v>9348A</v>
          </cell>
          <cell r="B2242" t="str">
            <v>Small Pencil</v>
          </cell>
        </row>
        <row r="2243">
          <cell r="A2243" t="str">
            <v>9348B</v>
          </cell>
          <cell r="B2243" t="str">
            <v>5x8"Yellow Lined Pads</v>
          </cell>
        </row>
        <row r="2244">
          <cell r="A2244">
            <v>9350</v>
          </cell>
          <cell r="B2244" t="str">
            <v>Ster Skin Scrub Tray/20</v>
          </cell>
        </row>
        <row r="2245">
          <cell r="A2245">
            <v>9364</v>
          </cell>
          <cell r="B2245" t="str">
            <v>Ster Suture Tray/20</v>
          </cell>
        </row>
        <row r="2246">
          <cell r="A2246" t="str">
            <v>9364CC</v>
          </cell>
          <cell r="B2246" t="str">
            <v>CONTENTCARD/W/BARCODE</v>
          </cell>
        </row>
        <row r="2247">
          <cell r="A2247" t="str">
            <v>9364SL</v>
          </cell>
          <cell r="B2247" t="str">
            <v>OUTER CTN LABEL W/BARCODE</v>
          </cell>
        </row>
        <row r="2248">
          <cell r="A2248" t="str">
            <v>9378A</v>
          </cell>
          <cell r="B2248" t="str">
            <v>Walleted Latex Gloves Pr</v>
          </cell>
        </row>
        <row r="2249">
          <cell r="A2249" t="str">
            <v>9381-1</v>
          </cell>
          <cell r="B2249" t="str">
            <v>3MIL LUER LOCK SYR.L/F</v>
          </cell>
        </row>
        <row r="2250">
          <cell r="A2250">
            <v>9384</v>
          </cell>
          <cell r="B2250" t="str">
            <v>Ster TPN/CVP Dress Chg/20</v>
          </cell>
        </row>
        <row r="2251">
          <cell r="A2251">
            <v>9407</v>
          </cell>
          <cell r="B2251" t="str">
            <v>Ster Dress Change Tray/20</v>
          </cell>
        </row>
        <row r="2252">
          <cell r="A2252">
            <v>9409</v>
          </cell>
          <cell r="B2252" t="str">
            <v>N/S Iso/P/8960/8951/ 20CS</v>
          </cell>
        </row>
        <row r="2253">
          <cell r="A2253" t="str">
            <v>9414-1</v>
          </cell>
          <cell r="B2253" t="str">
            <v>BZK TOWLETTES-NON STERILE</v>
          </cell>
        </row>
        <row r="2254">
          <cell r="A2254">
            <v>9416</v>
          </cell>
          <cell r="B2254" t="str">
            <v>28x46" Plastic Apron</v>
          </cell>
        </row>
        <row r="2255">
          <cell r="A2255" t="str">
            <v>9423SL</v>
          </cell>
          <cell r="B2255" t="str">
            <v>OUTER CTN LABEL W/BARCODE</v>
          </cell>
        </row>
        <row r="2256">
          <cell r="A2256">
            <v>9443</v>
          </cell>
          <cell r="B2256" t="str">
            <v>9" Mauve Emesis Basin</v>
          </cell>
        </row>
        <row r="2257">
          <cell r="A2257">
            <v>9446</v>
          </cell>
          <cell r="B2257" t="str">
            <v>13x15"Tower Tear Bag/vent</v>
          </cell>
        </row>
        <row r="2258">
          <cell r="A2258">
            <v>9448</v>
          </cell>
          <cell r="B2258" t="str">
            <v>N/Ster 60cc Bulb Syringe</v>
          </cell>
        </row>
        <row r="2259">
          <cell r="A2259" t="str">
            <v>9457B</v>
          </cell>
          <cell r="B2259" t="str">
            <v>23 Gauge x 1"Needle</v>
          </cell>
        </row>
        <row r="2260">
          <cell r="A2260" t="str">
            <v>9457C</v>
          </cell>
          <cell r="B2260" t="str">
            <v>Ster 25Gauge x 1.5"Needle</v>
          </cell>
        </row>
        <row r="2261">
          <cell r="A2261" t="str">
            <v>9457D</v>
          </cell>
          <cell r="B2261" t="str">
            <v>5CC Luer Lock Syringe</v>
          </cell>
        </row>
        <row r="2262">
          <cell r="A2262" t="str">
            <v>9457D-1</v>
          </cell>
          <cell r="B2262" t="str">
            <v>STER 5CC L/LOCK SYR L/F</v>
          </cell>
        </row>
        <row r="2263">
          <cell r="A2263">
            <v>9459</v>
          </cell>
          <cell r="B2263" t="str">
            <v>Ster Skin Scrub Tray/30</v>
          </cell>
        </row>
        <row r="2264">
          <cell r="A2264" t="str">
            <v>9459B</v>
          </cell>
          <cell r="B2264" t="str">
            <v>25X25 CSR WRAP WHITE</v>
          </cell>
        </row>
        <row r="2265">
          <cell r="A2265" t="str">
            <v>9459CC</v>
          </cell>
          <cell r="B2265" t="str">
            <v>CONTENT CARD W/BARCODE</v>
          </cell>
        </row>
        <row r="2266">
          <cell r="A2266" t="str">
            <v>9459SL</v>
          </cell>
          <cell r="B2266" t="str">
            <v>OUTER CTN LABEL/W/BARCODE</v>
          </cell>
        </row>
        <row r="2267">
          <cell r="A2267">
            <v>9491</v>
          </cell>
          <cell r="B2267" t="str">
            <v>2"x3"Bioclusive Dressing</v>
          </cell>
        </row>
        <row r="2268">
          <cell r="A2268">
            <v>9493</v>
          </cell>
          <cell r="B2268" t="str">
            <v>Ster IV Start Kit/100</v>
          </cell>
        </row>
        <row r="2269">
          <cell r="A2269">
            <v>9504</v>
          </cell>
          <cell r="B2269" t="str">
            <v>Ster Basic Suture Set/20</v>
          </cell>
        </row>
        <row r="2270">
          <cell r="A2270" t="str">
            <v>9504A</v>
          </cell>
          <cell r="B2270" t="str">
            <v>Ster 25 Gaugex 1.5"Needle</v>
          </cell>
        </row>
        <row r="2271">
          <cell r="A2271">
            <v>9520</v>
          </cell>
          <cell r="B2271" t="str">
            <v>Ster Central Dress Chg/30</v>
          </cell>
        </row>
        <row r="2272">
          <cell r="A2272" t="str">
            <v>9520A</v>
          </cell>
          <cell r="B2272" t="str">
            <v>STER 4INX5IN TELFA I/DRES</v>
          </cell>
        </row>
        <row r="2273">
          <cell r="A2273">
            <v>9526</v>
          </cell>
          <cell r="B2273" t="str">
            <v>Ster Central L/Dress T/50</v>
          </cell>
        </row>
        <row r="2274">
          <cell r="A2274" t="str">
            <v>9526A</v>
          </cell>
          <cell r="B2274" t="str">
            <v>4x4.5Tegaderm Trns Ovl Ds</v>
          </cell>
        </row>
        <row r="2275">
          <cell r="A2275">
            <v>9527</v>
          </cell>
          <cell r="B2275" t="str">
            <v>Ster C/Line Dress Chgk/50</v>
          </cell>
        </row>
        <row r="2276">
          <cell r="A2276" t="str">
            <v>9534A</v>
          </cell>
          <cell r="B2276" t="str">
            <v>4x5.5Opsite 3000 Trnsp Ds</v>
          </cell>
        </row>
        <row r="2277">
          <cell r="A2277" t="str">
            <v>9534B</v>
          </cell>
          <cell r="B2277" t="str">
            <v>1"x1"Drs Chg Lbl Blue Ink</v>
          </cell>
        </row>
        <row r="2278">
          <cell r="A2278">
            <v>9558</v>
          </cell>
          <cell r="B2278" t="str">
            <v>Protex#950363 Shroud/25</v>
          </cell>
        </row>
        <row r="2279">
          <cell r="A2279" t="str">
            <v>9558I</v>
          </cell>
          <cell r="B2279" t="str">
            <v>Protex#950363 Instr. Sht</v>
          </cell>
        </row>
        <row r="2280">
          <cell r="A2280" t="str">
            <v>9558IS</v>
          </cell>
          <cell r="B2280" t="str">
            <v>Instr Sheet for 950363</v>
          </cell>
        </row>
        <row r="2281">
          <cell r="A2281" t="str">
            <v>9558IS-1</v>
          </cell>
          <cell r="B2281" t="str">
            <v>BANTA INST SHEET NO950363</v>
          </cell>
        </row>
        <row r="2282">
          <cell r="A2282" t="str">
            <v>9558S</v>
          </cell>
          <cell r="B2282" t="str">
            <v>Protex#950363 Shipper Lbl</v>
          </cell>
        </row>
        <row r="2283">
          <cell r="A2283" t="str">
            <v>9558SL</v>
          </cell>
          <cell r="B2283" t="str">
            <v>SHIPPER LABEL F/950363</v>
          </cell>
        </row>
        <row r="2284">
          <cell r="A2284" t="str">
            <v>9558SL-1</v>
          </cell>
          <cell r="B2284" t="str">
            <v>BANTA S/LABEL NO/950363</v>
          </cell>
        </row>
        <row r="2285">
          <cell r="A2285">
            <v>9560</v>
          </cell>
          <cell r="B2285" t="str">
            <v>Protex#950371 XL Shrd/10</v>
          </cell>
        </row>
        <row r="2286">
          <cell r="A2286" t="str">
            <v>9560I</v>
          </cell>
          <cell r="B2286" t="str">
            <v>Protex#950371 Instr. Lbl</v>
          </cell>
        </row>
        <row r="2287">
          <cell r="A2287" t="str">
            <v>9560IS</v>
          </cell>
          <cell r="B2287" t="str">
            <v>Instr Sheet for 950371</v>
          </cell>
        </row>
        <row r="2288">
          <cell r="A2288" t="str">
            <v>9560IS-1</v>
          </cell>
          <cell r="B2288" t="str">
            <v>BANTA INST SHEET/950371</v>
          </cell>
        </row>
        <row r="2289">
          <cell r="A2289" t="str">
            <v>9560S</v>
          </cell>
          <cell r="B2289" t="str">
            <v>Protex#950371 Shipper Lbl</v>
          </cell>
        </row>
        <row r="2290">
          <cell r="A2290" t="str">
            <v>9560SL</v>
          </cell>
          <cell r="B2290" t="str">
            <v>Shipper Label for 950371</v>
          </cell>
        </row>
        <row r="2291">
          <cell r="A2291" t="str">
            <v>9560SL-1</v>
          </cell>
          <cell r="B2291" t="str">
            <v>BANTA S/LABEL NO950371</v>
          </cell>
        </row>
        <row r="2292">
          <cell r="A2292">
            <v>9562</v>
          </cell>
          <cell r="B2292" t="str">
            <v>Ster P.I.C.C Tray/30</v>
          </cell>
        </row>
        <row r="2293">
          <cell r="A2293" t="str">
            <v>9562A</v>
          </cell>
          <cell r="B2293" t="str">
            <v>Adhesive Label PICC Green</v>
          </cell>
        </row>
        <row r="2294">
          <cell r="A2294" t="str">
            <v>9562B</v>
          </cell>
          <cell r="B2294" t="str">
            <v>.5"x4"Micro/S/Cls/3/crd</v>
          </cell>
        </row>
        <row r="2295">
          <cell r="A2295">
            <v>9567</v>
          </cell>
          <cell r="B2295" t="str">
            <v>1.75"x1.75"Tegaderm Drs/T</v>
          </cell>
        </row>
        <row r="2296">
          <cell r="A2296">
            <v>9588</v>
          </cell>
          <cell r="B2296" t="str">
            <v>Ster ER Laceration T/20</v>
          </cell>
        </row>
        <row r="2297">
          <cell r="A2297" t="str">
            <v>9588A</v>
          </cell>
          <cell r="B2297" t="str">
            <v>10"x8" Styrofoam Tray(8s)</v>
          </cell>
        </row>
        <row r="2298">
          <cell r="A2298" t="str">
            <v>9588C</v>
          </cell>
          <cell r="B2298" t="str">
            <v>N/Ster20 Gauge x1" Needle</v>
          </cell>
        </row>
        <row r="2299">
          <cell r="A2299">
            <v>9601</v>
          </cell>
          <cell r="B2299" t="str">
            <v>2x2 Micropad Split Dress</v>
          </cell>
        </row>
        <row r="2300">
          <cell r="A2300">
            <v>9602</v>
          </cell>
          <cell r="B2300" t="str">
            <v>3x3 Micropad Split Dress</v>
          </cell>
        </row>
        <row r="2301">
          <cell r="A2301">
            <v>9603</v>
          </cell>
          <cell r="B2301" t="str">
            <v>5"x6"Durapore Tape</v>
          </cell>
        </row>
        <row r="2302">
          <cell r="A2302">
            <v>9616</v>
          </cell>
          <cell r="B2302" t="str">
            <v>BD#303005 18Gx1.5"Needle</v>
          </cell>
        </row>
        <row r="2303">
          <cell r="A2303">
            <v>9627</v>
          </cell>
          <cell r="B2303" t="str">
            <v>Nu Gauze 4"x4" Sponge</v>
          </cell>
        </row>
        <row r="2304">
          <cell r="A2304" t="str">
            <v>9627-2</v>
          </cell>
          <cell r="B2304" t="str">
            <v>4'X4" N/WOVEN DRESSING</v>
          </cell>
        </row>
        <row r="2305">
          <cell r="A2305" t="str">
            <v>9628B</v>
          </cell>
          <cell r="B2305" t="str">
            <v>6"Rayon Tippd Appl Plas/S</v>
          </cell>
        </row>
        <row r="2306">
          <cell r="A2306" t="str">
            <v>9628C</v>
          </cell>
          <cell r="B2306" t="str">
            <v>24" Tape M/W/CM IN 10th</v>
          </cell>
        </row>
        <row r="2307">
          <cell r="A2307" t="str">
            <v>9628D</v>
          </cell>
          <cell r="B2307" t="str">
            <v>10x8x20 Wht Gusseted P/Bg</v>
          </cell>
        </row>
        <row r="2308">
          <cell r="A2308">
            <v>9677</v>
          </cell>
          <cell r="B2308" t="str">
            <v>3"x5yd Conforming Gauze</v>
          </cell>
        </row>
        <row r="2309">
          <cell r="A2309">
            <v>9706</v>
          </cell>
          <cell r="B2309" t="str">
            <v>Twill Tape .5"x36"</v>
          </cell>
        </row>
        <row r="2310">
          <cell r="A2310">
            <v>9714</v>
          </cell>
          <cell r="B2310" t="str">
            <v>Ster Trach Set/20</v>
          </cell>
        </row>
        <row r="2311">
          <cell r="A2311" t="str">
            <v>9714SL</v>
          </cell>
          <cell r="B2311" t="str">
            <v>OUTER CTN LABEL W/BARCODE</v>
          </cell>
        </row>
        <row r="2312">
          <cell r="A2312">
            <v>9732</v>
          </cell>
          <cell r="B2312" t="str">
            <v>20cc L/Lock Syringe</v>
          </cell>
        </row>
        <row r="2313">
          <cell r="A2313" t="str">
            <v>9732-1</v>
          </cell>
          <cell r="B2313" t="str">
            <v>20CC L/LOCK SYRINGE L/F</v>
          </cell>
        </row>
        <row r="2314">
          <cell r="A2314" t="str">
            <v>9757SL</v>
          </cell>
          <cell r="B2314" t="str">
            <v>SHIPPER LABEL W/BAR CODE</v>
          </cell>
        </row>
        <row r="2315">
          <cell r="A2315">
            <v>9767</v>
          </cell>
          <cell r="B2315" t="str">
            <v>Ster Dress Change Tray/20</v>
          </cell>
        </row>
        <row r="2316">
          <cell r="A2316" t="str">
            <v>9767A</v>
          </cell>
          <cell r="B2316" t="str">
            <v>P/F VINYL GLOVES/MED</v>
          </cell>
        </row>
        <row r="2317">
          <cell r="A2317">
            <v>9843</v>
          </cell>
          <cell r="B2317" t="str">
            <v>5.5"Sharp/Blunt Scissors</v>
          </cell>
        </row>
        <row r="2318">
          <cell r="A2318">
            <v>9846</v>
          </cell>
          <cell r="B2318" t="str">
            <v>5"Kelly Forceps Straight</v>
          </cell>
        </row>
        <row r="2319">
          <cell r="A2319">
            <v>9851</v>
          </cell>
          <cell r="B2319" t="str">
            <v>Blue Cotton O.R Towel</v>
          </cell>
        </row>
        <row r="2320">
          <cell r="A2320">
            <v>9861</v>
          </cell>
          <cell r="B2320" t="str">
            <v>Blue Cotton O.R Fen Drape</v>
          </cell>
        </row>
        <row r="2321">
          <cell r="A2321">
            <v>9863</v>
          </cell>
          <cell r="B2321" t="str">
            <v>Ster 27 Gaugex.5"Needle</v>
          </cell>
        </row>
        <row r="2322">
          <cell r="A2322">
            <v>9940</v>
          </cell>
          <cell r="B2322" t="str">
            <v>7.5" Round Wrap/1000</v>
          </cell>
        </row>
        <row r="2323">
          <cell r="A2323">
            <v>9961</v>
          </cell>
          <cell r="B2323" t="str">
            <v>10x8x20 Clr Gusseted P/Bg</v>
          </cell>
        </row>
        <row r="2324">
          <cell r="A2324">
            <v>9986</v>
          </cell>
          <cell r="B2324" t="str">
            <v>#07054431B Adult Veni-Grd</v>
          </cell>
        </row>
        <row r="2325">
          <cell r="A2325" t="str">
            <v>9995S</v>
          </cell>
          <cell r="B2325" t="str">
            <v>UNPRINTED SHIPPER CTN/995</v>
          </cell>
        </row>
        <row r="2326">
          <cell r="A2326">
            <v>71021</v>
          </cell>
          <cell r="B2326" t="str">
            <v>One Comp Tray</v>
          </cell>
        </row>
        <row r="2327">
          <cell r="A2327">
            <v>71022</v>
          </cell>
          <cell r="B2327" t="str">
            <v>Two Comp Tray</v>
          </cell>
        </row>
        <row r="2328">
          <cell r="A2328">
            <v>71023</v>
          </cell>
          <cell r="B2328" t="str">
            <v>Three Comp Tray</v>
          </cell>
        </row>
        <row r="2329">
          <cell r="A2329" t="str">
            <v>B340MB</v>
          </cell>
          <cell r="B2329" t="str">
            <v>Shoecovers to be Labeled</v>
          </cell>
        </row>
        <row r="2330">
          <cell r="A2330" t="str">
            <v>B348MB</v>
          </cell>
          <cell r="B2330" t="str">
            <v>Sur-Step S/cvr to be lbld</v>
          </cell>
        </row>
        <row r="2331">
          <cell r="A2331" t="str">
            <v>B3461B</v>
          </cell>
          <cell r="B2331" t="str">
            <v>1pr Shoecover Non-Skid</v>
          </cell>
        </row>
        <row r="2332">
          <cell r="A2332" t="str">
            <v>LF4606CL</v>
          </cell>
          <cell r="B2332" t="str">
            <v>HANDLE WITH CARE LABEL</v>
          </cell>
        </row>
        <row r="2333">
          <cell r="A2333" t="str">
            <v>LF4606SL</v>
          </cell>
          <cell r="B2333" t="str">
            <v>SHIPPER LABEL</v>
          </cell>
        </row>
        <row r="2334">
          <cell r="A2334" t="str">
            <v>LF7590SL</v>
          </cell>
          <cell r="B2334" t="str">
            <v>SMALL SHIPPER LABEL</v>
          </cell>
        </row>
        <row r="2335">
          <cell r="A2335" t="str">
            <v>R723</v>
          </cell>
          <cell r="B2335" t="str">
            <v>STER SUTURE REMOVAL</v>
          </cell>
        </row>
        <row r="2336">
          <cell r="A2336" t="str">
            <v>R724</v>
          </cell>
          <cell r="B2336" t="str">
            <v>STER SUTURE REMOVAL/50</v>
          </cell>
        </row>
        <row r="2337">
          <cell r="A2337" t="str">
            <v>R726</v>
          </cell>
          <cell r="B2337" t="str">
            <v>STER SUTURE REMOVAL/50CS</v>
          </cell>
        </row>
        <row r="2338">
          <cell r="A2338" t="str">
            <v>R729</v>
          </cell>
          <cell r="B2338" t="str">
            <v>STER SUTURE REMOVAL 50/CS</v>
          </cell>
        </row>
        <row r="2339">
          <cell r="A2339" t="str">
            <v>R744</v>
          </cell>
          <cell r="B2339" t="str">
            <v>STER DEBRIDEMENT TRAY/50</v>
          </cell>
        </row>
        <row r="2340">
          <cell r="A2340" t="str">
            <v>R752</v>
          </cell>
          <cell r="B2340" t="str">
            <v>STER INSTRUMENT TRAY/20CS</v>
          </cell>
        </row>
        <row r="2341">
          <cell r="A2341" t="str">
            <v>R753</v>
          </cell>
          <cell r="B2341" t="str">
            <v>STER INSTRUMENT TRAY/20CS</v>
          </cell>
        </row>
        <row r="2342">
          <cell r="A2342" t="str">
            <v>R754</v>
          </cell>
          <cell r="B2342" t="str">
            <v>STER INSTRUMENT TRAY/20CS</v>
          </cell>
        </row>
        <row r="2343">
          <cell r="A2343" t="str">
            <v>R755</v>
          </cell>
          <cell r="B2343" t="str">
            <v>STER INSTRUMENT TRAY 20CS</v>
          </cell>
        </row>
        <row r="2344">
          <cell r="A2344" t="str">
            <v>R756</v>
          </cell>
          <cell r="B2344" t="str">
            <v>STER INSTRUMENT TRAY 20CS</v>
          </cell>
        </row>
        <row r="2345">
          <cell r="A2345" t="str">
            <v>R757</v>
          </cell>
          <cell r="B2345" t="str">
            <v>STER INSTRUMENT TRAY 20CS</v>
          </cell>
        </row>
        <row r="2346">
          <cell r="A2346" t="str">
            <v>R758</v>
          </cell>
          <cell r="B2346" t="str">
            <v>STER INSTRUMENT TRAY 20CS</v>
          </cell>
        </row>
        <row r="2347">
          <cell r="A2347" t="str">
            <v>R759</v>
          </cell>
          <cell r="B2347" t="str">
            <v>STER DRESS CHG TRAY /20CS</v>
          </cell>
        </row>
        <row r="2348">
          <cell r="A2348" t="str">
            <v>R760</v>
          </cell>
          <cell r="B2348" t="str">
            <v>STER DRESS CHG TRAY 20/CS</v>
          </cell>
        </row>
        <row r="2349">
          <cell r="A2349" t="str">
            <v>R761</v>
          </cell>
          <cell r="B2349" t="str">
            <v>STER DRESS CHG TRAY 20CS</v>
          </cell>
        </row>
        <row r="2350">
          <cell r="A2350" t="str">
            <v>R820</v>
          </cell>
          <cell r="B2350" t="str">
            <v>STER I V START KIT 50/CS</v>
          </cell>
        </row>
        <row r="2351">
          <cell r="A2351" t="str">
            <v>R821</v>
          </cell>
          <cell r="B2351" t="str">
            <v>STER I V START KIT 50/CS</v>
          </cell>
        </row>
        <row r="2352">
          <cell r="A2352" t="str">
            <v>R825</v>
          </cell>
          <cell r="B2352" t="str">
            <v>STER DRESS CHG TRAY 30/CS</v>
          </cell>
        </row>
        <row r="2353">
          <cell r="A2353" t="str">
            <v>R827</v>
          </cell>
          <cell r="B2353" t="str">
            <v>STER DRESS CHG TRAY 30CS</v>
          </cell>
        </row>
        <row r="2354">
          <cell r="A2354" t="str">
            <v>R828</v>
          </cell>
          <cell r="B2354" t="str">
            <v>STER DRESS CHG TRAY 30/CS</v>
          </cell>
        </row>
        <row r="2355">
          <cell r="A2355" t="str">
            <v>R829</v>
          </cell>
          <cell r="B2355" t="str">
            <v>STER DRESS CHG TRAY 30/CS</v>
          </cell>
        </row>
        <row r="2356">
          <cell r="A2356" t="str">
            <v>R1443</v>
          </cell>
          <cell r="B2356" t="str">
            <v>STER DRESS CHANGE TY/20CS</v>
          </cell>
        </row>
        <row r="2357">
          <cell r="A2357" t="str">
            <v>R1792</v>
          </cell>
          <cell r="B2357" t="str">
            <v>STER DRESS CHG TRAY 20/CS</v>
          </cell>
        </row>
        <row r="2358">
          <cell r="A2358" t="str">
            <v>R1846</v>
          </cell>
          <cell r="B2358" t="str">
            <v>STER DRESS CHG TRAY 30/CS</v>
          </cell>
        </row>
        <row r="2359">
          <cell r="A2359" t="str">
            <v>R2008</v>
          </cell>
          <cell r="B2359" t="str">
            <v>STERILE C/LINE TRAY/30</v>
          </cell>
        </row>
        <row r="2360">
          <cell r="A2360" t="str">
            <v>R2026</v>
          </cell>
          <cell r="B2360" t="str">
            <v>STER GM 25-2026 DRS/T/20C</v>
          </cell>
        </row>
        <row r="2361">
          <cell r="A2361" t="str">
            <v>R3444</v>
          </cell>
          <cell r="B2361" t="str">
            <v>STERILE INSTRUMENT T/20CS</v>
          </cell>
        </row>
        <row r="2362">
          <cell r="A2362" t="str">
            <v>R3666</v>
          </cell>
          <cell r="B2362" t="str">
            <v>STER DRESS CHG TRAY/50CS</v>
          </cell>
        </row>
        <row r="2363">
          <cell r="A2363" t="str">
            <v>R3667</v>
          </cell>
          <cell r="B2363" t="str">
            <v>STER FISTULA ON /OF /T20C</v>
          </cell>
        </row>
        <row r="2364">
          <cell r="A2364" t="str">
            <v>R3952</v>
          </cell>
          <cell r="B2364" t="str">
            <v>STER DRESS CHG TRAY/30</v>
          </cell>
        </row>
        <row r="2365">
          <cell r="A2365" t="str">
            <v>R5491</v>
          </cell>
          <cell r="B2365" t="str">
            <v>STER TPN/CVP TRAY 20CS</v>
          </cell>
        </row>
        <row r="2366">
          <cell r="A2366" t="str">
            <v>R5812</v>
          </cell>
          <cell r="B2366" t="str">
            <v>STER DRESS CHG T/20/CS</v>
          </cell>
        </row>
        <row r="2367">
          <cell r="A2367" t="str">
            <v>R5842</v>
          </cell>
          <cell r="B2367" t="str">
            <v>STER GM 25-5842 IV KIT 50</v>
          </cell>
        </row>
        <row r="2368">
          <cell r="A2368" t="str">
            <v>R5846</v>
          </cell>
          <cell r="B2368" t="str">
            <v>STER GM 25-5846 IV KIT/50</v>
          </cell>
        </row>
        <row r="2369">
          <cell r="A2369" t="str">
            <v>R5862</v>
          </cell>
          <cell r="B2369" t="str">
            <v>STER GM 25-5862 IV KIT/50</v>
          </cell>
        </row>
        <row r="2370">
          <cell r="A2370" t="str">
            <v>R5868</v>
          </cell>
          <cell r="B2370" t="str">
            <v>STER GM 25-5868 IV KIT/50</v>
          </cell>
        </row>
        <row r="2371">
          <cell r="A2371" t="str">
            <v>R5872</v>
          </cell>
          <cell r="B2371" t="str">
            <v>STER GM 25-5872IV KIT/50</v>
          </cell>
        </row>
        <row r="2372">
          <cell r="A2372" t="str">
            <v>R5880</v>
          </cell>
          <cell r="B2372" t="str">
            <v>STER DRESS CHG TRAY/50</v>
          </cell>
        </row>
        <row r="2373">
          <cell r="A2373" t="str">
            <v>R5890</v>
          </cell>
          <cell r="B2373" t="str">
            <v>STER GM 25-5890 IV KIT/50</v>
          </cell>
        </row>
        <row r="2374">
          <cell r="A2374" t="str">
            <v>R6148</v>
          </cell>
          <cell r="B2374" t="str">
            <v>STER DRESS CHG TRAY 20CS</v>
          </cell>
        </row>
        <row r="2375">
          <cell r="A2375" t="str">
            <v>R6154</v>
          </cell>
          <cell r="B2375" t="str">
            <v>N/S COMM DISEASE TRAY/10C</v>
          </cell>
        </row>
        <row r="2376">
          <cell r="A2376" t="str">
            <v>R6292</v>
          </cell>
          <cell r="B2376" t="str">
            <v>STER DRESS CHG TRAY/30CS</v>
          </cell>
        </row>
        <row r="2377">
          <cell r="A2377" t="str">
            <v>R8042</v>
          </cell>
          <cell r="B2377" t="str">
            <v>STER CVP/TNP DRESS TRAY20</v>
          </cell>
        </row>
        <row r="2378">
          <cell r="A2378" t="str">
            <v>R8088</v>
          </cell>
          <cell r="B2378" t="str">
            <v>N/STER DIALYSIS TRAY/20</v>
          </cell>
        </row>
        <row r="2379">
          <cell r="A2379" t="str">
            <v>R8179</v>
          </cell>
          <cell r="B2379" t="str">
            <v>N/S ARTERIAL BLOOD T/20CS</v>
          </cell>
        </row>
        <row r="2380">
          <cell r="A2380" t="str">
            <v>R8181</v>
          </cell>
          <cell r="B2380" t="str">
            <v>STER IV START KIT/50</v>
          </cell>
        </row>
        <row r="2381">
          <cell r="A2381" t="str">
            <v>R8186</v>
          </cell>
          <cell r="B2381" t="str">
            <v>STER SUBCLAVIA ON/OFF/T20</v>
          </cell>
        </row>
        <row r="2382">
          <cell r="A2382" t="str">
            <v>R8198</v>
          </cell>
          <cell r="B2382" t="str">
            <v>STER C/LINE DRESS CHG/20</v>
          </cell>
        </row>
        <row r="2383">
          <cell r="A2383" t="str">
            <v>R9113</v>
          </cell>
          <cell r="B2383" t="str">
            <v>SUTURE REMOVAL KIT/50/CS</v>
          </cell>
        </row>
        <row r="2384">
          <cell r="A2384" t="str">
            <v>R9120</v>
          </cell>
          <cell r="B2384" t="str">
            <v>STER DRESS CHG TRAY/20</v>
          </cell>
        </row>
        <row r="2385">
          <cell r="A2385" t="str">
            <v>R9384</v>
          </cell>
          <cell r="B2385" t="str">
            <v>STER DRESS CHG TRAY/20</v>
          </cell>
        </row>
        <row r="2386">
          <cell r="A2386" t="str">
            <v>R9520</v>
          </cell>
          <cell r="B2386" t="str">
            <v>STER C/LINE DRESS CHG T30</v>
          </cell>
        </row>
        <row r="2387">
          <cell r="A2387" t="str">
            <v>R9562</v>
          </cell>
          <cell r="B2387" t="str">
            <v>STER PICC/TRAY</v>
          </cell>
        </row>
        <row r="2388">
          <cell r="A2388" t="str">
            <v>R9767</v>
          </cell>
          <cell r="B2388" t="str">
            <v>STER DRESS CHG TRAY/20CS</v>
          </cell>
        </row>
        <row r="2389">
          <cell r="A2389" t="str">
            <v>TCS-CAT-6</v>
          </cell>
          <cell r="B2389" t="str">
            <v>STER TRACH CAT KIT</v>
          </cell>
        </row>
        <row r="2390">
          <cell r="A2390" t="str">
            <v>W150</v>
          </cell>
          <cell r="B2390" t="str">
            <v>SUB ASSEM Ster 1/2"Tubing</v>
          </cell>
        </row>
        <row r="2391">
          <cell r="A2391" t="str">
            <v>W151</v>
          </cell>
          <cell r="B2391" t="str">
            <v>SUB ASSEM Ster 1/2"Tubing</v>
          </cell>
        </row>
        <row r="2392">
          <cell r="A2392" t="str">
            <v>W153</v>
          </cell>
          <cell r="B2392" t="str">
            <v>SUB ASSEM Ster 3/8"Tubing</v>
          </cell>
        </row>
        <row r="2393">
          <cell r="A2393" t="str">
            <v>W291</v>
          </cell>
          <cell r="B2393" t="str">
            <v>SUB ASSEM Ster Poole Suct</v>
          </cell>
        </row>
        <row r="2394">
          <cell r="A2394" t="str">
            <v>W302</v>
          </cell>
          <cell r="B2394" t="str">
            <v>SUB ASSEM Ster Yank/w/o v</v>
          </cell>
        </row>
        <row r="2395">
          <cell r="A2395" t="str">
            <v>W303</v>
          </cell>
          <cell r="B2395" t="str">
            <v>SUB ASSEM Ster Yank/w/vnt</v>
          </cell>
        </row>
        <row r="2396">
          <cell r="A2396" t="str">
            <v>W305</v>
          </cell>
          <cell r="B2396" t="str">
            <v>SUB ASSEM Ster Yank w/o v</v>
          </cell>
        </row>
        <row r="2397">
          <cell r="A2397" t="str">
            <v>W405</v>
          </cell>
          <cell r="B2397" t="str">
            <v>SUB ASSEM Ster 40cc Muc T</v>
          </cell>
        </row>
        <row r="2398">
          <cell r="A2398" t="str">
            <v>W406</v>
          </cell>
          <cell r="B2398" t="str">
            <v>SUB ASSEM Ster 40cc Mucus</v>
          </cell>
        </row>
        <row r="2399">
          <cell r="A2399" t="str">
            <v>W407</v>
          </cell>
          <cell r="B2399" t="str">
            <v>SUB ASSEM Ster 80cc Mucus</v>
          </cell>
        </row>
        <row r="2400">
          <cell r="A2400" t="str">
            <v>W825</v>
          </cell>
          <cell r="B2400" t="str">
            <v>SUB ASSEM Ster TPN/CVP Tr</v>
          </cell>
        </row>
        <row r="2401">
          <cell r="A2401" t="str">
            <v>W827</v>
          </cell>
          <cell r="B2401" t="str">
            <v>SUB ASSEM Ster TPN/CVP Tr</v>
          </cell>
        </row>
        <row r="2402">
          <cell r="A2402" t="str">
            <v>W828</v>
          </cell>
          <cell r="B2402" t="str">
            <v>SUB ASSEM Ster TPN/CVP Tr</v>
          </cell>
        </row>
        <row r="2403">
          <cell r="A2403" t="str">
            <v>W829</v>
          </cell>
          <cell r="B2403" t="str">
            <v>SUB ASSEM Ster TPN/CVP Tr</v>
          </cell>
        </row>
        <row r="2404">
          <cell r="A2404" t="str">
            <v>W830</v>
          </cell>
          <cell r="B2404" t="str">
            <v>SUB ASSEM Ster TPN/CVP Tr</v>
          </cell>
        </row>
        <row r="2405">
          <cell r="A2405" t="str">
            <v>W1533</v>
          </cell>
          <cell r="B2405" t="str">
            <v>SUB ASSEM Ster 3/8"X6'Tub</v>
          </cell>
        </row>
        <row r="2406">
          <cell r="A2406" t="str">
            <v>W1535</v>
          </cell>
          <cell r="B2406" t="str">
            <v>SUB ASSEM Ster 3/8"X 8"</v>
          </cell>
        </row>
        <row r="2407">
          <cell r="A2407" t="str">
            <v>W1539</v>
          </cell>
          <cell r="B2407" t="str">
            <v>SUB ASSEM Ster 8'3/8" Tub</v>
          </cell>
        </row>
        <row r="2408">
          <cell r="A2408" t="str">
            <v>W1540</v>
          </cell>
          <cell r="B2408" t="str">
            <v>SUB ASSEM Ster 10'X3/8"Tb</v>
          </cell>
        </row>
        <row r="2409">
          <cell r="A2409" t="str">
            <v>W1549</v>
          </cell>
          <cell r="B2409" t="str">
            <v>SUB ASSEM Ster 10' Tubing</v>
          </cell>
        </row>
        <row r="2410">
          <cell r="A2410" t="str">
            <v>W1678</v>
          </cell>
          <cell r="B2410" t="str">
            <v>SUB ASSEM Ster Inst. Tray</v>
          </cell>
        </row>
        <row r="2411">
          <cell r="A2411" t="str">
            <v>W2008</v>
          </cell>
          <cell r="B2411" t="str">
            <v>SUB ASSEM Ster Cntrl Line</v>
          </cell>
        </row>
        <row r="2412">
          <cell r="A2412" t="str">
            <v>W2026</v>
          </cell>
          <cell r="B2412" t="str">
            <v>SUB ASSEM Ster GM25-2026</v>
          </cell>
        </row>
        <row r="2413">
          <cell r="A2413" t="str">
            <v>W2200</v>
          </cell>
          <cell r="B2413" t="str">
            <v>Sub Assem St/CVC ChgTy/20</v>
          </cell>
        </row>
        <row r="2414">
          <cell r="A2414" t="str">
            <v>W2220</v>
          </cell>
          <cell r="B2414" t="str">
            <v>SUB ASSEM Ster Dress Chg</v>
          </cell>
        </row>
        <row r="2415">
          <cell r="A2415" t="str">
            <v>W2238</v>
          </cell>
          <cell r="B2415" t="str">
            <v>SUBASSEMBLY DRESS CHG TY</v>
          </cell>
        </row>
        <row r="2416">
          <cell r="A2416" t="str">
            <v>W2914</v>
          </cell>
          <cell r="B2416" t="str">
            <v>SUB ASSEM Ster P/W/T/ALLE</v>
          </cell>
        </row>
        <row r="2417">
          <cell r="A2417" t="str">
            <v>W3005</v>
          </cell>
          <cell r="B2417" t="str">
            <v>SUB ASSEM Ster Central L/</v>
          </cell>
        </row>
        <row r="2418">
          <cell r="A2418" t="str">
            <v>W3220</v>
          </cell>
          <cell r="B2418" t="str">
            <v>SUB ASSEM Ster Minor Pak</v>
          </cell>
        </row>
        <row r="2419">
          <cell r="A2419" t="str">
            <v>W3663</v>
          </cell>
          <cell r="B2419" t="str">
            <v>SUB ASSEM Ster DRSS CHNGE</v>
          </cell>
        </row>
        <row r="2420">
          <cell r="A2420" t="str">
            <v>W3952</v>
          </cell>
          <cell r="B2420" t="str">
            <v>SUB ASSEM Ster TNP/CVP Dr</v>
          </cell>
        </row>
        <row r="2421">
          <cell r="A2421" t="str">
            <v>W4067</v>
          </cell>
          <cell r="B2421" t="str">
            <v>SUB ASSEM Ster SpTrapC302</v>
          </cell>
        </row>
        <row r="2422">
          <cell r="A2422" t="str">
            <v>W5838</v>
          </cell>
          <cell r="B2422" t="str">
            <v>SUB ASSEM Ster Gen Ins. T</v>
          </cell>
        </row>
        <row r="2423">
          <cell r="A2423" t="str">
            <v>W5888</v>
          </cell>
          <cell r="B2423" t="str">
            <v>SUB ASSEM Ster Gen Inst T</v>
          </cell>
        </row>
        <row r="2424">
          <cell r="A2424" t="str">
            <v>W8088</v>
          </cell>
          <cell r="B2424" t="str">
            <v>N/SUB ASSEM Ster Daily/On</v>
          </cell>
        </row>
        <row r="2425">
          <cell r="A2425" t="str">
            <v>W8131</v>
          </cell>
          <cell r="B2425" t="str">
            <v>SUB ASSEM Ster C/Line D/C</v>
          </cell>
        </row>
        <row r="2426">
          <cell r="A2426" t="str">
            <v>W8198</v>
          </cell>
          <cell r="B2426" t="str">
            <v>SUB ASSEM Ster C/Line Drs</v>
          </cell>
        </row>
        <row r="2427">
          <cell r="A2427" t="str">
            <v>W8242</v>
          </cell>
          <cell r="B2427" t="str">
            <v>SUB ASSEM Ster Gen/P/Drs</v>
          </cell>
        </row>
        <row r="2428">
          <cell r="A2428" t="str">
            <v>W8361</v>
          </cell>
          <cell r="B2428" t="str">
            <v>SUB ASSEM DRESS CHG TRAY</v>
          </cell>
        </row>
        <row r="2429">
          <cell r="A2429" t="str">
            <v>W8705</v>
          </cell>
          <cell r="B2429" t="str">
            <v>SUB ASSEM PORT ACCESS TY</v>
          </cell>
        </row>
        <row r="2430">
          <cell r="A2430" t="str">
            <v>W8765</v>
          </cell>
          <cell r="B2430" t="str">
            <v>SUB ASSEM ST C/LN DR CH T</v>
          </cell>
        </row>
        <row r="2431">
          <cell r="A2431" t="str">
            <v>W8777</v>
          </cell>
          <cell r="B2431" t="str">
            <v>ASSEM INSICION /DRAIN/TY</v>
          </cell>
        </row>
        <row r="2432">
          <cell r="A2432" t="str">
            <v>W8793</v>
          </cell>
          <cell r="B2432" t="str">
            <v>ASSEM TPN DRESS CHG TRAY</v>
          </cell>
        </row>
        <row r="2433">
          <cell r="A2433" t="str">
            <v>W8958</v>
          </cell>
          <cell r="B2433" t="str">
            <v>SUB ASSEM Ster C/Line Rem</v>
          </cell>
        </row>
        <row r="2434">
          <cell r="A2434" t="str">
            <v>W9705</v>
          </cell>
          <cell r="B2434" t="str">
            <v>SUB ASSEM PORT ACCESS TY</v>
          </cell>
        </row>
        <row r="2436">
          <cell r="A2436" t="str">
            <v>End of Repo</v>
          </cell>
          <cell r="B2436" t="str">
            <v>rt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LABEL ENV"/>
      <sheetName val="Release Sheet"/>
      <sheetName val="Sterilization Record Review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Release Sheet New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/>
      <sheetData sheetId="1">
        <row r="1">
          <cell r="A1" t="str">
            <v>0310140</v>
          </cell>
          <cell r="B1">
            <v>829</v>
          </cell>
          <cell r="C1">
            <v>160</v>
          </cell>
          <cell r="D1" t="str">
            <v>Ster TPN/CVP Tray/30</v>
          </cell>
          <cell r="E1" t="str">
            <v>INSP</v>
          </cell>
          <cell r="F1" t="str">
            <v>B22594</v>
          </cell>
          <cell r="G1">
            <v>37817</v>
          </cell>
        </row>
        <row r="2">
          <cell r="A2" t="str">
            <v>0310142</v>
          </cell>
          <cell r="B2">
            <v>8705</v>
          </cell>
          <cell r="C2">
            <v>12</v>
          </cell>
          <cell r="D2" t="str">
            <v>Ster Port Access Tray/30c</v>
          </cell>
          <cell r="E2" t="str">
            <v>INSP</v>
          </cell>
        </row>
        <row r="3">
          <cell r="A3" t="str">
            <v>0310144</v>
          </cell>
          <cell r="B3">
            <v>835</v>
          </cell>
          <cell r="C3">
            <v>40</v>
          </cell>
          <cell r="D3" t="str">
            <v>Ster C/Line Dress Chg.T30</v>
          </cell>
          <cell r="E3" t="str">
            <v>INSP</v>
          </cell>
          <cell r="F3" t="str">
            <v>B22592</v>
          </cell>
          <cell r="G3">
            <v>37812</v>
          </cell>
        </row>
        <row r="4">
          <cell r="A4" t="str">
            <v>0310147</v>
          </cell>
          <cell r="B4">
            <v>1711</v>
          </cell>
          <cell r="C4">
            <v>75</v>
          </cell>
          <cell r="D4" t="str">
            <v>Ster Dress Change Tray/20</v>
          </cell>
          <cell r="E4" t="str">
            <v>INSP</v>
          </cell>
          <cell r="F4" t="str">
            <v>B22596</v>
          </cell>
          <cell r="G4">
            <v>37818</v>
          </cell>
        </row>
        <row r="5">
          <cell r="A5" t="str">
            <v>0310148</v>
          </cell>
          <cell r="B5">
            <v>4370</v>
          </cell>
          <cell r="C5">
            <v>15</v>
          </cell>
          <cell r="D5" t="str">
            <v>SterC/Line Dress Chg T/30</v>
          </cell>
          <cell r="E5" t="str">
            <v>INSP</v>
          </cell>
        </row>
        <row r="6">
          <cell r="A6" t="str">
            <v>0310149</v>
          </cell>
          <cell r="B6">
            <v>4450</v>
          </cell>
          <cell r="C6">
            <v>70</v>
          </cell>
          <cell r="D6" t="str">
            <v>Ster. Dress Change Ty 30c</v>
          </cell>
          <cell r="E6" t="str">
            <v>INSP</v>
          </cell>
        </row>
        <row r="7">
          <cell r="A7" t="str">
            <v>0310150</v>
          </cell>
          <cell r="B7">
            <v>714</v>
          </cell>
          <cell r="C7">
            <v>45</v>
          </cell>
          <cell r="D7" t="str">
            <v>Ster Trach Set/20</v>
          </cell>
          <cell r="E7" t="str">
            <v>INSP</v>
          </cell>
        </row>
        <row r="8">
          <cell r="A8" t="str">
            <v>0310151</v>
          </cell>
          <cell r="B8">
            <v>799</v>
          </cell>
          <cell r="C8">
            <v>180</v>
          </cell>
          <cell r="D8" t="str">
            <v>Ster Trach Set/20</v>
          </cell>
          <cell r="E8" t="str">
            <v>INSP</v>
          </cell>
          <cell r="F8" t="str">
            <v>B22611</v>
          </cell>
          <cell r="G8">
            <v>37818</v>
          </cell>
        </row>
        <row r="9">
          <cell r="A9" t="str">
            <v>0310152</v>
          </cell>
          <cell r="B9">
            <v>835</v>
          </cell>
          <cell r="C9">
            <v>20</v>
          </cell>
          <cell r="D9" t="str">
            <v>Ster C/Line Dress Chg.T30</v>
          </cell>
          <cell r="E9" t="str">
            <v>INSP</v>
          </cell>
        </row>
        <row r="10">
          <cell r="A10" t="str">
            <v>0310153</v>
          </cell>
          <cell r="B10">
            <v>2026</v>
          </cell>
          <cell r="C10">
            <v>120</v>
          </cell>
          <cell r="D10" t="str">
            <v>Ster GM25-2026 Drs/Try/30</v>
          </cell>
          <cell r="E10" t="str">
            <v>INSP</v>
          </cell>
        </row>
        <row r="11">
          <cell r="A11" t="str">
            <v>0310154</v>
          </cell>
          <cell r="B11">
            <v>759</v>
          </cell>
          <cell r="C11">
            <v>270</v>
          </cell>
          <cell r="D11" t="str">
            <v>Ster Dress Chg Tray 20cs</v>
          </cell>
          <cell r="E11" t="str">
            <v>INSP</v>
          </cell>
          <cell r="F11" t="str">
            <v>B22596</v>
          </cell>
          <cell r="G11">
            <v>37818</v>
          </cell>
        </row>
        <row r="12">
          <cell r="A12" t="str">
            <v>0320334</v>
          </cell>
          <cell r="B12">
            <v>164</v>
          </cell>
          <cell r="C12">
            <v>96</v>
          </cell>
          <cell r="D12" t="str">
            <v>Ster 12FR Frazier/50</v>
          </cell>
          <cell r="E12" t="str">
            <v>INSP</v>
          </cell>
          <cell r="F12" t="str">
            <v>B22581</v>
          </cell>
          <cell r="G12">
            <v>37812</v>
          </cell>
        </row>
        <row r="13">
          <cell r="A13" t="str">
            <v>0320440</v>
          </cell>
          <cell r="B13">
            <v>148</v>
          </cell>
          <cell r="C13">
            <v>50</v>
          </cell>
          <cell r="D13" t="str">
            <v>Ster 2OZ K/Bulb Syringe24</v>
          </cell>
          <cell r="E13" t="str">
            <v>INSP</v>
          </cell>
          <cell r="F13" t="str">
            <v>B22611</v>
          </cell>
          <cell r="G13">
            <v>37818</v>
          </cell>
        </row>
        <row r="14">
          <cell r="A14" t="str">
            <v>0320442</v>
          </cell>
          <cell r="B14">
            <v>143</v>
          </cell>
          <cell r="C14">
            <v>270</v>
          </cell>
          <cell r="D14" t="str">
            <v>Ster 3oz Bulb Syringe/50</v>
          </cell>
          <cell r="E14" t="str">
            <v>INSP</v>
          </cell>
          <cell r="F14" t="str">
            <v>B22580</v>
          </cell>
          <cell r="G14">
            <v>37813</v>
          </cell>
        </row>
        <row r="15">
          <cell r="A15" t="str">
            <v>0320444</v>
          </cell>
          <cell r="B15">
            <v>142</v>
          </cell>
          <cell r="C15">
            <v>702</v>
          </cell>
          <cell r="D15" t="str">
            <v>Ster 2oz Bulb Syringe/50</v>
          </cell>
          <cell r="E15" t="str">
            <v>INSP</v>
          </cell>
          <cell r="F15" t="str">
            <v>B22581</v>
          </cell>
          <cell r="G15">
            <v>37812</v>
          </cell>
        </row>
        <row r="16">
          <cell r="A16" t="str">
            <v>0320478</v>
          </cell>
          <cell r="B16">
            <v>7190</v>
          </cell>
          <cell r="C16">
            <v>192</v>
          </cell>
          <cell r="D16" t="str">
            <v>Ster Posi-Grip Forcep/100</v>
          </cell>
          <cell r="E16" t="str">
            <v>INSP</v>
          </cell>
          <cell r="F16" t="str">
            <v>B22577</v>
          </cell>
          <cell r="G16">
            <v>37810</v>
          </cell>
        </row>
        <row r="17">
          <cell r="A17" t="str">
            <v>0320486</v>
          </cell>
          <cell r="B17">
            <v>4067</v>
          </cell>
          <cell r="C17">
            <v>540</v>
          </cell>
          <cell r="D17" t="str">
            <v>Ster SpTrapC30200-176 /24</v>
          </cell>
          <cell r="E17" t="str">
            <v>INSP</v>
          </cell>
          <cell r="F17" t="str">
            <v>B22612</v>
          </cell>
          <cell r="G17">
            <v>37819</v>
          </cell>
        </row>
        <row r="18">
          <cell r="A18" t="str">
            <v>0320490</v>
          </cell>
          <cell r="B18">
            <v>717</v>
          </cell>
          <cell r="C18">
            <v>352</v>
          </cell>
          <cell r="D18" t="str">
            <v>Ster Suture Kit/50</v>
          </cell>
          <cell r="E18" t="str">
            <v>INSP</v>
          </cell>
          <cell r="F18" t="str">
            <v>B22577</v>
          </cell>
          <cell r="G18">
            <v>37810</v>
          </cell>
        </row>
        <row r="19">
          <cell r="A19" t="str">
            <v>0320493</v>
          </cell>
          <cell r="B19">
            <v>2233</v>
          </cell>
          <cell r="C19">
            <v>120</v>
          </cell>
          <cell r="D19" t="str">
            <v>Ster I V Start kit/50cs</v>
          </cell>
          <cell r="E19" t="str">
            <v>INSP</v>
          </cell>
          <cell r="F19" t="str">
            <v>B22592</v>
          </cell>
          <cell r="G19">
            <v>37812</v>
          </cell>
        </row>
        <row r="20">
          <cell r="A20" t="str">
            <v>0320498</v>
          </cell>
          <cell r="B20">
            <v>4132</v>
          </cell>
          <cell r="C20">
            <v>80</v>
          </cell>
          <cell r="D20" t="str">
            <v>Ster I.V.Start Kit/50cs</v>
          </cell>
          <cell r="E20" t="str">
            <v>INSP</v>
          </cell>
          <cell r="F20" t="str">
            <v>B22590</v>
          </cell>
          <cell r="G20">
            <v>37810</v>
          </cell>
        </row>
        <row r="21">
          <cell r="A21" t="str">
            <v>0320503</v>
          </cell>
          <cell r="B21">
            <v>299</v>
          </cell>
          <cell r="C21">
            <v>196</v>
          </cell>
          <cell r="D21" t="str">
            <v>Ster Yank w/vent/bulb/50</v>
          </cell>
          <cell r="E21" t="str">
            <v>INSP</v>
          </cell>
          <cell r="F21" t="str">
            <v>B22611</v>
          </cell>
          <cell r="G21">
            <v>37818</v>
          </cell>
        </row>
        <row r="22">
          <cell r="A22" t="str">
            <v>0320505</v>
          </cell>
          <cell r="B22">
            <v>773</v>
          </cell>
          <cell r="C22">
            <v>116</v>
          </cell>
          <cell r="D22" t="str">
            <v>Ster 51/4"S/BluntN/S/50CS</v>
          </cell>
          <cell r="E22" t="str">
            <v>INSP</v>
          </cell>
          <cell r="F22" t="str">
            <v>B22592</v>
          </cell>
          <cell r="G22">
            <v>37812</v>
          </cell>
        </row>
        <row r="23">
          <cell r="A23" t="str">
            <v>0320509</v>
          </cell>
          <cell r="B23">
            <v>406</v>
          </cell>
          <cell r="C23">
            <v>900</v>
          </cell>
          <cell r="D23" t="str">
            <v>Ster 40cc Mucus Trap/24</v>
          </cell>
          <cell r="E23" t="str">
            <v>INSP</v>
          </cell>
          <cell r="F23" t="str">
            <v>B22612</v>
          </cell>
          <cell r="G23">
            <v>37819</v>
          </cell>
        </row>
        <row r="24">
          <cell r="A24" t="str">
            <v>0320518</v>
          </cell>
          <cell r="B24">
            <v>5840</v>
          </cell>
          <cell r="C24">
            <v>64</v>
          </cell>
          <cell r="D24" t="str">
            <v>GM#25-5840 Ster IV Kit/50</v>
          </cell>
          <cell r="E24" t="str">
            <v>INSP</v>
          </cell>
          <cell r="F24" t="str">
            <v>B22590</v>
          </cell>
          <cell r="G24">
            <v>37810</v>
          </cell>
        </row>
        <row r="25">
          <cell r="A25" t="str">
            <v>0320520</v>
          </cell>
          <cell r="B25">
            <v>5862</v>
          </cell>
          <cell r="C25">
            <v>256</v>
          </cell>
          <cell r="D25" t="str">
            <v>GM#25-5862 Ster IV Kit/50</v>
          </cell>
          <cell r="E25" t="str">
            <v>INSP</v>
          </cell>
          <cell r="F25" t="str">
            <v>B22591</v>
          </cell>
          <cell r="G25">
            <v>37813</v>
          </cell>
        </row>
        <row r="26">
          <cell r="A26" t="str">
            <v>0320521</v>
          </cell>
          <cell r="B26">
            <v>507</v>
          </cell>
          <cell r="C26">
            <v>20</v>
          </cell>
          <cell r="D26" t="str">
            <v>Ster 1/4" Y-Connector/400</v>
          </cell>
          <cell r="E26" t="str">
            <v>INSP</v>
          </cell>
          <cell r="F26" t="str">
            <v>B22579</v>
          </cell>
          <cell r="G26">
            <v>37810</v>
          </cell>
        </row>
        <row r="27">
          <cell r="A27" t="str">
            <v>0320523</v>
          </cell>
          <cell r="B27">
            <v>384</v>
          </cell>
          <cell r="C27">
            <v>78</v>
          </cell>
          <cell r="D27" t="str">
            <v>Ster Umbilical C/Clamp128</v>
          </cell>
          <cell r="E27" t="str">
            <v>INSP</v>
          </cell>
          <cell r="F27" t="str">
            <v>B22592</v>
          </cell>
          <cell r="G27">
            <v>37812</v>
          </cell>
        </row>
        <row r="28">
          <cell r="A28" t="str">
            <v>0320526</v>
          </cell>
          <cell r="B28">
            <v>136</v>
          </cell>
          <cell r="C28">
            <v>22</v>
          </cell>
          <cell r="D28" t="str">
            <v>Ster 10mm Str. Curette/25</v>
          </cell>
          <cell r="E28" t="str">
            <v>INSP</v>
          </cell>
          <cell r="F28" t="str">
            <v>B22611</v>
          </cell>
          <cell r="G28">
            <v>37818</v>
          </cell>
        </row>
        <row r="29">
          <cell r="A29" t="str">
            <v>0320529</v>
          </cell>
          <cell r="B29">
            <v>150</v>
          </cell>
          <cell r="C29">
            <v>45</v>
          </cell>
          <cell r="D29" t="str">
            <v>Ster 1/2"Tubing&amp;Handle/25</v>
          </cell>
          <cell r="E29" t="str">
            <v>INSP</v>
          </cell>
          <cell r="F29" t="str">
            <v>B22580</v>
          </cell>
          <cell r="G29">
            <v>37813</v>
          </cell>
        </row>
        <row r="30">
          <cell r="A30" t="str">
            <v>0320530</v>
          </cell>
          <cell r="B30">
            <v>163</v>
          </cell>
          <cell r="C30">
            <v>48</v>
          </cell>
          <cell r="D30" t="str">
            <v>Ster 10FR Frazier/50</v>
          </cell>
          <cell r="E30" t="str">
            <v>INSP</v>
          </cell>
        </row>
        <row r="31">
          <cell r="A31" t="str">
            <v>0320534</v>
          </cell>
          <cell r="B31">
            <v>285</v>
          </cell>
          <cell r="C31">
            <v>132</v>
          </cell>
          <cell r="D31" t="str">
            <v>Ster 14MM Cvd Curette/ 25</v>
          </cell>
          <cell r="E31" t="str">
            <v>INSP</v>
          </cell>
          <cell r="F31" t="str">
            <v>B22581</v>
          </cell>
          <cell r="G31">
            <v>37812</v>
          </cell>
        </row>
        <row r="32">
          <cell r="A32" t="str">
            <v>0320539</v>
          </cell>
          <cell r="B32">
            <v>7246</v>
          </cell>
          <cell r="C32">
            <v>28</v>
          </cell>
          <cell r="D32" t="str">
            <v>Ster 5 1/4" S/B Scr/100</v>
          </cell>
          <cell r="E32" t="str">
            <v>INSP</v>
          </cell>
        </row>
        <row r="33">
          <cell r="A33" t="str">
            <v>0320540</v>
          </cell>
          <cell r="B33">
            <v>772</v>
          </cell>
          <cell r="C33">
            <v>105</v>
          </cell>
          <cell r="D33" t="str">
            <v>Ster StapleRemover S-H/30</v>
          </cell>
          <cell r="E33" t="str">
            <v>INSP</v>
          </cell>
          <cell r="F33" t="str">
            <v>B22592</v>
          </cell>
          <cell r="G33">
            <v>37812</v>
          </cell>
        </row>
        <row r="34">
          <cell r="A34" t="str">
            <v>0320545</v>
          </cell>
          <cell r="B34">
            <v>9384</v>
          </cell>
          <cell r="C34">
            <v>225</v>
          </cell>
          <cell r="D34" t="str">
            <v>Ster TPN/CVP Dress Chg/20</v>
          </cell>
          <cell r="E34" t="str">
            <v>INSP</v>
          </cell>
          <cell r="F34" t="str">
            <v>B22593</v>
          </cell>
          <cell r="G34">
            <v>37817</v>
          </cell>
        </row>
        <row r="35">
          <cell r="A35" t="str">
            <v>0320547</v>
          </cell>
          <cell r="B35">
            <v>4429</v>
          </cell>
          <cell r="C35">
            <v>25</v>
          </cell>
          <cell r="D35" t="str">
            <v>Ster A/C/Line D/Chg K/50C</v>
          </cell>
          <cell r="E35" t="str">
            <v>INSP</v>
          </cell>
          <cell r="F35" t="str">
            <v>B22592</v>
          </cell>
          <cell r="G35">
            <v>37812</v>
          </cell>
        </row>
        <row r="36">
          <cell r="A36" t="str">
            <v>0320549</v>
          </cell>
          <cell r="B36">
            <v>818</v>
          </cell>
          <cell r="C36">
            <v>128</v>
          </cell>
          <cell r="D36" t="str">
            <v>Ster I.V. Start KIT 50/CS</v>
          </cell>
          <cell r="E36" t="str">
            <v>INSP</v>
          </cell>
          <cell r="F36" t="str">
            <v>B22592</v>
          </cell>
          <cell r="G36">
            <v>37812</v>
          </cell>
        </row>
        <row r="37">
          <cell r="A37" t="str">
            <v>0320550</v>
          </cell>
          <cell r="B37">
            <v>8716</v>
          </cell>
          <cell r="C37">
            <v>30</v>
          </cell>
          <cell r="D37" t="str">
            <v>Ster C/Line Dress C/Ty/50</v>
          </cell>
          <cell r="E37" t="str">
            <v>INSP</v>
          </cell>
          <cell r="F37" t="str">
            <v>B22592</v>
          </cell>
          <cell r="G37">
            <v>37812</v>
          </cell>
        </row>
        <row r="38">
          <cell r="A38" t="str">
            <v>0320554</v>
          </cell>
          <cell r="B38">
            <v>298</v>
          </cell>
          <cell r="C38">
            <v>10</v>
          </cell>
          <cell r="D38" t="str">
            <v>Ster Yank w/o vent blb/50</v>
          </cell>
          <cell r="E38" t="str">
            <v>INSP</v>
          </cell>
          <cell r="F38" t="str">
            <v>B22581</v>
          </cell>
          <cell r="G38">
            <v>37812</v>
          </cell>
        </row>
        <row r="39">
          <cell r="A39" t="str">
            <v>0320555</v>
          </cell>
          <cell r="B39">
            <v>750</v>
          </cell>
          <cell r="C39">
            <v>120</v>
          </cell>
          <cell r="D39" t="str">
            <v>Ster Mnr Laceration Pk/20</v>
          </cell>
          <cell r="E39" t="str">
            <v>INSP</v>
          </cell>
        </row>
        <row r="40">
          <cell r="A40" t="str">
            <v>0320556</v>
          </cell>
          <cell r="B40">
            <v>305</v>
          </cell>
          <cell r="C40">
            <v>26</v>
          </cell>
          <cell r="D40" t="str">
            <v>Ster Yank w/o vent 10'/20</v>
          </cell>
          <cell r="E40" t="str">
            <v>INSP</v>
          </cell>
        </row>
        <row r="41">
          <cell r="A41" t="str">
            <v>0320557</v>
          </cell>
          <cell r="B41">
            <v>154</v>
          </cell>
          <cell r="C41">
            <v>48</v>
          </cell>
          <cell r="D41" t="str">
            <v>Ster 6' x 1/4" Tubing/50</v>
          </cell>
          <cell r="E41" t="str">
            <v>INSP</v>
          </cell>
        </row>
        <row r="42">
          <cell r="A42" t="str">
            <v>0320558</v>
          </cell>
          <cell r="B42">
            <v>302</v>
          </cell>
          <cell r="C42">
            <v>320</v>
          </cell>
          <cell r="D42" t="str">
            <v>Ster Yank w/o vent 6'T/20</v>
          </cell>
          <cell r="E42" t="str">
            <v>INSP</v>
          </cell>
          <cell r="F42" t="str">
            <v>B22577</v>
          </cell>
          <cell r="G42">
            <v>37810</v>
          </cell>
        </row>
        <row r="43">
          <cell r="A43" t="str">
            <v>0320560</v>
          </cell>
          <cell r="B43">
            <v>298</v>
          </cell>
          <cell r="C43">
            <v>588</v>
          </cell>
          <cell r="D43" t="str">
            <v>Ster Yank w/o vent blb/50</v>
          </cell>
          <cell r="E43" t="str">
            <v>INSP</v>
          </cell>
          <cell r="F43" t="str">
            <v>B22580</v>
          </cell>
          <cell r="G43">
            <v>37813</v>
          </cell>
        </row>
        <row r="44">
          <cell r="A44" t="str">
            <v>0320570</v>
          </cell>
          <cell r="B44">
            <v>4500</v>
          </cell>
          <cell r="C44">
            <v>50</v>
          </cell>
          <cell r="D44" t="str">
            <v>Ster Dress Change Kit30cs</v>
          </cell>
          <cell r="E44" t="str">
            <v>INSP</v>
          </cell>
          <cell r="F44" t="str">
            <v>B22594</v>
          </cell>
          <cell r="G44">
            <v>37817</v>
          </cell>
        </row>
        <row r="45">
          <cell r="A45" t="str">
            <v>0320572</v>
          </cell>
          <cell r="B45">
            <v>766</v>
          </cell>
          <cell r="C45">
            <v>40</v>
          </cell>
          <cell r="D45" t="str">
            <v>Sterile Saf-Shield 50/cs</v>
          </cell>
          <cell r="E45" t="str">
            <v>INSP</v>
          </cell>
          <cell r="F45" t="str">
            <v>B22611</v>
          </cell>
          <cell r="G45">
            <v>37818</v>
          </cell>
        </row>
        <row r="46">
          <cell r="A46" t="str">
            <v>0320573</v>
          </cell>
          <cell r="B46">
            <v>818</v>
          </cell>
          <cell r="C46">
            <v>128</v>
          </cell>
          <cell r="D46" t="str">
            <v>Ster I.V. Start KIT 50/CS</v>
          </cell>
          <cell r="E46" t="str">
            <v>INSP</v>
          </cell>
          <cell r="F46" t="str">
            <v>B22594</v>
          </cell>
          <cell r="G46">
            <v>37817</v>
          </cell>
        </row>
        <row r="47">
          <cell r="A47" t="str">
            <v>0320576</v>
          </cell>
          <cell r="B47">
            <v>758</v>
          </cell>
          <cell r="C47">
            <v>100</v>
          </cell>
          <cell r="D47" t="str">
            <v>Ster Incision&amp;Drainage/20</v>
          </cell>
          <cell r="E47" t="str">
            <v>INSP</v>
          </cell>
        </row>
        <row r="48">
          <cell r="A48" t="str">
            <v>0320577</v>
          </cell>
          <cell r="B48">
            <v>751</v>
          </cell>
          <cell r="C48">
            <v>300</v>
          </cell>
          <cell r="D48" t="str">
            <v>Ster Mnr Laceration Pk/20</v>
          </cell>
          <cell r="E48" t="str">
            <v>INSP</v>
          </cell>
          <cell r="F48" t="str">
            <v>B22594</v>
          </cell>
          <cell r="G48">
            <v>37817</v>
          </cell>
        </row>
        <row r="49">
          <cell r="A49" t="str">
            <v>0320581</v>
          </cell>
          <cell r="B49">
            <v>153</v>
          </cell>
          <cell r="C49">
            <v>87</v>
          </cell>
          <cell r="D49" t="str">
            <v>Ster 3/8"Tubing&amp;Handle/25</v>
          </cell>
          <cell r="E49" t="str">
            <v>INSP</v>
          </cell>
        </row>
        <row r="50">
          <cell r="A50" t="str">
            <v>0320582</v>
          </cell>
          <cell r="B50">
            <v>302</v>
          </cell>
          <cell r="C50">
            <v>425</v>
          </cell>
          <cell r="D50" t="str">
            <v>Ster Yank w/o vent 6'T/20</v>
          </cell>
          <cell r="E50" t="str">
            <v>INSP</v>
          </cell>
          <cell r="F50" t="str">
            <v>B22611</v>
          </cell>
          <cell r="G50">
            <v>37818</v>
          </cell>
        </row>
        <row r="51">
          <cell r="A51" t="str">
            <v>0320594</v>
          </cell>
          <cell r="B51">
            <v>766</v>
          </cell>
          <cell r="C51">
            <v>40</v>
          </cell>
          <cell r="D51" t="str">
            <v>Sterile Saf-Shield 50/cs</v>
          </cell>
          <cell r="E51" t="str">
            <v>INSP</v>
          </cell>
          <cell r="F51" t="str">
            <v>B22612</v>
          </cell>
          <cell r="G51">
            <v>37819</v>
          </cell>
        </row>
        <row r="52">
          <cell r="A52" t="str">
            <v>0320597</v>
          </cell>
          <cell r="B52">
            <v>155</v>
          </cell>
          <cell r="C52">
            <v>42</v>
          </cell>
          <cell r="D52" t="str">
            <v>Ster 10' x 1/4" Tubing/50</v>
          </cell>
          <cell r="E52" t="str">
            <v>INSP</v>
          </cell>
        </row>
        <row r="53">
          <cell r="A53" t="str">
            <v>0320600</v>
          </cell>
          <cell r="B53">
            <v>298</v>
          </cell>
          <cell r="C53">
            <v>588</v>
          </cell>
          <cell r="D53" t="str">
            <v>Ster Yank w/o vent blb/50</v>
          </cell>
          <cell r="E53" t="str">
            <v>INSP</v>
          </cell>
          <cell r="F53" t="str">
            <v>B22581</v>
          </cell>
          <cell r="G53">
            <v>37812</v>
          </cell>
        </row>
        <row r="54">
          <cell r="A54" t="str">
            <v>0320608</v>
          </cell>
          <cell r="B54">
            <v>1539</v>
          </cell>
          <cell r="C54">
            <v>128</v>
          </cell>
          <cell r="D54" t="str">
            <v>Ster 8'3/8" Tubing /10</v>
          </cell>
          <cell r="E54" t="str">
            <v>INSP</v>
          </cell>
        </row>
        <row r="55">
          <cell r="A55" t="str">
            <v>0330160</v>
          </cell>
          <cell r="B55">
            <v>747</v>
          </cell>
          <cell r="C55">
            <v>180</v>
          </cell>
          <cell r="D55" t="str">
            <v>Ster Suturing Tray/20</v>
          </cell>
          <cell r="E55" t="str">
            <v>INSP</v>
          </cell>
          <cell r="F55" t="str">
            <v>B22590</v>
          </cell>
          <cell r="G55">
            <v>37810</v>
          </cell>
        </row>
        <row r="56">
          <cell r="A56" t="str">
            <v>0330163</v>
          </cell>
          <cell r="B56">
            <v>8855</v>
          </cell>
          <cell r="C56">
            <v>30</v>
          </cell>
          <cell r="D56" t="str">
            <v>Ster C/Line D/Chg Tray/20</v>
          </cell>
          <cell r="E56" t="str">
            <v>INSP</v>
          </cell>
          <cell r="F56" t="str">
            <v>B22590</v>
          </cell>
          <cell r="G56">
            <v>37810</v>
          </cell>
        </row>
        <row r="57">
          <cell r="A57" t="str">
            <v>0330168</v>
          </cell>
          <cell r="B57">
            <v>8944</v>
          </cell>
          <cell r="C57">
            <v>25</v>
          </cell>
          <cell r="D57" t="str">
            <v>Ster ER Lac.Tray/20</v>
          </cell>
          <cell r="E57" t="str">
            <v>INSP</v>
          </cell>
          <cell r="F57" t="str">
            <v>B22592</v>
          </cell>
          <cell r="G57">
            <v>37812</v>
          </cell>
        </row>
        <row r="58">
          <cell r="A58" t="str">
            <v>0330171</v>
          </cell>
          <cell r="B58">
            <v>8127</v>
          </cell>
          <cell r="C58">
            <v>20</v>
          </cell>
          <cell r="D58" t="str">
            <v>Ster Dress Chg TrayY/20cs</v>
          </cell>
          <cell r="E58" t="str">
            <v>INSP</v>
          </cell>
          <cell r="F58" t="str">
            <v>B22590</v>
          </cell>
          <cell r="G58">
            <v>37810</v>
          </cell>
        </row>
        <row r="59">
          <cell r="A59" t="str">
            <v>0330173</v>
          </cell>
          <cell r="B59">
            <v>8399</v>
          </cell>
          <cell r="C59">
            <v>50</v>
          </cell>
          <cell r="D59" t="str">
            <v>Ster V.A.D.Access Kit/20c</v>
          </cell>
          <cell r="E59" t="str">
            <v>INSP</v>
          </cell>
          <cell r="F59" t="str">
            <v>B22590</v>
          </cell>
          <cell r="G59">
            <v>37810</v>
          </cell>
        </row>
        <row r="60">
          <cell r="A60" t="str">
            <v>0330174</v>
          </cell>
          <cell r="B60">
            <v>5814</v>
          </cell>
          <cell r="C60">
            <v>25</v>
          </cell>
          <cell r="D60" t="str">
            <v>Ster Prep Tray/20</v>
          </cell>
          <cell r="E60" t="str">
            <v>INSP</v>
          </cell>
          <cell r="F60" t="str">
            <v>B22590</v>
          </cell>
          <cell r="G60">
            <v>37810</v>
          </cell>
        </row>
        <row r="61">
          <cell r="A61" t="str">
            <v>0330175</v>
          </cell>
          <cell r="B61">
            <v>2685</v>
          </cell>
          <cell r="C61">
            <v>45</v>
          </cell>
          <cell r="D61" t="str">
            <v>GM#25-2685 Ster E.R.Ty20c</v>
          </cell>
          <cell r="E61" t="str">
            <v>INSP</v>
          </cell>
          <cell r="F61" t="str">
            <v>B22591</v>
          </cell>
          <cell r="G61">
            <v>37813</v>
          </cell>
        </row>
        <row r="62">
          <cell r="A62" t="str">
            <v>0330179</v>
          </cell>
          <cell r="B62">
            <v>4275</v>
          </cell>
          <cell r="C62">
            <v>16</v>
          </cell>
          <cell r="D62" t="str">
            <v>Ster Vad Access Kit/20cs</v>
          </cell>
          <cell r="E62" t="str">
            <v>INSP</v>
          </cell>
          <cell r="F62" t="str">
            <v>B22590</v>
          </cell>
          <cell r="G62">
            <v>37810</v>
          </cell>
        </row>
        <row r="63">
          <cell r="A63" t="str">
            <v>0330180</v>
          </cell>
          <cell r="B63">
            <v>8784</v>
          </cell>
          <cell r="C63">
            <v>60</v>
          </cell>
          <cell r="D63" t="str">
            <v>Ster Laceration Tray/20cs</v>
          </cell>
          <cell r="E63" t="str">
            <v>INSP</v>
          </cell>
          <cell r="F63" t="str">
            <v>B22591</v>
          </cell>
          <cell r="G63">
            <v>37813</v>
          </cell>
        </row>
        <row r="64">
          <cell r="A64" t="str">
            <v>0330181</v>
          </cell>
          <cell r="B64">
            <v>8369</v>
          </cell>
          <cell r="C64">
            <v>15</v>
          </cell>
          <cell r="D64" t="str">
            <v>Ster Dressing Chg Tray/20</v>
          </cell>
          <cell r="E64" t="str">
            <v>INSP</v>
          </cell>
          <cell r="F64" t="str">
            <v>B22591</v>
          </cell>
          <cell r="G64">
            <v>37813</v>
          </cell>
        </row>
        <row r="65">
          <cell r="A65" t="str">
            <v>0330182</v>
          </cell>
          <cell r="B65">
            <v>8077</v>
          </cell>
          <cell r="C65">
            <v>30</v>
          </cell>
          <cell r="D65" t="str">
            <v>Ster C/Line Dress Chg.T20</v>
          </cell>
          <cell r="E65" t="str">
            <v>INSP</v>
          </cell>
          <cell r="F65" t="str">
            <v>B22591</v>
          </cell>
          <cell r="G65">
            <v>37813</v>
          </cell>
        </row>
        <row r="66">
          <cell r="A66" t="str">
            <v>0330184</v>
          </cell>
          <cell r="B66">
            <v>2283</v>
          </cell>
          <cell r="C66">
            <v>15</v>
          </cell>
          <cell r="D66" t="str">
            <v>Ster E.R.Laceration T/20C</v>
          </cell>
          <cell r="E66" t="str">
            <v>INSP</v>
          </cell>
          <cell r="F66" t="str">
            <v>B22591</v>
          </cell>
          <cell r="G66">
            <v>37813</v>
          </cell>
        </row>
        <row r="67">
          <cell r="A67" t="str">
            <v>0330185</v>
          </cell>
          <cell r="B67">
            <v>8150</v>
          </cell>
          <cell r="C67">
            <v>20</v>
          </cell>
          <cell r="D67" t="str">
            <v>Sterile Dress Chg Tray/20</v>
          </cell>
          <cell r="E67" t="str">
            <v>INSP</v>
          </cell>
          <cell r="F67" t="str">
            <v>B22592</v>
          </cell>
          <cell r="G67">
            <v>37812</v>
          </cell>
        </row>
        <row r="68">
          <cell r="A68" t="str">
            <v>0330186</v>
          </cell>
          <cell r="B68">
            <v>3665</v>
          </cell>
          <cell r="C68">
            <v>35</v>
          </cell>
          <cell r="D68" t="str">
            <v>Ster Laceration Tray/20</v>
          </cell>
          <cell r="E68" t="str">
            <v>INSP</v>
          </cell>
          <cell r="F68" t="str">
            <v>B22592</v>
          </cell>
          <cell r="G68">
            <v>37812</v>
          </cell>
        </row>
        <row r="69">
          <cell r="A69" t="str">
            <v>0330187</v>
          </cell>
          <cell r="B69">
            <v>3668</v>
          </cell>
          <cell r="C69">
            <v>65</v>
          </cell>
          <cell r="D69" t="str">
            <v>Ster ER Laceration T/20</v>
          </cell>
          <cell r="E69" t="str">
            <v>INSP</v>
          </cell>
          <cell r="F69" t="str">
            <v>B22592</v>
          </cell>
          <cell r="G69">
            <v>37812</v>
          </cell>
        </row>
        <row r="70">
          <cell r="A70" t="str">
            <v>0330188</v>
          </cell>
          <cell r="B70">
            <v>8045</v>
          </cell>
          <cell r="C70">
            <v>25</v>
          </cell>
          <cell r="D70" t="str">
            <v>Ster ER Laceration T/20</v>
          </cell>
          <cell r="E70" t="str">
            <v>INSP</v>
          </cell>
          <cell r="F70" t="str">
            <v>B22593</v>
          </cell>
          <cell r="G70">
            <v>37817</v>
          </cell>
        </row>
        <row r="71">
          <cell r="A71" t="str">
            <v>0330189</v>
          </cell>
          <cell r="B71">
            <v>8802</v>
          </cell>
          <cell r="C71">
            <v>25</v>
          </cell>
          <cell r="D71" t="str">
            <v>Ster E R Laceration Ty20</v>
          </cell>
          <cell r="E71" t="str">
            <v>INSP</v>
          </cell>
          <cell r="F71" t="str">
            <v>B22592</v>
          </cell>
          <cell r="G71">
            <v>37812</v>
          </cell>
        </row>
        <row r="72">
          <cell r="A72" t="str">
            <v>0330190</v>
          </cell>
          <cell r="B72">
            <v>4261</v>
          </cell>
          <cell r="C72">
            <v>10</v>
          </cell>
          <cell r="D72" t="str">
            <v>Ster Laceration Tray/20cs</v>
          </cell>
          <cell r="E72" t="str">
            <v>INSP</v>
          </cell>
          <cell r="F72" t="str">
            <v>B22592</v>
          </cell>
          <cell r="G72">
            <v>37812</v>
          </cell>
        </row>
        <row r="73">
          <cell r="A73" t="str">
            <v>0330193</v>
          </cell>
          <cell r="B73">
            <v>2691</v>
          </cell>
          <cell r="C73">
            <v>225</v>
          </cell>
          <cell r="D73" t="str">
            <v>GM#25-2691 Ster ER T/20</v>
          </cell>
          <cell r="E73" t="str">
            <v>INSP</v>
          </cell>
          <cell r="F73" t="str">
            <v>B22593</v>
          </cell>
          <cell r="G73">
            <v>37817</v>
          </cell>
        </row>
        <row r="74">
          <cell r="A74" t="str">
            <v>0330195</v>
          </cell>
          <cell r="B74">
            <v>4107</v>
          </cell>
          <cell r="C74">
            <v>25</v>
          </cell>
          <cell r="D74" t="str">
            <v>Ster Wound /Closure K/20C</v>
          </cell>
          <cell r="E74" t="str">
            <v>INSP</v>
          </cell>
        </row>
        <row r="75">
          <cell r="A75" t="str">
            <v>0330197</v>
          </cell>
          <cell r="B75" t="str">
            <v>CAT/2003</v>
          </cell>
          <cell r="C75">
            <v>15</v>
          </cell>
          <cell r="D75" t="str">
            <v>VALIDATION CAT KIT/8CS</v>
          </cell>
          <cell r="E75" t="str">
            <v>INSP</v>
          </cell>
          <cell r="F75" t="str">
            <v>B22651</v>
          </cell>
          <cell r="G75">
            <v>37810</v>
          </cell>
        </row>
        <row r="76">
          <cell r="A76" t="str">
            <v>0330198</v>
          </cell>
          <cell r="B76">
            <v>9364</v>
          </cell>
          <cell r="C76">
            <v>30</v>
          </cell>
          <cell r="D76" t="str">
            <v>Ster Suture Tray/20</v>
          </cell>
          <cell r="E76" t="str">
            <v>INSP</v>
          </cell>
          <cell r="F76" t="str">
            <v>B22594</v>
          </cell>
          <cell r="G76">
            <v>37817</v>
          </cell>
        </row>
        <row r="77">
          <cell r="A77" t="str">
            <v>0330199</v>
          </cell>
          <cell r="B77">
            <v>4275</v>
          </cell>
          <cell r="C77">
            <v>16</v>
          </cell>
          <cell r="D77" t="str">
            <v>Ster Vad Access Kit/20cs</v>
          </cell>
          <cell r="E77" t="str">
            <v>INSP</v>
          </cell>
        </row>
        <row r="78">
          <cell r="A78" t="str">
            <v>0330200</v>
          </cell>
          <cell r="B78">
            <v>1846</v>
          </cell>
          <cell r="C78">
            <v>88</v>
          </cell>
          <cell r="D78" t="str">
            <v>Ster Dress Change Tray/30</v>
          </cell>
          <cell r="E78" t="str">
            <v>INSP</v>
          </cell>
        </row>
        <row r="79">
          <cell r="A79" t="str">
            <v>0330202</v>
          </cell>
          <cell r="B79">
            <v>2685</v>
          </cell>
          <cell r="C79">
            <v>90</v>
          </cell>
          <cell r="D79" t="str">
            <v>GM#25-2685 Ster E.R.Ty20c</v>
          </cell>
          <cell r="E79" t="str">
            <v>INSP</v>
          </cell>
          <cell r="F79" t="str">
            <v>B22596</v>
          </cell>
          <cell r="G79">
            <v>37818</v>
          </cell>
        </row>
        <row r="80">
          <cell r="A80" t="str">
            <v>0330205</v>
          </cell>
          <cell r="B80">
            <v>1892</v>
          </cell>
          <cell r="C80">
            <v>15</v>
          </cell>
          <cell r="D80" t="str">
            <v>Ster Laceration Tray/20</v>
          </cell>
          <cell r="E80" t="str">
            <v>INSP</v>
          </cell>
        </row>
        <row r="81">
          <cell r="A81" t="str">
            <v>0330208</v>
          </cell>
          <cell r="B81">
            <v>167</v>
          </cell>
          <cell r="C81">
            <v>36</v>
          </cell>
          <cell r="D81" t="str">
            <v>Ster Sigmoid w/ Tubing/20</v>
          </cell>
          <cell r="E81" t="str">
            <v>INSP</v>
          </cell>
          <cell r="F81" t="str">
            <v>B22612</v>
          </cell>
          <cell r="G81">
            <v>37819</v>
          </cell>
        </row>
        <row r="82">
          <cell r="A82" t="str">
            <v>0330210</v>
          </cell>
          <cell r="B82">
            <v>2209</v>
          </cell>
          <cell r="C82">
            <v>25</v>
          </cell>
          <cell r="D82" t="str">
            <v>Ster C/Line Dress Chg T30</v>
          </cell>
          <cell r="E82" t="str">
            <v>INSP</v>
          </cell>
        </row>
        <row r="83">
          <cell r="A83" t="str">
            <v>0330216</v>
          </cell>
          <cell r="B83">
            <v>8886</v>
          </cell>
          <cell r="C83">
            <v>9</v>
          </cell>
          <cell r="D83" t="str">
            <v>Ster Dressing Chg Tray/20</v>
          </cell>
          <cell r="E83" t="str">
            <v>INSP</v>
          </cell>
        </row>
        <row r="84">
          <cell r="A84" t="str">
            <v>0340085</v>
          </cell>
          <cell r="B84">
            <v>696</v>
          </cell>
          <cell r="C84">
            <v>200</v>
          </cell>
          <cell r="D84" t="str">
            <v>Ster Polylined Drape/300</v>
          </cell>
          <cell r="E84" t="str">
            <v>INSP</v>
          </cell>
          <cell r="F84" t="str">
            <v>B22577</v>
          </cell>
          <cell r="G84">
            <v>37810</v>
          </cell>
        </row>
        <row r="85">
          <cell r="A85" t="str">
            <v>0340086</v>
          </cell>
          <cell r="B85">
            <v>6366</v>
          </cell>
          <cell r="C85">
            <v>440</v>
          </cell>
          <cell r="D85" t="str">
            <v>GM#25-515 Ster Towel/300</v>
          </cell>
          <cell r="E85" t="str">
            <v>INSP</v>
          </cell>
          <cell r="F85" t="str">
            <v>B22582</v>
          </cell>
          <cell r="G85">
            <v>37817</v>
          </cell>
        </row>
        <row r="86">
          <cell r="A86" t="str">
            <v>0340089</v>
          </cell>
          <cell r="B86">
            <v>6466</v>
          </cell>
          <cell r="C86">
            <v>342</v>
          </cell>
          <cell r="D86" t="str">
            <v>Schn#1009687 Ster Twl/300</v>
          </cell>
          <cell r="E86" t="str">
            <v>INSP</v>
          </cell>
        </row>
        <row r="87">
          <cell r="A87" t="str">
            <v>0340093</v>
          </cell>
          <cell r="B87">
            <v>6963</v>
          </cell>
          <cell r="C87">
            <v>120</v>
          </cell>
          <cell r="D87" t="str">
            <v>Moore#14170 Ster Twl/300</v>
          </cell>
          <cell r="E87" t="str">
            <v>INSP</v>
          </cell>
          <cell r="F87" t="str">
            <v>B22612</v>
          </cell>
          <cell r="G87">
            <v>37819</v>
          </cell>
        </row>
        <row r="88">
          <cell r="A88" t="str">
            <v>0340094</v>
          </cell>
          <cell r="B88">
            <v>6367</v>
          </cell>
          <cell r="C88">
            <v>186</v>
          </cell>
          <cell r="D88" t="str">
            <v>GM#25-517 Ster Fn Twl/300</v>
          </cell>
          <cell r="E88" t="str">
            <v>INSP</v>
          </cell>
        </row>
        <row r="89">
          <cell r="A89" t="str">
            <v>0340097</v>
          </cell>
          <cell r="B89">
            <v>696</v>
          </cell>
          <cell r="C89">
            <v>408</v>
          </cell>
          <cell r="D89" t="str">
            <v>Ster Polylined Drape/300</v>
          </cell>
          <cell r="E89" t="str">
            <v>INSP</v>
          </cell>
          <cell r="F89" t="str">
            <v>B22579</v>
          </cell>
          <cell r="G89">
            <v>37810</v>
          </cell>
        </row>
        <row r="90">
          <cell r="A90" t="str">
            <v>0340113</v>
          </cell>
          <cell r="B90">
            <v>696</v>
          </cell>
          <cell r="C90">
            <v>200</v>
          </cell>
          <cell r="D90" t="str">
            <v>Ster Polylined Drape/300</v>
          </cell>
          <cell r="E90" t="str">
            <v>INSP</v>
          </cell>
          <cell r="F90" t="str">
            <v>B22578</v>
          </cell>
          <cell r="G90">
            <v>37813</v>
          </cell>
        </row>
        <row r="91">
          <cell r="A91" t="str">
            <v>0310091</v>
          </cell>
          <cell r="B91">
            <v>759</v>
          </cell>
          <cell r="C91">
            <v>4</v>
          </cell>
          <cell r="D91" t="str">
            <v>Ster Dress Chg Tray 20cs</v>
          </cell>
          <cell r="E91" t="str">
            <v>J</v>
          </cell>
          <cell r="F91" t="str">
            <v>B22546</v>
          </cell>
          <cell r="G91">
            <v>37781</v>
          </cell>
        </row>
        <row r="92">
          <cell r="A92" t="str">
            <v>0320376</v>
          </cell>
          <cell r="B92">
            <v>142</v>
          </cell>
          <cell r="C92">
            <v>180</v>
          </cell>
          <cell r="D92" t="str">
            <v>Ster 2oz Bulb Syringe/50</v>
          </cell>
          <cell r="E92" t="str">
            <v>J</v>
          </cell>
          <cell r="F92" t="str">
            <v>B22554</v>
          </cell>
          <cell r="G92">
            <v>37771</v>
          </cell>
        </row>
        <row r="93">
          <cell r="A93" t="str">
            <v>0320414</v>
          </cell>
          <cell r="B93">
            <v>405</v>
          </cell>
          <cell r="C93">
            <v>540</v>
          </cell>
          <cell r="D93" t="str">
            <v>Ster 40cc Muc.TrpW/cap/24</v>
          </cell>
          <cell r="E93" t="str">
            <v>J</v>
          </cell>
          <cell r="F93" t="str">
            <v>B22576</v>
          </cell>
          <cell r="G93">
            <v>37802</v>
          </cell>
        </row>
        <row r="94">
          <cell r="A94" t="str">
            <v>0320479</v>
          </cell>
          <cell r="B94">
            <v>751</v>
          </cell>
          <cell r="C94">
            <v>300</v>
          </cell>
          <cell r="D94" t="str">
            <v>Ster Mnr Laceration Pk/20</v>
          </cell>
          <cell r="E94" t="str">
            <v>J</v>
          </cell>
          <cell r="F94" t="str">
            <v>B22584</v>
          </cell>
          <cell r="G94">
            <v>37796</v>
          </cell>
        </row>
        <row r="95">
          <cell r="A95" t="str">
            <v>0320482</v>
          </cell>
          <cell r="B95">
            <v>154</v>
          </cell>
          <cell r="C95">
            <v>46</v>
          </cell>
          <cell r="D95" t="str">
            <v>Ster 6' x 1/4" Tubing/50</v>
          </cell>
          <cell r="E95" t="str">
            <v>J</v>
          </cell>
          <cell r="F95" t="str">
            <v>B22576</v>
          </cell>
          <cell r="G95">
            <v>37802</v>
          </cell>
        </row>
        <row r="96">
          <cell r="A96" t="str">
            <v>0320484</v>
          </cell>
          <cell r="B96">
            <v>407</v>
          </cell>
          <cell r="C96">
            <v>128</v>
          </cell>
          <cell r="D96" t="str">
            <v>Ster 80cc Mucus Trap/100</v>
          </cell>
          <cell r="E96" t="str">
            <v>J</v>
          </cell>
          <cell r="F96" t="str">
            <v>B22571</v>
          </cell>
          <cell r="G96">
            <v>37797</v>
          </cell>
        </row>
        <row r="97">
          <cell r="A97" t="str">
            <v>0320487</v>
          </cell>
          <cell r="B97">
            <v>406</v>
          </cell>
          <cell r="C97">
            <v>474</v>
          </cell>
          <cell r="D97" t="str">
            <v>Ster 40cc Mucus Trap/24</v>
          </cell>
          <cell r="E97" t="str">
            <v>J</v>
          </cell>
          <cell r="F97" t="str">
            <v>B22575</v>
          </cell>
          <cell r="G97">
            <v>37803</v>
          </cell>
        </row>
        <row r="98">
          <cell r="A98" t="str">
            <v>0320491</v>
          </cell>
          <cell r="B98">
            <v>718</v>
          </cell>
          <cell r="C98">
            <v>880</v>
          </cell>
          <cell r="D98" t="str">
            <v>Ster Suture Kit/50</v>
          </cell>
          <cell r="E98" t="str">
            <v>J</v>
          </cell>
          <cell r="F98" t="str">
            <v>B22576</v>
          </cell>
          <cell r="G98">
            <v>37802</v>
          </cell>
        </row>
        <row r="99">
          <cell r="A99" t="str">
            <v>0320536</v>
          </cell>
          <cell r="B99">
            <v>302</v>
          </cell>
          <cell r="C99">
            <v>238</v>
          </cell>
          <cell r="D99" t="str">
            <v>Ster Yank w/o vent 6'T/20</v>
          </cell>
          <cell r="E99" t="str">
            <v>J</v>
          </cell>
          <cell r="F99" t="str">
            <v>B22576</v>
          </cell>
          <cell r="G99">
            <v>37802</v>
          </cell>
        </row>
        <row r="100">
          <cell r="A100" t="str">
            <v>0330166</v>
          </cell>
          <cell r="B100">
            <v>2691</v>
          </cell>
          <cell r="C100">
            <v>225</v>
          </cell>
          <cell r="D100" t="str">
            <v>GM#25-2691 Ster ER T/20</v>
          </cell>
          <cell r="E100" t="str">
            <v>J</v>
          </cell>
          <cell r="F100" t="str">
            <v>B22584</v>
          </cell>
          <cell r="G100">
            <v>37796</v>
          </cell>
        </row>
        <row r="101">
          <cell r="A101" t="str">
            <v>0330177</v>
          </cell>
          <cell r="B101">
            <v>2691</v>
          </cell>
          <cell r="C101">
            <v>225</v>
          </cell>
          <cell r="D101" t="str">
            <v>GM#25-2691 Ster ER T/20</v>
          </cell>
          <cell r="E101" t="str">
            <v>J</v>
          </cell>
          <cell r="F101" t="str">
            <v>B22589</v>
          </cell>
          <cell r="G101">
            <v>37803</v>
          </cell>
        </row>
        <row r="102">
          <cell r="A102" t="str">
            <v>0220213</v>
          </cell>
          <cell r="B102">
            <v>303</v>
          </cell>
          <cell r="C102">
            <v>4</v>
          </cell>
          <cell r="D102" t="str">
            <v>Ster Yank w/vent 6'Tbg/20</v>
          </cell>
          <cell r="E102" t="str">
            <v>Q2</v>
          </cell>
          <cell r="F102" t="str">
            <v>B22087</v>
          </cell>
          <cell r="G102">
            <v>37347</v>
          </cell>
        </row>
        <row r="109">
          <cell r="A109" t="str">
            <v>0340074</v>
          </cell>
          <cell r="B109">
            <v>6466</v>
          </cell>
          <cell r="C109">
            <v>80</v>
          </cell>
          <cell r="D109" t="str">
            <v>Schn#1009687 Ster Twl/300</v>
          </cell>
          <cell r="E109" t="str">
            <v>INSP</v>
          </cell>
          <cell r="F109" t="str">
            <v>B22560</v>
          </cell>
          <cell r="G109">
            <v>37788</v>
          </cell>
        </row>
        <row r="110">
          <cell r="A110" t="str">
            <v>0340075</v>
          </cell>
          <cell r="B110">
            <v>6366</v>
          </cell>
          <cell r="C110">
            <v>200</v>
          </cell>
          <cell r="D110" t="str">
            <v>GM#25-515 Ster Towel/300</v>
          </cell>
          <cell r="E110" t="str">
            <v>INSP</v>
          </cell>
          <cell r="F110" t="str">
            <v>B22565</v>
          </cell>
          <cell r="G110">
            <v>37792</v>
          </cell>
        </row>
        <row r="111">
          <cell r="A111" t="str">
            <v>0340076</v>
          </cell>
          <cell r="B111" t="str">
            <v>97-93039</v>
          </cell>
          <cell r="C111">
            <v>113</v>
          </cell>
          <cell r="D111" t="str">
            <v>Ster DE P/Lined Fen T/300</v>
          </cell>
          <cell r="E111" t="str">
            <v>INSP</v>
          </cell>
          <cell r="F111" t="str">
            <v>B22572</v>
          </cell>
          <cell r="G111">
            <v>37785</v>
          </cell>
        </row>
        <row r="112">
          <cell r="A112" t="str">
            <v>0340077</v>
          </cell>
          <cell r="B112" t="str">
            <v>97-99687</v>
          </cell>
          <cell r="C112">
            <v>321</v>
          </cell>
          <cell r="D112" t="str">
            <v>Ster DE P/Lined N/F T/300</v>
          </cell>
          <cell r="E112" t="str">
            <v>INSP</v>
          </cell>
          <cell r="F112" t="str">
            <v>B22572</v>
          </cell>
          <cell r="G112">
            <v>37785</v>
          </cell>
        </row>
        <row r="113">
          <cell r="A113" t="str">
            <v>0340081</v>
          </cell>
          <cell r="B113">
            <v>6366</v>
          </cell>
          <cell r="C113">
            <v>200</v>
          </cell>
          <cell r="D113" t="str">
            <v>GM#25-515 Ster Towel/300</v>
          </cell>
          <cell r="E113" t="str">
            <v>INSP</v>
          </cell>
          <cell r="F113" t="str">
            <v>B22568</v>
          </cell>
          <cell r="G113">
            <v>37790</v>
          </cell>
        </row>
        <row r="114">
          <cell r="A114" t="str">
            <v>0340082</v>
          </cell>
          <cell r="B114">
            <v>6367</v>
          </cell>
          <cell r="C114">
            <v>200</v>
          </cell>
          <cell r="D114" t="str">
            <v>GM#25-517 Ster Fn Twl/300</v>
          </cell>
          <cell r="E114" t="str">
            <v>INSP</v>
          </cell>
          <cell r="F114" t="str">
            <v>B22567</v>
          </cell>
          <cell r="G114">
            <v>37791</v>
          </cell>
        </row>
        <row r="115">
          <cell r="A115" t="str">
            <v>0370015</v>
          </cell>
          <cell r="B115">
            <v>400</v>
          </cell>
          <cell r="C115">
            <v>288</v>
          </cell>
          <cell r="D115" t="str">
            <v>Ster 16oz Sponge Bowl L/F</v>
          </cell>
          <cell r="F115" t="str">
            <v>B21976</v>
          </cell>
          <cell r="G115">
            <v>37788</v>
          </cell>
        </row>
        <row r="116">
          <cell r="A116" t="str">
            <v>0370016</v>
          </cell>
          <cell r="B116">
            <v>400</v>
          </cell>
          <cell r="C116">
            <v>288</v>
          </cell>
          <cell r="D116" t="str">
            <v>Ster 16oz Sponge Bowl L/F</v>
          </cell>
          <cell r="F116" t="str">
            <v>B21979</v>
          </cell>
          <cell r="G116">
            <v>37795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LABEL ENV"/>
      <sheetName val="Release Sheet"/>
      <sheetName val="Sterilization Record Review"/>
      <sheetName val="EO STER RECORD REVIEW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Release Sheet New"/>
      <sheetName val="Sterilization Record Review1"/>
      <sheetName val="Shortcut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Sheet5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</sheetNames>
    <sheetDataSet>
      <sheetData sheetId="0" refreshError="1"/>
      <sheetData sheetId="1">
        <row r="1">
          <cell r="A1" t="str">
            <v>0310061</v>
          </cell>
          <cell r="B1">
            <v>715</v>
          </cell>
          <cell r="C1">
            <v>315</v>
          </cell>
          <cell r="D1" t="str">
            <v>Ster Trach Set/20</v>
          </cell>
          <cell r="E1" t="str">
            <v>INSP</v>
          </cell>
          <cell r="F1" t="str">
            <v>B22509</v>
          </cell>
          <cell r="G1">
            <v>37728</v>
          </cell>
        </row>
        <row r="2">
          <cell r="A2" t="str">
            <v>0310062</v>
          </cell>
          <cell r="B2">
            <v>1758</v>
          </cell>
          <cell r="C2">
            <v>60</v>
          </cell>
          <cell r="D2" t="str">
            <v>Ster L/F TPN/CVP D/C/T/20</v>
          </cell>
          <cell r="E2" t="str">
            <v>INSP</v>
          </cell>
          <cell r="F2" t="str">
            <v>B22536</v>
          </cell>
          <cell r="G2">
            <v>37740</v>
          </cell>
        </row>
        <row r="3">
          <cell r="A3" t="str">
            <v>0310064</v>
          </cell>
          <cell r="B3">
            <v>3952</v>
          </cell>
          <cell r="C3">
            <v>40</v>
          </cell>
          <cell r="D3" t="str">
            <v>Ster TPN/CVP Dress Chg/30</v>
          </cell>
          <cell r="E3" t="str">
            <v>INSP</v>
          </cell>
          <cell r="F3" t="str">
            <v>B22536</v>
          </cell>
          <cell r="G3">
            <v>37740</v>
          </cell>
        </row>
        <row r="4">
          <cell r="A4" t="str">
            <v>0310067</v>
          </cell>
          <cell r="B4">
            <v>828</v>
          </cell>
          <cell r="C4">
            <v>40</v>
          </cell>
          <cell r="D4" t="str">
            <v>Ster TPN/CVP Tray/30</v>
          </cell>
          <cell r="E4" t="str">
            <v>INSP</v>
          </cell>
          <cell r="F4" t="str">
            <v>B22487</v>
          </cell>
          <cell r="G4">
            <v>37728</v>
          </cell>
        </row>
        <row r="5">
          <cell r="A5" t="str">
            <v>0310070</v>
          </cell>
          <cell r="B5">
            <v>3220</v>
          </cell>
          <cell r="C5">
            <v>72</v>
          </cell>
          <cell r="D5" t="str">
            <v>Ster Minor Pack/80</v>
          </cell>
          <cell r="E5" t="str">
            <v>INSP</v>
          </cell>
          <cell r="F5" t="str">
            <v>B22489</v>
          </cell>
          <cell r="G5">
            <v>37732</v>
          </cell>
        </row>
        <row r="6">
          <cell r="A6" t="str">
            <v>0310071</v>
          </cell>
          <cell r="B6">
            <v>3220</v>
          </cell>
          <cell r="C6">
            <v>72</v>
          </cell>
          <cell r="D6" t="str">
            <v>Ster Minor Pack/80</v>
          </cell>
          <cell r="E6" t="str">
            <v>INSP</v>
          </cell>
          <cell r="F6" t="str">
            <v>B22490</v>
          </cell>
          <cell r="G6">
            <v>37733</v>
          </cell>
        </row>
        <row r="7">
          <cell r="A7" t="str">
            <v>0310072</v>
          </cell>
          <cell r="B7">
            <v>715</v>
          </cell>
          <cell r="C7">
            <v>315</v>
          </cell>
          <cell r="D7" t="str">
            <v>Ster Trach Set/20</v>
          </cell>
          <cell r="E7" t="str">
            <v>INSP</v>
          </cell>
        </row>
        <row r="8">
          <cell r="A8" t="str">
            <v>0310074</v>
          </cell>
          <cell r="B8">
            <v>2026</v>
          </cell>
          <cell r="C8">
            <v>30</v>
          </cell>
          <cell r="D8" t="str">
            <v>Ster GM25-2026 Drs/Try/30</v>
          </cell>
          <cell r="E8" t="str">
            <v>INSP</v>
          </cell>
        </row>
        <row r="9">
          <cell r="A9" t="str">
            <v>0310075</v>
          </cell>
          <cell r="B9">
            <v>4263</v>
          </cell>
          <cell r="C9">
            <v>120</v>
          </cell>
          <cell r="D9" t="str">
            <v>Sterile Dialysis kit/20cs</v>
          </cell>
          <cell r="E9" t="str">
            <v>INSP</v>
          </cell>
        </row>
        <row r="10">
          <cell r="A10" t="str">
            <v>0310080</v>
          </cell>
          <cell r="B10">
            <v>759</v>
          </cell>
          <cell r="C10">
            <v>180</v>
          </cell>
          <cell r="D10" t="str">
            <v>Ster Dress Chg Tray 20cs</v>
          </cell>
          <cell r="E10" t="str">
            <v>INSP</v>
          </cell>
          <cell r="F10" t="str">
            <v>B22488</v>
          </cell>
          <cell r="G10">
            <v>37735</v>
          </cell>
        </row>
        <row r="11">
          <cell r="A11" t="str">
            <v>0320156</v>
          </cell>
          <cell r="B11">
            <v>296</v>
          </cell>
          <cell r="C11">
            <v>196</v>
          </cell>
          <cell r="D11" t="str">
            <v>Ster Yank w/o Vent/50</v>
          </cell>
          <cell r="E11" t="str">
            <v>INSP</v>
          </cell>
          <cell r="F11" t="str">
            <v>B22503</v>
          </cell>
          <cell r="G11">
            <v>37728</v>
          </cell>
        </row>
        <row r="12">
          <cell r="A12" t="str">
            <v>0320163</v>
          </cell>
          <cell r="B12">
            <v>4132</v>
          </cell>
          <cell r="C12">
            <v>50</v>
          </cell>
          <cell r="D12" t="str">
            <v>Ster I.V.Start Kit/50cs</v>
          </cell>
          <cell r="E12" t="str">
            <v>INSP</v>
          </cell>
          <cell r="F12" t="str">
            <v>B22489</v>
          </cell>
          <cell r="G12">
            <v>37732</v>
          </cell>
        </row>
        <row r="13">
          <cell r="A13" t="str">
            <v>0320177</v>
          </cell>
          <cell r="B13">
            <v>510</v>
          </cell>
          <cell r="C13">
            <v>93</v>
          </cell>
          <cell r="D13" t="str">
            <v>Ster Catheter Plug/200</v>
          </cell>
          <cell r="E13" t="str">
            <v>INSP</v>
          </cell>
          <cell r="F13" t="str">
            <v>B22508</v>
          </cell>
          <cell r="G13">
            <v>37727</v>
          </cell>
        </row>
        <row r="14">
          <cell r="A14" t="str">
            <v>0320188</v>
          </cell>
          <cell r="B14">
            <v>7208</v>
          </cell>
          <cell r="C14">
            <v>176</v>
          </cell>
          <cell r="D14" t="str">
            <v>Abco#266000 Ster Srk /50</v>
          </cell>
          <cell r="E14" t="str">
            <v>INSP</v>
          </cell>
          <cell r="F14" t="str">
            <v>B22503</v>
          </cell>
          <cell r="G14">
            <v>37728</v>
          </cell>
        </row>
        <row r="15">
          <cell r="A15" t="str">
            <v>0320200</v>
          </cell>
          <cell r="B15">
            <v>2238</v>
          </cell>
          <cell r="C15">
            <v>25</v>
          </cell>
          <cell r="D15" t="str">
            <v>Ster C/Line Dress Chg T30</v>
          </cell>
          <cell r="E15" t="str">
            <v>INSP</v>
          </cell>
          <cell r="F15" t="str">
            <v>B22536</v>
          </cell>
          <cell r="G15">
            <v>37740</v>
          </cell>
        </row>
        <row r="16">
          <cell r="A16" t="str">
            <v>0320209</v>
          </cell>
          <cell r="B16">
            <v>298</v>
          </cell>
          <cell r="C16">
            <v>980</v>
          </cell>
          <cell r="D16" t="str">
            <v>Ster Yank w/o vent blb/50</v>
          </cell>
          <cell r="E16" t="str">
            <v>INSP</v>
          </cell>
          <cell r="F16" t="str">
            <v>B22508</v>
          </cell>
          <cell r="G16">
            <v>37727</v>
          </cell>
        </row>
        <row r="17">
          <cell r="A17" t="str">
            <v>0320214</v>
          </cell>
          <cell r="B17">
            <v>4265</v>
          </cell>
          <cell r="C17">
            <v>88</v>
          </cell>
          <cell r="D17" t="str">
            <v>Ster I.V.Start Kit/50CS</v>
          </cell>
          <cell r="E17" t="str">
            <v>INSP</v>
          </cell>
          <cell r="F17" t="str">
            <v>B22490</v>
          </cell>
          <cell r="G17">
            <v>37733</v>
          </cell>
        </row>
        <row r="18">
          <cell r="A18" t="str">
            <v>0320215</v>
          </cell>
          <cell r="B18">
            <v>4429</v>
          </cell>
          <cell r="C18">
            <v>32</v>
          </cell>
          <cell r="D18" t="str">
            <v>Ster A/C/Line D/Chg K/50C</v>
          </cell>
          <cell r="E18" t="str">
            <v>INSP</v>
          </cell>
          <cell r="F18" t="str">
            <v>B22489</v>
          </cell>
          <cell r="G18">
            <v>37732</v>
          </cell>
        </row>
        <row r="19">
          <cell r="A19" t="str">
            <v>0320216</v>
          </cell>
          <cell r="B19">
            <v>4455</v>
          </cell>
          <cell r="C19">
            <v>13</v>
          </cell>
          <cell r="D19" t="str">
            <v>Ster P/C/Line D/Chg K/50C</v>
          </cell>
          <cell r="E19" t="str">
            <v>INSP</v>
          </cell>
          <cell r="F19" t="str">
            <v>B22489</v>
          </cell>
          <cell r="G19">
            <v>37732</v>
          </cell>
        </row>
        <row r="20">
          <cell r="A20" t="str">
            <v>0320217</v>
          </cell>
          <cell r="B20">
            <v>2904</v>
          </cell>
          <cell r="C20">
            <v>503</v>
          </cell>
          <cell r="D20" t="str">
            <v>Ster Poole/Alleg/K770/50C</v>
          </cell>
          <cell r="E20" t="str">
            <v>INSP</v>
          </cell>
          <cell r="F20" t="str">
            <v>B22503</v>
          </cell>
          <cell r="G20">
            <v>37728</v>
          </cell>
        </row>
        <row r="21">
          <cell r="A21" t="str">
            <v>0320218</v>
          </cell>
          <cell r="B21">
            <v>8906</v>
          </cell>
          <cell r="C21">
            <v>44</v>
          </cell>
          <cell r="D21" t="str">
            <v>M(63200)STER IV S/KIT 50</v>
          </cell>
          <cell r="E21" t="str">
            <v>INSP</v>
          </cell>
          <cell r="F21" t="str">
            <v>B22490</v>
          </cell>
          <cell r="G21">
            <v>37733</v>
          </cell>
        </row>
        <row r="22">
          <cell r="A22" t="str">
            <v>0320220</v>
          </cell>
          <cell r="B22">
            <v>5862</v>
          </cell>
          <cell r="C22">
            <v>256</v>
          </cell>
          <cell r="D22" t="str">
            <v>GM#25-5862 Ster IV Kit/50</v>
          </cell>
          <cell r="E22" t="str">
            <v>INSP</v>
          </cell>
          <cell r="F22" t="str">
            <v>B22489</v>
          </cell>
          <cell r="G22">
            <v>37732</v>
          </cell>
        </row>
        <row r="23">
          <cell r="A23" t="str">
            <v>0320221</v>
          </cell>
          <cell r="B23">
            <v>207</v>
          </cell>
          <cell r="C23">
            <v>40</v>
          </cell>
          <cell r="D23" t="str">
            <v>Ster 4mm Med Laminaria/48</v>
          </cell>
          <cell r="E23" t="str">
            <v>INSP</v>
          </cell>
          <cell r="F23" t="str">
            <v>B22516</v>
          </cell>
          <cell r="G23">
            <v>37734</v>
          </cell>
        </row>
        <row r="24">
          <cell r="A24" t="str">
            <v>0320222</v>
          </cell>
          <cell r="B24">
            <v>208</v>
          </cell>
          <cell r="C24">
            <v>20</v>
          </cell>
          <cell r="D24" t="str">
            <v>Ster 5mm Lg Laminaria/48</v>
          </cell>
          <cell r="E24" t="str">
            <v>INSP</v>
          </cell>
          <cell r="F24" t="str">
            <v>B22516</v>
          </cell>
          <cell r="G24">
            <v>37734</v>
          </cell>
        </row>
        <row r="25">
          <cell r="A25" t="str">
            <v>0320223</v>
          </cell>
          <cell r="B25">
            <v>209</v>
          </cell>
          <cell r="C25">
            <v>20</v>
          </cell>
          <cell r="D25" t="str">
            <v>Ster 6mm XL Laminaria/48</v>
          </cell>
          <cell r="E25" t="str">
            <v>INSP</v>
          </cell>
          <cell r="F25" t="str">
            <v>B22516</v>
          </cell>
          <cell r="G25">
            <v>37734</v>
          </cell>
        </row>
        <row r="26">
          <cell r="A26" t="str">
            <v>0320224</v>
          </cell>
          <cell r="B26">
            <v>206</v>
          </cell>
          <cell r="C26">
            <v>100</v>
          </cell>
          <cell r="D26" t="str">
            <v>Ster 3mm Sm Laminaria/48</v>
          </cell>
          <cell r="E26" t="str">
            <v>INSP</v>
          </cell>
          <cell r="F26" t="str">
            <v>B22516</v>
          </cell>
          <cell r="G26">
            <v>37734</v>
          </cell>
        </row>
        <row r="27">
          <cell r="A27" t="str">
            <v>0320229</v>
          </cell>
          <cell r="B27">
            <v>164</v>
          </cell>
          <cell r="C27">
            <v>48</v>
          </cell>
          <cell r="D27" t="str">
            <v>Ster 12FR Frazier/50</v>
          </cell>
          <cell r="E27" t="str">
            <v>INSP</v>
          </cell>
          <cell r="F27" t="str">
            <v>B22503</v>
          </cell>
          <cell r="G27">
            <v>37728</v>
          </cell>
        </row>
        <row r="28">
          <cell r="A28" t="str">
            <v>0320230</v>
          </cell>
          <cell r="B28">
            <v>305</v>
          </cell>
          <cell r="C28">
            <v>60</v>
          </cell>
          <cell r="D28" t="str">
            <v>Ster Yank w/o vent 10'/20</v>
          </cell>
          <cell r="E28" t="str">
            <v>INSP</v>
          </cell>
          <cell r="F28" t="str">
            <v>B22511</v>
          </cell>
          <cell r="G28">
            <v>37728</v>
          </cell>
        </row>
        <row r="29">
          <cell r="A29" t="str">
            <v>0320237</v>
          </cell>
          <cell r="B29">
            <v>5427</v>
          </cell>
          <cell r="C29">
            <v>352</v>
          </cell>
          <cell r="D29" t="str">
            <v>GM#25-5427 Ster SRK /50</v>
          </cell>
          <cell r="E29" t="str">
            <v>INSP</v>
          </cell>
          <cell r="F29" t="str">
            <v>B22503</v>
          </cell>
          <cell r="G29">
            <v>37728</v>
          </cell>
        </row>
        <row r="30">
          <cell r="A30" t="str">
            <v>0320238</v>
          </cell>
          <cell r="B30">
            <v>717</v>
          </cell>
          <cell r="C30">
            <v>528</v>
          </cell>
          <cell r="D30" t="str">
            <v>Ster Suture Kit/50</v>
          </cell>
          <cell r="E30" t="str">
            <v>INSP</v>
          </cell>
          <cell r="F30" t="str">
            <v>B22510</v>
          </cell>
          <cell r="G30">
            <v>37732</v>
          </cell>
        </row>
        <row r="31">
          <cell r="A31" t="str">
            <v>0320246</v>
          </cell>
          <cell r="B31">
            <v>9384</v>
          </cell>
          <cell r="C31">
            <v>250</v>
          </cell>
          <cell r="D31" t="str">
            <v>Ster TPN/CVP Dress Chg/20</v>
          </cell>
          <cell r="E31" t="str">
            <v>INSP</v>
          </cell>
          <cell r="F31" t="str">
            <v>B22488</v>
          </cell>
          <cell r="G31">
            <v>37735</v>
          </cell>
        </row>
        <row r="32">
          <cell r="A32" t="str">
            <v>0320248</v>
          </cell>
          <cell r="B32">
            <v>4465</v>
          </cell>
          <cell r="C32">
            <v>85</v>
          </cell>
          <cell r="D32" t="str">
            <v>Ster PICC C/Line D/C K50C</v>
          </cell>
          <cell r="E32" t="str">
            <v>INSP</v>
          </cell>
          <cell r="F32" t="str">
            <v>B22536</v>
          </cell>
          <cell r="G32">
            <v>37740</v>
          </cell>
        </row>
        <row r="33">
          <cell r="A33" t="str">
            <v>0320250</v>
          </cell>
          <cell r="B33">
            <v>4149</v>
          </cell>
          <cell r="C33">
            <v>100</v>
          </cell>
          <cell r="D33" t="str">
            <v>STER I.V. START 100/CS</v>
          </cell>
          <cell r="E33" t="str">
            <v>INSP</v>
          </cell>
          <cell r="F33" t="str">
            <v>B22490</v>
          </cell>
          <cell r="G33">
            <v>37733</v>
          </cell>
        </row>
        <row r="34">
          <cell r="A34" t="str">
            <v>0320253</v>
          </cell>
          <cell r="B34">
            <v>8368</v>
          </cell>
          <cell r="C34">
            <v>100</v>
          </cell>
          <cell r="D34" t="str">
            <v>Ster C/Line Dress Chg k20</v>
          </cell>
          <cell r="E34" t="str">
            <v>INSP</v>
          </cell>
          <cell r="F34" t="str">
            <v>B22489</v>
          </cell>
          <cell r="G34">
            <v>37732</v>
          </cell>
        </row>
        <row r="35">
          <cell r="A35" t="str">
            <v>0320254</v>
          </cell>
          <cell r="B35">
            <v>4398</v>
          </cell>
          <cell r="C35">
            <v>50</v>
          </cell>
          <cell r="D35" t="str">
            <v>Sterile I.V.Start Kit/50c</v>
          </cell>
          <cell r="E35" t="str">
            <v>INSP</v>
          </cell>
          <cell r="F35" t="str">
            <v>B22487</v>
          </cell>
          <cell r="G35">
            <v>37728</v>
          </cell>
        </row>
        <row r="36">
          <cell r="A36" t="str">
            <v>0320256</v>
          </cell>
          <cell r="B36">
            <v>7190</v>
          </cell>
          <cell r="C36">
            <v>96</v>
          </cell>
          <cell r="D36" t="str">
            <v>Ster Posi-Grip Forcep/100</v>
          </cell>
          <cell r="E36" t="str">
            <v>INSP</v>
          </cell>
        </row>
        <row r="37">
          <cell r="A37" t="str">
            <v>0320258</v>
          </cell>
          <cell r="B37">
            <v>510</v>
          </cell>
          <cell r="C37">
            <v>75</v>
          </cell>
          <cell r="D37" t="str">
            <v>Ster Catheter Plug/200</v>
          </cell>
          <cell r="E37" t="str">
            <v>INSP</v>
          </cell>
        </row>
        <row r="38">
          <cell r="A38" t="str">
            <v>0320265</v>
          </cell>
          <cell r="B38">
            <v>407</v>
          </cell>
          <cell r="C38">
            <v>160</v>
          </cell>
          <cell r="D38" t="str">
            <v>Ster 80cc Mucus Trap/100</v>
          </cell>
          <cell r="E38" t="str">
            <v>INSP</v>
          </cell>
          <cell r="F38" t="str">
            <v>B22510</v>
          </cell>
          <cell r="G38">
            <v>37732</v>
          </cell>
        </row>
        <row r="39">
          <cell r="A39" t="str">
            <v>0320267</v>
          </cell>
          <cell r="B39">
            <v>302</v>
          </cell>
          <cell r="C39">
            <v>240</v>
          </cell>
          <cell r="D39" t="str">
            <v>Ster Yank w/o vent 6'T/20</v>
          </cell>
          <cell r="E39" t="str">
            <v>INSP</v>
          </cell>
          <cell r="F39" t="str">
            <v>B22511</v>
          </cell>
          <cell r="G39">
            <v>37728</v>
          </cell>
        </row>
        <row r="40">
          <cell r="A40" t="str">
            <v>0320271</v>
          </cell>
          <cell r="B40">
            <v>1426</v>
          </cell>
          <cell r="C40">
            <v>180</v>
          </cell>
          <cell r="D40" t="str">
            <v>GM25-402 Ster 2oz Bulb/50</v>
          </cell>
          <cell r="E40" t="str">
            <v>INSP</v>
          </cell>
          <cell r="F40" t="str">
            <v>B22512</v>
          </cell>
          <cell r="G40">
            <v>37734</v>
          </cell>
        </row>
        <row r="41">
          <cell r="A41" t="str">
            <v>0320272</v>
          </cell>
          <cell r="B41">
            <v>772</v>
          </cell>
          <cell r="C41">
            <v>210</v>
          </cell>
          <cell r="D41" t="str">
            <v>Ster StapleRemover S-H/30</v>
          </cell>
          <cell r="E41" t="str">
            <v>INSP</v>
          </cell>
        </row>
        <row r="42">
          <cell r="A42" t="str">
            <v>0320273</v>
          </cell>
          <cell r="B42">
            <v>7166</v>
          </cell>
          <cell r="C42">
            <v>256</v>
          </cell>
          <cell r="D42" t="str">
            <v>GM#25-716 Ster Stpl Rv/48</v>
          </cell>
          <cell r="E42" t="str">
            <v>INSP</v>
          </cell>
          <cell r="F42" t="str">
            <v>B22487</v>
          </cell>
          <cell r="G42">
            <v>37728</v>
          </cell>
        </row>
        <row r="43">
          <cell r="A43" t="str">
            <v>0320274</v>
          </cell>
          <cell r="B43">
            <v>143</v>
          </cell>
          <cell r="C43">
            <v>270</v>
          </cell>
          <cell r="D43" t="str">
            <v>Ster 3oz Bulb Syringe/50</v>
          </cell>
          <cell r="E43" t="str">
            <v>INSP</v>
          </cell>
          <cell r="F43" t="str">
            <v>B22512</v>
          </cell>
          <cell r="G43">
            <v>37734</v>
          </cell>
        </row>
        <row r="44">
          <cell r="A44" t="str">
            <v>0320277</v>
          </cell>
          <cell r="B44">
            <v>3804</v>
          </cell>
          <cell r="C44">
            <v>50</v>
          </cell>
          <cell r="D44" t="str">
            <v>Ster Gen Purpose Tray/50</v>
          </cell>
          <cell r="E44" t="str">
            <v>INSP</v>
          </cell>
          <cell r="F44" t="str">
            <v>B22488</v>
          </cell>
          <cell r="G44">
            <v>37735</v>
          </cell>
        </row>
        <row r="45">
          <cell r="A45" t="str">
            <v>0320284</v>
          </cell>
          <cell r="B45">
            <v>4417</v>
          </cell>
          <cell r="C45">
            <v>50</v>
          </cell>
          <cell r="D45" t="str">
            <v>Ster C/Line DressChg K/50</v>
          </cell>
          <cell r="E45" t="str">
            <v>INSP</v>
          </cell>
          <cell r="F45" t="str">
            <v>B22536</v>
          </cell>
          <cell r="G45">
            <v>37740</v>
          </cell>
        </row>
        <row r="46">
          <cell r="A46" t="str">
            <v>0320291</v>
          </cell>
          <cell r="B46">
            <v>756</v>
          </cell>
          <cell r="C46">
            <v>50</v>
          </cell>
          <cell r="D46" t="str">
            <v>Ster Wound Closure T/20</v>
          </cell>
          <cell r="E46" t="str">
            <v>INSP</v>
          </cell>
          <cell r="F46" t="str">
            <v>B22488</v>
          </cell>
          <cell r="G46">
            <v>37735</v>
          </cell>
        </row>
        <row r="47">
          <cell r="A47" t="str">
            <v>0320292</v>
          </cell>
          <cell r="B47">
            <v>758</v>
          </cell>
          <cell r="C47">
            <v>100</v>
          </cell>
          <cell r="D47" t="str">
            <v>Ster Incision&amp;Drainage/20</v>
          </cell>
          <cell r="E47" t="str">
            <v>INSP</v>
          </cell>
          <cell r="F47" t="str">
            <v>B22488</v>
          </cell>
          <cell r="G47">
            <v>37735</v>
          </cell>
        </row>
        <row r="48">
          <cell r="A48" t="str">
            <v>0320293</v>
          </cell>
          <cell r="B48">
            <v>750</v>
          </cell>
          <cell r="C48">
            <v>120</v>
          </cell>
          <cell r="D48" t="str">
            <v>Ster Mnr Laceration Pk/20</v>
          </cell>
          <cell r="E48" t="str">
            <v>INSP</v>
          </cell>
          <cell r="F48" t="str">
            <v>B22489</v>
          </cell>
          <cell r="G48">
            <v>37732</v>
          </cell>
        </row>
        <row r="49">
          <cell r="A49" t="str">
            <v>0320295</v>
          </cell>
          <cell r="B49">
            <v>162</v>
          </cell>
          <cell r="C49">
            <v>24</v>
          </cell>
          <cell r="D49" t="str">
            <v>Ster 8FR Frazier/50</v>
          </cell>
          <cell r="E49" t="str">
            <v>INSP</v>
          </cell>
          <cell r="F49" t="str">
            <v>B22510</v>
          </cell>
          <cell r="G49">
            <v>37732</v>
          </cell>
        </row>
        <row r="50">
          <cell r="A50" t="str">
            <v>0320297</v>
          </cell>
          <cell r="B50">
            <v>150</v>
          </cell>
          <cell r="C50">
            <v>96</v>
          </cell>
          <cell r="D50" t="str">
            <v>Ster 1/2"Tubing&amp;Handle/25</v>
          </cell>
          <cell r="E50" t="str">
            <v>INSP</v>
          </cell>
          <cell r="F50" t="str">
            <v>B22515</v>
          </cell>
          <cell r="G50">
            <v>37736</v>
          </cell>
        </row>
        <row r="51">
          <cell r="A51" t="str">
            <v>0320298</v>
          </cell>
          <cell r="B51">
            <v>153</v>
          </cell>
          <cell r="C51">
            <v>144</v>
          </cell>
          <cell r="D51" t="str">
            <v>Ster 3/8"Tubing&amp;Handle/25</v>
          </cell>
          <cell r="E51" t="str">
            <v>INSP</v>
          </cell>
          <cell r="F51" t="str">
            <v>B22515</v>
          </cell>
          <cell r="G51">
            <v>37736</v>
          </cell>
        </row>
        <row r="52">
          <cell r="A52" t="str">
            <v>0320300</v>
          </cell>
          <cell r="B52">
            <v>406</v>
          </cell>
          <cell r="C52">
            <v>900</v>
          </cell>
          <cell r="D52" t="str">
            <v>Ster 40cc Mucus Trap/24</v>
          </cell>
          <cell r="E52" t="str">
            <v>INSP</v>
          </cell>
          <cell r="F52" t="str">
            <v>B22514</v>
          </cell>
          <cell r="G52">
            <v>37735</v>
          </cell>
        </row>
        <row r="53">
          <cell r="A53" t="str">
            <v>0320301</v>
          </cell>
          <cell r="B53">
            <v>406</v>
          </cell>
          <cell r="C53">
            <v>501</v>
          </cell>
          <cell r="D53" t="str">
            <v>Ster 40cc Mucus Trap/24</v>
          </cell>
          <cell r="E53" t="str">
            <v>INSP</v>
          </cell>
        </row>
        <row r="54">
          <cell r="A54" t="str">
            <v>0320305</v>
          </cell>
          <cell r="B54">
            <v>726</v>
          </cell>
          <cell r="C54">
            <v>253</v>
          </cell>
          <cell r="D54" t="str">
            <v>Ster Suture Removal/50</v>
          </cell>
          <cell r="E54" t="str">
            <v>INSP</v>
          </cell>
        </row>
        <row r="55">
          <cell r="A55" t="str">
            <v>0320306</v>
          </cell>
          <cell r="B55">
            <v>5425</v>
          </cell>
          <cell r="C55">
            <v>352</v>
          </cell>
          <cell r="D55" t="str">
            <v>GM#25-5425 Ster SRK /50</v>
          </cell>
          <cell r="E55" t="str">
            <v>INSP</v>
          </cell>
          <cell r="F55" t="str">
            <v>B22514</v>
          </cell>
          <cell r="G55">
            <v>37735</v>
          </cell>
        </row>
        <row r="56">
          <cell r="A56" t="str">
            <v>0320307</v>
          </cell>
          <cell r="B56">
            <v>5427</v>
          </cell>
          <cell r="C56">
            <v>352</v>
          </cell>
          <cell r="D56" t="str">
            <v>GM#25-5427 Ster SRK /50</v>
          </cell>
          <cell r="E56" t="str">
            <v>INSP</v>
          </cell>
          <cell r="F56" t="str">
            <v>B22519</v>
          </cell>
        </row>
        <row r="57">
          <cell r="A57" t="str">
            <v>0320309</v>
          </cell>
          <cell r="B57">
            <v>718</v>
          </cell>
          <cell r="C57">
            <v>880</v>
          </cell>
          <cell r="D57" t="str">
            <v>Ster Suture Kit/50</v>
          </cell>
          <cell r="E57" t="str">
            <v>INSP</v>
          </cell>
          <cell r="F57" t="str">
            <v>B22519</v>
          </cell>
        </row>
        <row r="58">
          <cell r="A58" t="str">
            <v>0320310</v>
          </cell>
          <cell r="B58">
            <v>723</v>
          </cell>
          <cell r="C58">
            <v>884</v>
          </cell>
          <cell r="D58" t="str">
            <v>Ster Suture Removal/50</v>
          </cell>
          <cell r="E58" t="str">
            <v>INSP</v>
          </cell>
          <cell r="F58" t="str">
            <v>B22536</v>
          </cell>
          <cell r="G58">
            <v>37740</v>
          </cell>
        </row>
        <row r="59">
          <cell r="A59" t="str">
            <v>0320312</v>
          </cell>
          <cell r="B59">
            <v>1797</v>
          </cell>
          <cell r="C59">
            <v>125</v>
          </cell>
          <cell r="D59" t="str">
            <v>Ster SRK HS/102-1797/48</v>
          </cell>
          <cell r="E59" t="str">
            <v>INSP</v>
          </cell>
          <cell r="F59" t="str">
            <v>B22490</v>
          </cell>
          <cell r="G59">
            <v>37733</v>
          </cell>
        </row>
        <row r="60">
          <cell r="A60" t="str">
            <v>0320314</v>
          </cell>
          <cell r="B60">
            <v>141</v>
          </cell>
          <cell r="C60">
            <v>180</v>
          </cell>
          <cell r="D60" t="str">
            <v>Ster 1oz Bulb Syringe 50c</v>
          </cell>
          <cell r="E60" t="str">
            <v>INSP</v>
          </cell>
          <cell r="F60" t="str">
            <v>B22511</v>
          </cell>
          <cell r="G60">
            <v>37728</v>
          </cell>
        </row>
        <row r="61">
          <cell r="A61" t="str">
            <v>0320318</v>
          </cell>
          <cell r="B61">
            <v>752</v>
          </cell>
          <cell r="C61">
            <v>50</v>
          </cell>
          <cell r="D61" t="str">
            <v>Ster Instrument Tray/20</v>
          </cell>
          <cell r="E61" t="str">
            <v>INSP</v>
          </cell>
          <cell r="F61" t="str">
            <v>B22490</v>
          </cell>
          <cell r="G61">
            <v>37733</v>
          </cell>
        </row>
        <row r="62">
          <cell r="A62" t="str">
            <v>0320323</v>
          </cell>
          <cell r="B62">
            <v>290</v>
          </cell>
          <cell r="C62">
            <v>98</v>
          </cell>
          <cell r="D62" t="str">
            <v>Ster Poole Suct Inst/50</v>
          </cell>
          <cell r="E62" t="str">
            <v>INSP</v>
          </cell>
          <cell r="F62" t="str">
            <v>B22512</v>
          </cell>
          <cell r="G62">
            <v>37734</v>
          </cell>
        </row>
        <row r="63">
          <cell r="A63" t="str">
            <v>0320335</v>
          </cell>
          <cell r="B63">
            <v>302</v>
          </cell>
          <cell r="C63">
            <v>240</v>
          </cell>
          <cell r="D63" t="str">
            <v>Ster Yank w/o vent 6'T/20</v>
          </cell>
          <cell r="E63" t="str">
            <v>INSP</v>
          </cell>
          <cell r="F63" t="str">
            <v>B22519</v>
          </cell>
        </row>
        <row r="64">
          <cell r="A64" t="str">
            <v>0320350</v>
          </cell>
          <cell r="B64">
            <v>291</v>
          </cell>
          <cell r="C64">
            <v>40</v>
          </cell>
          <cell r="D64" t="str">
            <v>Ster Poole Suct Inst/ 20</v>
          </cell>
          <cell r="E64" t="str">
            <v>INSP</v>
          </cell>
          <cell r="F64" t="str">
            <v>B22518</v>
          </cell>
          <cell r="G64">
            <v>37740</v>
          </cell>
        </row>
        <row r="65">
          <cell r="A65" t="str">
            <v>0330066</v>
          </cell>
          <cell r="B65">
            <v>4437</v>
          </cell>
          <cell r="C65">
            <v>15</v>
          </cell>
          <cell r="D65" t="str">
            <v>Ster Dress Chg. Tray 20cs</v>
          </cell>
          <cell r="E65" t="str">
            <v>INSP</v>
          </cell>
          <cell r="F65" t="str">
            <v>B22490</v>
          </cell>
          <cell r="G65">
            <v>37733</v>
          </cell>
        </row>
        <row r="66">
          <cell r="A66" t="str">
            <v>0330068</v>
          </cell>
          <cell r="B66">
            <v>4107</v>
          </cell>
          <cell r="C66">
            <v>35</v>
          </cell>
          <cell r="D66" t="str">
            <v>Ster Wound /Closure K/20C</v>
          </cell>
          <cell r="E66" t="str">
            <v>INSP</v>
          </cell>
        </row>
        <row r="67">
          <cell r="A67" t="str">
            <v>0330070</v>
          </cell>
          <cell r="B67">
            <v>4290</v>
          </cell>
          <cell r="C67">
            <v>20</v>
          </cell>
          <cell r="D67" t="str">
            <v>Ster Dressing Change T20C</v>
          </cell>
          <cell r="E67" t="str">
            <v>INSP</v>
          </cell>
          <cell r="F67" t="str">
            <v>B22488</v>
          </cell>
          <cell r="G67">
            <v>37735</v>
          </cell>
        </row>
        <row r="68">
          <cell r="A68" t="str">
            <v>0330078</v>
          </cell>
          <cell r="B68">
            <v>4243</v>
          </cell>
          <cell r="C68">
            <v>15</v>
          </cell>
          <cell r="D68" t="str">
            <v>Ster C/Line Dress Chg T20</v>
          </cell>
          <cell r="E68" t="str">
            <v>INSP</v>
          </cell>
          <cell r="F68" t="str">
            <v>B22488</v>
          </cell>
          <cell r="G68">
            <v>37735</v>
          </cell>
        </row>
        <row r="69">
          <cell r="A69" t="str">
            <v>0330079</v>
          </cell>
          <cell r="B69">
            <v>747</v>
          </cell>
          <cell r="C69">
            <v>135</v>
          </cell>
          <cell r="D69" t="str">
            <v>Ster Suturing Tray/20</v>
          </cell>
          <cell r="E69" t="str">
            <v>INSP</v>
          </cell>
          <cell r="F69" t="str">
            <v>B22487</v>
          </cell>
          <cell r="G69">
            <v>37728</v>
          </cell>
        </row>
        <row r="70">
          <cell r="A70" t="str">
            <v>0330080</v>
          </cell>
          <cell r="B70">
            <v>749</v>
          </cell>
          <cell r="C70">
            <v>225</v>
          </cell>
          <cell r="D70" t="str">
            <v>Ster E.R.Laceration Ty 20</v>
          </cell>
          <cell r="E70" t="str">
            <v>INSP</v>
          </cell>
        </row>
        <row r="71">
          <cell r="A71" t="str">
            <v>0330082</v>
          </cell>
          <cell r="B71">
            <v>4223</v>
          </cell>
          <cell r="C71">
            <v>25</v>
          </cell>
          <cell r="D71" t="str">
            <v>Ster Suturing Tray /20cs</v>
          </cell>
          <cell r="E71" t="str">
            <v>INSP</v>
          </cell>
          <cell r="F71" t="str">
            <v>B22536</v>
          </cell>
          <cell r="G71">
            <v>37740</v>
          </cell>
        </row>
        <row r="72">
          <cell r="A72" t="str">
            <v>0330084</v>
          </cell>
          <cell r="B72">
            <v>4210</v>
          </cell>
          <cell r="C72">
            <v>15</v>
          </cell>
          <cell r="D72" t="str">
            <v>Ster E.R. Tray 20/cs</v>
          </cell>
          <cell r="E72" t="str">
            <v>INSP</v>
          </cell>
          <cell r="F72" t="str">
            <v>B22489</v>
          </cell>
          <cell r="G72">
            <v>37732</v>
          </cell>
        </row>
        <row r="73">
          <cell r="A73" t="str">
            <v>0330085</v>
          </cell>
          <cell r="B73">
            <v>1846</v>
          </cell>
          <cell r="C73">
            <v>12</v>
          </cell>
          <cell r="D73" t="str">
            <v>Ster Dress Change Tray/30</v>
          </cell>
          <cell r="E73" t="str">
            <v>INSP</v>
          </cell>
        </row>
        <row r="74">
          <cell r="A74" t="str">
            <v>0330095</v>
          </cell>
          <cell r="B74">
            <v>831</v>
          </cell>
          <cell r="C74">
            <v>134</v>
          </cell>
          <cell r="D74" t="str">
            <v>Ster V.A.D. Access Kit/20</v>
          </cell>
          <cell r="E74" t="str">
            <v>INSP</v>
          </cell>
          <cell r="F74" t="str">
            <v>B22488</v>
          </cell>
          <cell r="G74">
            <v>37735</v>
          </cell>
        </row>
        <row r="75">
          <cell r="A75" t="str">
            <v>0330096</v>
          </cell>
          <cell r="B75">
            <v>2691</v>
          </cell>
          <cell r="C75">
            <v>225</v>
          </cell>
          <cell r="D75" t="str">
            <v>GM#25-2691 Ster ER T/20</v>
          </cell>
          <cell r="E75" t="str">
            <v>INSP</v>
          </cell>
          <cell r="F75" t="str">
            <v>B22487</v>
          </cell>
          <cell r="G75">
            <v>37728</v>
          </cell>
        </row>
        <row r="76">
          <cell r="A76" t="str">
            <v>0330097</v>
          </cell>
          <cell r="B76" t="str">
            <v>CAT/2002</v>
          </cell>
          <cell r="C76">
            <v>11</v>
          </cell>
          <cell r="D76" t="str">
            <v>VALIDATION CAT KIT 8/CS</v>
          </cell>
          <cell r="E76" t="str">
            <v>INSP</v>
          </cell>
        </row>
        <row r="77">
          <cell r="A77" t="str">
            <v>0330115</v>
          </cell>
          <cell r="B77">
            <v>4246</v>
          </cell>
          <cell r="C77">
            <v>50</v>
          </cell>
          <cell r="D77" t="str">
            <v>Ster Laceration Tray/20cs</v>
          </cell>
          <cell r="E77" t="str">
            <v>INSP</v>
          </cell>
        </row>
        <row r="78">
          <cell r="A78" t="str">
            <v>0340020</v>
          </cell>
          <cell r="B78">
            <v>698</v>
          </cell>
          <cell r="C78">
            <v>120</v>
          </cell>
          <cell r="D78" t="str">
            <v>Ster Drape/200</v>
          </cell>
          <cell r="E78" t="str">
            <v>INSP</v>
          </cell>
          <cell r="F78" t="str">
            <v>B22508</v>
          </cell>
          <cell r="G78">
            <v>37727</v>
          </cell>
        </row>
        <row r="79">
          <cell r="A79" t="str">
            <v>0340021</v>
          </cell>
          <cell r="B79">
            <v>6963</v>
          </cell>
          <cell r="C79">
            <v>120</v>
          </cell>
          <cell r="D79" t="str">
            <v>Moore#14170 Ster Twl/300</v>
          </cell>
          <cell r="E79" t="str">
            <v>INSP</v>
          </cell>
          <cell r="F79" t="str">
            <v>B22514</v>
          </cell>
          <cell r="G79">
            <v>37735</v>
          </cell>
        </row>
        <row r="80">
          <cell r="A80" t="str">
            <v>0340028</v>
          </cell>
          <cell r="B80">
            <v>5564</v>
          </cell>
          <cell r="C80">
            <v>80</v>
          </cell>
          <cell r="D80" t="str">
            <v>Ster HS/CE 100-3039/T/300</v>
          </cell>
          <cell r="E80" t="str">
            <v>INSP</v>
          </cell>
          <cell r="F80" t="str">
            <v>B22508</v>
          </cell>
          <cell r="G80">
            <v>37727</v>
          </cell>
        </row>
        <row r="81">
          <cell r="A81" t="str">
            <v>0340029</v>
          </cell>
          <cell r="B81">
            <v>6466</v>
          </cell>
          <cell r="C81">
            <v>125</v>
          </cell>
          <cell r="D81" t="str">
            <v>Schn#1009687 Ster Twl/300</v>
          </cell>
          <cell r="E81" t="str">
            <v>INSP</v>
          </cell>
          <cell r="F81" t="str">
            <v>B22510</v>
          </cell>
          <cell r="G81">
            <v>37732</v>
          </cell>
        </row>
        <row r="82">
          <cell r="A82" t="str">
            <v>0340030</v>
          </cell>
          <cell r="B82">
            <v>6116</v>
          </cell>
          <cell r="C82">
            <v>175</v>
          </cell>
          <cell r="D82" t="str">
            <v>Abco#611696 Ster Twl/300</v>
          </cell>
          <cell r="E82" t="str">
            <v>INSP</v>
          </cell>
          <cell r="F82" t="str">
            <v>B22513</v>
          </cell>
          <cell r="G82">
            <v>37734</v>
          </cell>
        </row>
        <row r="83">
          <cell r="A83" t="str">
            <v>0340031</v>
          </cell>
          <cell r="B83">
            <v>6117</v>
          </cell>
          <cell r="C83">
            <v>75</v>
          </cell>
          <cell r="D83" t="str">
            <v>Abco#611697 Ster FTwl/300</v>
          </cell>
          <cell r="E83" t="str">
            <v>INSP</v>
          </cell>
          <cell r="F83" t="str">
            <v>B22513</v>
          </cell>
          <cell r="G83">
            <v>37734</v>
          </cell>
        </row>
        <row r="84">
          <cell r="A84" t="str">
            <v>0340032</v>
          </cell>
          <cell r="B84">
            <v>6964</v>
          </cell>
          <cell r="C84">
            <v>79</v>
          </cell>
          <cell r="D84" t="str">
            <v>Moore#14171 Ster FTwl/300</v>
          </cell>
          <cell r="E84" t="str">
            <v>INSP</v>
          </cell>
          <cell r="F84" t="str">
            <v>B22519</v>
          </cell>
        </row>
        <row r="85">
          <cell r="A85" t="str">
            <v>0340033</v>
          </cell>
          <cell r="B85">
            <v>6366</v>
          </cell>
          <cell r="C85">
            <v>200</v>
          </cell>
          <cell r="D85" t="str">
            <v>GM#25-515 Ster Towel/300</v>
          </cell>
          <cell r="E85" t="str">
            <v>INSP</v>
          </cell>
          <cell r="F85" t="str">
            <v>B22512</v>
          </cell>
          <cell r="G85">
            <v>37734</v>
          </cell>
        </row>
        <row r="86">
          <cell r="A86" t="str">
            <v>0340034</v>
          </cell>
          <cell r="B86">
            <v>696</v>
          </cell>
          <cell r="C86">
            <v>179</v>
          </cell>
          <cell r="D86" t="str">
            <v>Ster Polylined Drape/300</v>
          </cell>
          <cell r="E86" t="str">
            <v>INSP</v>
          </cell>
          <cell r="F86" t="str">
            <v>B22509</v>
          </cell>
          <cell r="G86">
            <v>37728</v>
          </cell>
        </row>
        <row r="87">
          <cell r="A87" t="str">
            <v>0340035</v>
          </cell>
          <cell r="B87" t="str">
            <v>97-93039</v>
          </cell>
          <cell r="C87">
            <v>72</v>
          </cell>
          <cell r="D87" t="str">
            <v>Ster DE P/Lined Fen T/300</v>
          </cell>
          <cell r="E87" t="str">
            <v>INSP</v>
          </cell>
          <cell r="F87" t="str">
            <v>B22514</v>
          </cell>
          <cell r="G87">
            <v>37735</v>
          </cell>
        </row>
        <row r="88">
          <cell r="A88" t="str">
            <v>0340036</v>
          </cell>
          <cell r="B88" t="str">
            <v>97-99687</v>
          </cell>
          <cell r="C88">
            <v>182</v>
          </cell>
          <cell r="D88" t="str">
            <v>Ster DE P/Lined N/F T/300</v>
          </cell>
          <cell r="E88" t="str">
            <v>INSP</v>
          </cell>
          <cell r="F88" t="str">
            <v>B22515</v>
          </cell>
          <cell r="G88">
            <v>37736</v>
          </cell>
        </row>
        <row r="89">
          <cell r="A89" t="str">
            <v>0340038</v>
          </cell>
          <cell r="B89">
            <v>6366</v>
          </cell>
          <cell r="C89">
            <v>200</v>
          </cell>
          <cell r="D89" t="str">
            <v>GM#25-515 Ster Towel/300</v>
          </cell>
          <cell r="E89" t="str">
            <v>INSP</v>
          </cell>
          <cell r="F89" t="str">
            <v>B22503</v>
          </cell>
          <cell r="G89">
            <v>37728</v>
          </cell>
        </row>
        <row r="90">
          <cell r="A90" t="str">
            <v>0340039</v>
          </cell>
          <cell r="B90">
            <v>6367</v>
          </cell>
          <cell r="C90">
            <v>200</v>
          </cell>
          <cell r="D90" t="str">
            <v>GM#25-517 Ster Fn Twl/300</v>
          </cell>
          <cell r="E90" t="str">
            <v>INSP</v>
          </cell>
          <cell r="F90" t="str">
            <v>B22511</v>
          </cell>
          <cell r="G90">
            <v>37728</v>
          </cell>
        </row>
        <row r="91">
          <cell r="A91" t="str">
            <v>0340041</v>
          </cell>
          <cell r="B91">
            <v>6466</v>
          </cell>
          <cell r="C91">
            <v>440</v>
          </cell>
          <cell r="D91" t="str">
            <v>Schn#1009687 Ster Twl/300</v>
          </cell>
          <cell r="E91" t="str">
            <v>INSP</v>
          </cell>
          <cell r="F91" t="str">
            <v>B22523</v>
          </cell>
        </row>
        <row r="92">
          <cell r="A92" t="str">
            <v>0340042</v>
          </cell>
          <cell r="B92">
            <v>5564</v>
          </cell>
          <cell r="C92">
            <v>224</v>
          </cell>
          <cell r="D92" t="str">
            <v>Ster HS/CE 100-3039/T/300</v>
          </cell>
          <cell r="E92" t="str">
            <v>INSP</v>
          </cell>
        </row>
        <row r="93">
          <cell r="A93" t="str">
            <v>0340043</v>
          </cell>
          <cell r="B93">
            <v>6366</v>
          </cell>
          <cell r="C93">
            <v>390</v>
          </cell>
          <cell r="D93" t="str">
            <v>GM#25-515 Ster Towel/300</v>
          </cell>
          <cell r="E93" t="str">
            <v>INSP</v>
          </cell>
          <cell r="F93" t="str">
            <v>B22518</v>
          </cell>
          <cell r="G93">
            <v>37740</v>
          </cell>
        </row>
        <row r="94">
          <cell r="A94" t="str">
            <v>0340044</v>
          </cell>
          <cell r="B94">
            <v>696</v>
          </cell>
          <cell r="C94">
            <v>439</v>
          </cell>
          <cell r="D94" t="str">
            <v>Ster Polylined Drape/300</v>
          </cell>
          <cell r="E94" t="str">
            <v>INSP</v>
          </cell>
          <cell r="F94" t="str">
            <v>B22517</v>
          </cell>
          <cell r="G94">
            <v>37736</v>
          </cell>
        </row>
        <row r="95">
          <cell r="A95" t="str">
            <v>0340045</v>
          </cell>
          <cell r="B95" t="str">
            <v>97-93039</v>
          </cell>
          <cell r="C95">
            <v>42</v>
          </cell>
          <cell r="D95" t="str">
            <v>Ster DE P/Lined Fen T/300</v>
          </cell>
          <cell r="E95" t="str">
            <v>INSP</v>
          </cell>
          <cell r="F95" t="str">
            <v>B22515</v>
          </cell>
          <cell r="G95">
            <v>37736</v>
          </cell>
        </row>
        <row r="96">
          <cell r="A96" t="str">
            <v>0340046</v>
          </cell>
          <cell r="B96" t="str">
            <v>97-99687</v>
          </cell>
          <cell r="C96">
            <v>167</v>
          </cell>
          <cell r="D96" t="str">
            <v>Ster DE P/Lined N/F T/300</v>
          </cell>
          <cell r="E96" t="str">
            <v>INSP</v>
          </cell>
          <cell r="F96" t="str">
            <v>B22513</v>
          </cell>
          <cell r="G96">
            <v>37734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LABEL ENV"/>
      <sheetName val="Release Sheet"/>
      <sheetName val="Sterilization Record Review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Release Sheet New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/>
      <sheetData sheetId="1">
        <row r="1">
          <cell r="A1" t="str">
            <v>0310140</v>
          </cell>
          <cell r="B1">
            <v>829</v>
          </cell>
          <cell r="C1">
            <v>160</v>
          </cell>
          <cell r="D1" t="str">
            <v>Ster TPN/CVP Tray/30</v>
          </cell>
          <cell r="E1" t="str">
            <v>INSP</v>
          </cell>
          <cell r="F1" t="str">
            <v>B22594</v>
          </cell>
          <cell r="G1">
            <v>37817</v>
          </cell>
        </row>
        <row r="2">
          <cell r="A2" t="str">
            <v>0310142</v>
          </cell>
          <cell r="B2">
            <v>8705</v>
          </cell>
          <cell r="C2">
            <v>12</v>
          </cell>
          <cell r="D2" t="str">
            <v>Ster Port Access Tray/30c</v>
          </cell>
          <cell r="E2" t="str">
            <v>INSP</v>
          </cell>
        </row>
        <row r="3">
          <cell r="A3" t="str">
            <v>0310144</v>
          </cell>
          <cell r="B3">
            <v>835</v>
          </cell>
          <cell r="C3">
            <v>40</v>
          </cell>
          <cell r="D3" t="str">
            <v>Ster C/Line Dress Chg.T30</v>
          </cell>
          <cell r="E3" t="str">
            <v>INSP</v>
          </cell>
          <cell r="F3" t="str">
            <v>B22592</v>
          </cell>
          <cell r="G3">
            <v>37812</v>
          </cell>
        </row>
        <row r="4">
          <cell r="A4" t="str">
            <v>0310147</v>
          </cell>
          <cell r="B4">
            <v>1711</v>
          </cell>
          <cell r="C4">
            <v>75</v>
          </cell>
          <cell r="D4" t="str">
            <v>Ster Dress Change Tray/20</v>
          </cell>
          <cell r="E4" t="str">
            <v>INSP</v>
          </cell>
          <cell r="F4" t="str">
            <v>B22596</v>
          </cell>
          <cell r="G4">
            <v>37818</v>
          </cell>
        </row>
        <row r="5">
          <cell r="A5" t="str">
            <v>0310148</v>
          </cell>
          <cell r="B5">
            <v>4370</v>
          </cell>
          <cell r="C5">
            <v>15</v>
          </cell>
          <cell r="D5" t="str">
            <v>SterC/Line Dress Chg T/30</v>
          </cell>
          <cell r="E5" t="str">
            <v>INSP</v>
          </cell>
        </row>
        <row r="6">
          <cell r="A6" t="str">
            <v>0310149</v>
          </cell>
          <cell r="B6">
            <v>4450</v>
          </cell>
          <cell r="C6">
            <v>70</v>
          </cell>
          <cell r="D6" t="str">
            <v>Ster. Dress Change Ty 30c</v>
          </cell>
          <cell r="E6" t="str">
            <v>INSP</v>
          </cell>
        </row>
        <row r="7">
          <cell r="A7" t="str">
            <v>0310150</v>
          </cell>
          <cell r="B7">
            <v>714</v>
          </cell>
          <cell r="C7">
            <v>45</v>
          </cell>
          <cell r="D7" t="str">
            <v>Ster Trach Set/20</v>
          </cell>
          <cell r="E7" t="str">
            <v>INSP</v>
          </cell>
        </row>
        <row r="8">
          <cell r="A8" t="str">
            <v>0310151</v>
          </cell>
          <cell r="B8">
            <v>799</v>
          </cell>
          <cell r="C8">
            <v>180</v>
          </cell>
          <cell r="D8" t="str">
            <v>Ster Trach Set/20</v>
          </cell>
          <cell r="E8" t="str">
            <v>INSP</v>
          </cell>
          <cell r="F8" t="str">
            <v>B22611</v>
          </cell>
          <cell r="G8">
            <v>37818</v>
          </cell>
        </row>
        <row r="9">
          <cell r="A9" t="str">
            <v>0310152</v>
          </cell>
          <cell r="B9">
            <v>835</v>
          </cell>
          <cell r="C9">
            <v>20</v>
          </cell>
          <cell r="D9" t="str">
            <v>Ster C/Line Dress Chg.T30</v>
          </cell>
          <cell r="E9" t="str">
            <v>INSP</v>
          </cell>
        </row>
        <row r="10">
          <cell r="A10" t="str">
            <v>0310153</v>
          </cell>
          <cell r="B10">
            <v>2026</v>
          </cell>
          <cell r="C10">
            <v>120</v>
          </cell>
          <cell r="D10" t="str">
            <v>Ster GM25-2026 Drs/Try/30</v>
          </cell>
          <cell r="E10" t="str">
            <v>INSP</v>
          </cell>
        </row>
        <row r="11">
          <cell r="A11" t="str">
            <v>0310154</v>
          </cell>
          <cell r="B11">
            <v>759</v>
          </cell>
          <cell r="C11">
            <v>270</v>
          </cell>
          <cell r="D11" t="str">
            <v>Ster Dress Chg Tray 20cs</v>
          </cell>
          <cell r="E11" t="str">
            <v>INSP</v>
          </cell>
          <cell r="F11" t="str">
            <v>B22596</v>
          </cell>
          <cell r="G11">
            <v>37818</v>
          </cell>
        </row>
        <row r="12">
          <cell r="A12" t="str">
            <v>0320334</v>
          </cell>
          <cell r="B12">
            <v>164</v>
          </cell>
          <cell r="C12">
            <v>96</v>
          </cell>
          <cell r="D12" t="str">
            <v>Ster 12FR Frazier/50</v>
          </cell>
          <cell r="E12" t="str">
            <v>INSP</v>
          </cell>
          <cell r="F12" t="str">
            <v>B22581</v>
          </cell>
          <cell r="G12">
            <v>37812</v>
          </cell>
        </row>
        <row r="13">
          <cell r="A13" t="str">
            <v>0320440</v>
          </cell>
          <cell r="B13">
            <v>148</v>
          </cell>
          <cell r="C13">
            <v>50</v>
          </cell>
          <cell r="D13" t="str">
            <v>Ster 2OZ K/Bulb Syringe24</v>
          </cell>
          <cell r="E13" t="str">
            <v>INSP</v>
          </cell>
          <cell r="F13" t="str">
            <v>B22611</v>
          </cell>
          <cell r="G13">
            <v>37818</v>
          </cell>
        </row>
        <row r="14">
          <cell r="A14" t="str">
            <v>0320442</v>
          </cell>
          <cell r="B14">
            <v>143</v>
          </cell>
          <cell r="C14">
            <v>270</v>
          </cell>
          <cell r="D14" t="str">
            <v>Ster 3oz Bulb Syringe/50</v>
          </cell>
          <cell r="E14" t="str">
            <v>INSP</v>
          </cell>
          <cell r="F14" t="str">
            <v>B22580</v>
          </cell>
          <cell r="G14">
            <v>37813</v>
          </cell>
        </row>
        <row r="15">
          <cell r="A15" t="str">
            <v>0320444</v>
          </cell>
          <cell r="B15">
            <v>142</v>
          </cell>
          <cell r="C15">
            <v>702</v>
          </cell>
          <cell r="D15" t="str">
            <v>Ster 2oz Bulb Syringe/50</v>
          </cell>
          <cell r="E15" t="str">
            <v>INSP</v>
          </cell>
          <cell r="F15" t="str">
            <v>B22581</v>
          </cell>
          <cell r="G15">
            <v>37812</v>
          </cell>
        </row>
        <row r="16">
          <cell r="A16" t="str">
            <v>0320478</v>
          </cell>
          <cell r="B16">
            <v>7190</v>
          </cell>
          <cell r="C16">
            <v>192</v>
          </cell>
          <cell r="D16" t="str">
            <v>Ster Posi-Grip Forcep/100</v>
          </cell>
          <cell r="E16" t="str">
            <v>INSP</v>
          </cell>
          <cell r="F16" t="str">
            <v>B22577</v>
          </cell>
          <cell r="G16">
            <v>37810</v>
          </cell>
        </row>
        <row r="17">
          <cell r="A17" t="str">
            <v>0320486</v>
          </cell>
          <cell r="B17">
            <v>4067</v>
          </cell>
          <cell r="C17">
            <v>540</v>
          </cell>
          <cell r="D17" t="str">
            <v>Ster SpTrapC30200-176 /24</v>
          </cell>
          <cell r="E17" t="str">
            <v>INSP</v>
          </cell>
          <cell r="F17" t="str">
            <v>B22612</v>
          </cell>
          <cell r="G17">
            <v>37819</v>
          </cell>
        </row>
        <row r="18">
          <cell r="A18" t="str">
            <v>0320490</v>
          </cell>
          <cell r="B18">
            <v>717</v>
          </cell>
          <cell r="C18">
            <v>352</v>
          </cell>
          <cell r="D18" t="str">
            <v>Ster Suture Kit/50</v>
          </cell>
          <cell r="E18" t="str">
            <v>INSP</v>
          </cell>
          <cell r="F18" t="str">
            <v>B22577</v>
          </cell>
          <cell r="G18">
            <v>37810</v>
          </cell>
        </row>
        <row r="19">
          <cell r="A19" t="str">
            <v>0320493</v>
          </cell>
          <cell r="B19">
            <v>2233</v>
          </cell>
          <cell r="C19">
            <v>120</v>
          </cell>
          <cell r="D19" t="str">
            <v>Ster I V Start kit/50cs</v>
          </cell>
          <cell r="E19" t="str">
            <v>INSP</v>
          </cell>
          <cell r="F19" t="str">
            <v>B22592</v>
          </cell>
          <cell r="G19">
            <v>37812</v>
          </cell>
        </row>
        <row r="20">
          <cell r="A20" t="str">
            <v>0320498</v>
          </cell>
          <cell r="B20">
            <v>4132</v>
          </cell>
          <cell r="C20">
            <v>80</v>
          </cell>
          <cell r="D20" t="str">
            <v>Ster I.V.Start Kit/50cs</v>
          </cell>
          <cell r="E20" t="str">
            <v>INSP</v>
          </cell>
          <cell r="F20" t="str">
            <v>B22590</v>
          </cell>
          <cell r="G20">
            <v>37810</v>
          </cell>
        </row>
        <row r="21">
          <cell r="A21" t="str">
            <v>0320503</v>
          </cell>
          <cell r="B21">
            <v>299</v>
          </cell>
          <cell r="C21">
            <v>196</v>
          </cell>
          <cell r="D21" t="str">
            <v>Ster Yank w/vent/bulb/50</v>
          </cell>
          <cell r="E21" t="str">
            <v>INSP</v>
          </cell>
          <cell r="F21" t="str">
            <v>B22611</v>
          </cell>
          <cell r="G21">
            <v>37818</v>
          </cell>
        </row>
        <row r="22">
          <cell r="A22" t="str">
            <v>0320505</v>
          </cell>
          <cell r="B22">
            <v>773</v>
          </cell>
          <cell r="C22">
            <v>116</v>
          </cell>
          <cell r="D22" t="str">
            <v>Ster 51/4"S/BluntN/S/50CS</v>
          </cell>
          <cell r="E22" t="str">
            <v>INSP</v>
          </cell>
          <cell r="F22" t="str">
            <v>B22592</v>
          </cell>
          <cell r="G22">
            <v>37812</v>
          </cell>
        </row>
        <row r="23">
          <cell r="A23" t="str">
            <v>0320509</v>
          </cell>
          <cell r="B23">
            <v>406</v>
          </cell>
          <cell r="C23">
            <v>900</v>
          </cell>
          <cell r="D23" t="str">
            <v>Ster 40cc Mucus Trap/24</v>
          </cell>
          <cell r="E23" t="str">
            <v>INSP</v>
          </cell>
          <cell r="F23" t="str">
            <v>B22612</v>
          </cell>
          <cell r="G23">
            <v>37819</v>
          </cell>
        </row>
        <row r="24">
          <cell r="A24" t="str">
            <v>0320518</v>
          </cell>
          <cell r="B24">
            <v>5840</v>
          </cell>
          <cell r="C24">
            <v>64</v>
          </cell>
          <cell r="D24" t="str">
            <v>GM#25-5840 Ster IV Kit/50</v>
          </cell>
          <cell r="E24" t="str">
            <v>INSP</v>
          </cell>
          <cell r="F24" t="str">
            <v>B22590</v>
          </cell>
          <cell r="G24">
            <v>37810</v>
          </cell>
        </row>
        <row r="25">
          <cell r="A25" t="str">
            <v>0320520</v>
          </cell>
          <cell r="B25">
            <v>5862</v>
          </cell>
          <cell r="C25">
            <v>256</v>
          </cell>
          <cell r="D25" t="str">
            <v>GM#25-5862 Ster IV Kit/50</v>
          </cell>
          <cell r="E25" t="str">
            <v>INSP</v>
          </cell>
          <cell r="F25" t="str">
            <v>B22591</v>
          </cell>
          <cell r="G25">
            <v>37813</v>
          </cell>
        </row>
        <row r="26">
          <cell r="A26" t="str">
            <v>0320521</v>
          </cell>
          <cell r="B26">
            <v>507</v>
          </cell>
          <cell r="C26">
            <v>20</v>
          </cell>
          <cell r="D26" t="str">
            <v>Ster 1/4" Y-Connector/400</v>
          </cell>
          <cell r="E26" t="str">
            <v>INSP</v>
          </cell>
          <cell r="F26" t="str">
            <v>B22579</v>
          </cell>
          <cell r="G26">
            <v>37810</v>
          </cell>
        </row>
        <row r="27">
          <cell r="A27" t="str">
            <v>0320523</v>
          </cell>
          <cell r="B27">
            <v>384</v>
          </cell>
          <cell r="C27">
            <v>78</v>
          </cell>
          <cell r="D27" t="str">
            <v>Ster Umbilical C/Clamp128</v>
          </cell>
          <cell r="E27" t="str">
            <v>INSP</v>
          </cell>
          <cell r="F27" t="str">
            <v>B22592</v>
          </cell>
          <cell r="G27">
            <v>37812</v>
          </cell>
        </row>
        <row r="28">
          <cell r="A28" t="str">
            <v>0320526</v>
          </cell>
          <cell r="B28">
            <v>136</v>
          </cell>
          <cell r="C28">
            <v>22</v>
          </cell>
          <cell r="D28" t="str">
            <v>Ster 10mm Str. Curette/25</v>
          </cell>
          <cell r="E28" t="str">
            <v>INSP</v>
          </cell>
          <cell r="F28" t="str">
            <v>B22611</v>
          </cell>
          <cell r="G28">
            <v>37818</v>
          </cell>
        </row>
        <row r="29">
          <cell r="A29" t="str">
            <v>0320529</v>
          </cell>
          <cell r="B29">
            <v>150</v>
          </cell>
          <cell r="C29">
            <v>45</v>
          </cell>
          <cell r="D29" t="str">
            <v>Ster 1/2"Tubing&amp;Handle/25</v>
          </cell>
          <cell r="E29" t="str">
            <v>INSP</v>
          </cell>
          <cell r="F29" t="str">
            <v>B22580</v>
          </cell>
          <cell r="G29">
            <v>37813</v>
          </cell>
        </row>
        <row r="30">
          <cell r="A30" t="str">
            <v>0320530</v>
          </cell>
          <cell r="B30">
            <v>163</v>
          </cell>
          <cell r="C30">
            <v>48</v>
          </cell>
          <cell r="D30" t="str">
            <v>Ster 10FR Frazier/50</v>
          </cell>
          <cell r="E30" t="str">
            <v>INSP</v>
          </cell>
        </row>
        <row r="31">
          <cell r="A31" t="str">
            <v>0320534</v>
          </cell>
          <cell r="B31">
            <v>285</v>
          </cell>
          <cell r="C31">
            <v>132</v>
          </cell>
          <cell r="D31" t="str">
            <v>Ster 14MM Cvd Curette/ 25</v>
          </cell>
          <cell r="E31" t="str">
            <v>INSP</v>
          </cell>
          <cell r="F31" t="str">
            <v>B22581</v>
          </cell>
          <cell r="G31">
            <v>37812</v>
          </cell>
        </row>
        <row r="32">
          <cell r="A32" t="str">
            <v>0320539</v>
          </cell>
          <cell r="B32">
            <v>7246</v>
          </cell>
          <cell r="C32">
            <v>28</v>
          </cell>
          <cell r="D32" t="str">
            <v>Ster 5 1/4" S/B Scr/100</v>
          </cell>
          <cell r="E32" t="str">
            <v>INSP</v>
          </cell>
        </row>
        <row r="33">
          <cell r="A33" t="str">
            <v>0320540</v>
          </cell>
          <cell r="B33">
            <v>772</v>
          </cell>
          <cell r="C33">
            <v>105</v>
          </cell>
          <cell r="D33" t="str">
            <v>Ster StapleRemover S-H/30</v>
          </cell>
          <cell r="E33" t="str">
            <v>INSP</v>
          </cell>
          <cell r="F33" t="str">
            <v>B22592</v>
          </cell>
          <cell r="G33">
            <v>37812</v>
          </cell>
        </row>
        <row r="34">
          <cell r="A34" t="str">
            <v>0320545</v>
          </cell>
          <cell r="B34">
            <v>9384</v>
          </cell>
          <cell r="C34">
            <v>225</v>
          </cell>
          <cell r="D34" t="str">
            <v>Ster TPN/CVP Dress Chg/20</v>
          </cell>
          <cell r="E34" t="str">
            <v>INSP</v>
          </cell>
          <cell r="F34" t="str">
            <v>B22593</v>
          </cell>
          <cell r="G34">
            <v>37817</v>
          </cell>
        </row>
        <row r="35">
          <cell r="A35" t="str">
            <v>0320547</v>
          </cell>
          <cell r="B35">
            <v>4429</v>
          </cell>
          <cell r="C35">
            <v>25</v>
          </cell>
          <cell r="D35" t="str">
            <v>Ster A/C/Line D/Chg K/50C</v>
          </cell>
          <cell r="E35" t="str">
            <v>INSP</v>
          </cell>
          <cell r="F35" t="str">
            <v>B22592</v>
          </cell>
          <cell r="G35">
            <v>37812</v>
          </cell>
        </row>
        <row r="36">
          <cell r="A36" t="str">
            <v>0320549</v>
          </cell>
          <cell r="B36">
            <v>818</v>
          </cell>
          <cell r="C36">
            <v>128</v>
          </cell>
          <cell r="D36" t="str">
            <v>Ster I.V. Start KIT 50/CS</v>
          </cell>
          <cell r="E36" t="str">
            <v>INSP</v>
          </cell>
          <cell r="F36" t="str">
            <v>B22592</v>
          </cell>
          <cell r="G36">
            <v>37812</v>
          </cell>
        </row>
        <row r="37">
          <cell r="A37" t="str">
            <v>0320550</v>
          </cell>
          <cell r="B37">
            <v>8716</v>
          </cell>
          <cell r="C37">
            <v>30</v>
          </cell>
          <cell r="D37" t="str">
            <v>Ster C/Line Dress C/Ty/50</v>
          </cell>
          <cell r="E37" t="str">
            <v>INSP</v>
          </cell>
          <cell r="F37" t="str">
            <v>B22592</v>
          </cell>
          <cell r="G37">
            <v>37812</v>
          </cell>
        </row>
        <row r="38">
          <cell r="A38" t="str">
            <v>0320554</v>
          </cell>
          <cell r="B38">
            <v>298</v>
          </cell>
          <cell r="C38">
            <v>10</v>
          </cell>
          <cell r="D38" t="str">
            <v>Ster Yank w/o vent blb/50</v>
          </cell>
          <cell r="E38" t="str">
            <v>INSP</v>
          </cell>
          <cell r="F38" t="str">
            <v>B22581</v>
          </cell>
          <cell r="G38">
            <v>37812</v>
          </cell>
        </row>
        <row r="39">
          <cell r="A39" t="str">
            <v>0320555</v>
          </cell>
          <cell r="B39">
            <v>750</v>
          </cell>
          <cell r="C39">
            <v>120</v>
          </cell>
          <cell r="D39" t="str">
            <v>Ster Mnr Laceration Pk/20</v>
          </cell>
          <cell r="E39" t="str">
            <v>INSP</v>
          </cell>
        </row>
        <row r="40">
          <cell r="A40" t="str">
            <v>0320556</v>
          </cell>
          <cell r="B40">
            <v>305</v>
          </cell>
          <cell r="C40">
            <v>26</v>
          </cell>
          <cell r="D40" t="str">
            <v>Ster Yank w/o vent 10'/20</v>
          </cell>
          <cell r="E40" t="str">
            <v>INSP</v>
          </cell>
        </row>
        <row r="41">
          <cell r="A41" t="str">
            <v>0320557</v>
          </cell>
          <cell r="B41">
            <v>154</v>
          </cell>
          <cell r="C41">
            <v>48</v>
          </cell>
          <cell r="D41" t="str">
            <v>Ster 6' x 1/4" Tubing/50</v>
          </cell>
          <cell r="E41" t="str">
            <v>INSP</v>
          </cell>
        </row>
        <row r="42">
          <cell r="A42" t="str">
            <v>0320558</v>
          </cell>
          <cell r="B42">
            <v>302</v>
          </cell>
          <cell r="C42">
            <v>320</v>
          </cell>
          <cell r="D42" t="str">
            <v>Ster Yank w/o vent 6'T/20</v>
          </cell>
          <cell r="E42" t="str">
            <v>INSP</v>
          </cell>
          <cell r="F42" t="str">
            <v>B22577</v>
          </cell>
          <cell r="G42">
            <v>37810</v>
          </cell>
        </row>
        <row r="43">
          <cell r="A43" t="str">
            <v>0320560</v>
          </cell>
          <cell r="B43">
            <v>298</v>
          </cell>
          <cell r="C43">
            <v>588</v>
          </cell>
          <cell r="D43" t="str">
            <v>Ster Yank w/o vent blb/50</v>
          </cell>
          <cell r="E43" t="str">
            <v>INSP</v>
          </cell>
          <cell r="F43" t="str">
            <v>B22580</v>
          </cell>
          <cell r="G43">
            <v>37813</v>
          </cell>
        </row>
        <row r="44">
          <cell r="A44" t="str">
            <v>0320570</v>
          </cell>
          <cell r="B44">
            <v>4500</v>
          </cell>
          <cell r="C44">
            <v>50</v>
          </cell>
          <cell r="D44" t="str">
            <v>Ster Dress Change Kit30cs</v>
          </cell>
          <cell r="E44" t="str">
            <v>INSP</v>
          </cell>
          <cell r="F44" t="str">
            <v>B22594</v>
          </cell>
          <cell r="G44">
            <v>37817</v>
          </cell>
        </row>
        <row r="45">
          <cell r="A45" t="str">
            <v>0320572</v>
          </cell>
          <cell r="B45">
            <v>766</v>
          </cell>
          <cell r="C45">
            <v>40</v>
          </cell>
          <cell r="D45" t="str">
            <v>Sterile Saf-Shield 50/cs</v>
          </cell>
          <cell r="E45" t="str">
            <v>INSP</v>
          </cell>
          <cell r="F45" t="str">
            <v>B22611</v>
          </cell>
          <cell r="G45">
            <v>37818</v>
          </cell>
        </row>
        <row r="46">
          <cell r="A46" t="str">
            <v>0320573</v>
          </cell>
          <cell r="B46">
            <v>818</v>
          </cell>
          <cell r="C46">
            <v>128</v>
          </cell>
          <cell r="D46" t="str">
            <v>Ster I.V. Start KIT 50/CS</v>
          </cell>
          <cell r="E46" t="str">
            <v>INSP</v>
          </cell>
          <cell r="F46" t="str">
            <v>B22594</v>
          </cell>
          <cell r="G46">
            <v>37817</v>
          </cell>
        </row>
        <row r="47">
          <cell r="A47" t="str">
            <v>0320576</v>
          </cell>
          <cell r="B47">
            <v>758</v>
          </cell>
          <cell r="C47">
            <v>100</v>
          </cell>
          <cell r="D47" t="str">
            <v>Ster Incision&amp;Drainage/20</v>
          </cell>
          <cell r="E47" t="str">
            <v>INSP</v>
          </cell>
        </row>
        <row r="48">
          <cell r="A48" t="str">
            <v>0320577</v>
          </cell>
          <cell r="B48">
            <v>751</v>
          </cell>
          <cell r="C48">
            <v>300</v>
          </cell>
          <cell r="D48" t="str">
            <v>Ster Mnr Laceration Pk/20</v>
          </cell>
          <cell r="E48" t="str">
            <v>INSP</v>
          </cell>
          <cell r="F48" t="str">
            <v>B22594</v>
          </cell>
          <cell r="G48">
            <v>37817</v>
          </cell>
        </row>
        <row r="49">
          <cell r="A49" t="str">
            <v>0320581</v>
          </cell>
          <cell r="B49">
            <v>153</v>
          </cell>
          <cell r="C49">
            <v>87</v>
          </cell>
          <cell r="D49" t="str">
            <v>Ster 3/8"Tubing&amp;Handle/25</v>
          </cell>
          <cell r="E49" t="str">
            <v>INSP</v>
          </cell>
        </row>
        <row r="50">
          <cell r="A50" t="str">
            <v>0320582</v>
          </cell>
          <cell r="B50">
            <v>302</v>
          </cell>
          <cell r="C50">
            <v>425</v>
          </cell>
          <cell r="D50" t="str">
            <v>Ster Yank w/o vent 6'T/20</v>
          </cell>
          <cell r="E50" t="str">
            <v>INSP</v>
          </cell>
          <cell r="F50" t="str">
            <v>B22611</v>
          </cell>
          <cell r="G50">
            <v>37818</v>
          </cell>
        </row>
        <row r="51">
          <cell r="A51" t="str">
            <v>0320594</v>
          </cell>
          <cell r="B51">
            <v>766</v>
          </cell>
          <cell r="C51">
            <v>40</v>
          </cell>
          <cell r="D51" t="str">
            <v>Sterile Saf-Shield 50/cs</v>
          </cell>
          <cell r="E51" t="str">
            <v>INSP</v>
          </cell>
          <cell r="F51" t="str">
            <v>B22612</v>
          </cell>
          <cell r="G51">
            <v>37819</v>
          </cell>
        </row>
        <row r="52">
          <cell r="A52" t="str">
            <v>0320597</v>
          </cell>
          <cell r="B52">
            <v>155</v>
          </cell>
          <cell r="C52">
            <v>42</v>
          </cell>
          <cell r="D52" t="str">
            <v>Ster 10' x 1/4" Tubing/50</v>
          </cell>
          <cell r="E52" t="str">
            <v>INSP</v>
          </cell>
        </row>
        <row r="53">
          <cell r="A53" t="str">
            <v>0320600</v>
          </cell>
          <cell r="B53">
            <v>298</v>
          </cell>
          <cell r="C53">
            <v>588</v>
          </cell>
          <cell r="D53" t="str">
            <v>Ster Yank w/o vent blb/50</v>
          </cell>
          <cell r="E53" t="str">
            <v>INSP</v>
          </cell>
          <cell r="F53" t="str">
            <v>B22581</v>
          </cell>
          <cell r="G53">
            <v>37812</v>
          </cell>
        </row>
        <row r="54">
          <cell r="A54" t="str">
            <v>0320608</v>
          </cell>
          <cell r="B54">
            <v>1539</v>
          </cell>
          <cell r="C54">
            <v>128</v>
          </cell>
          <cell r="D54" t="str">
            <v>Ster 8'3/8" Tubing /10</v>
          </cell>
          <cell r="E54" t="str">
            <v>INSP</v>
          </cell>
        </row>
        <row r="55">
          <cell r="A55" t="str">
            <v>0330160</v>
          </cell>
          <cell r="B55">
            <v>747</v>
          </cell>
          <cell r="C55">
            <v>180</v>
          </cell>
          <cell r="D55" t="str">
            <v>Ster Suturing Tray/20</v>
          </cell>
          <cell r="E55" t="str">
            <v>INSP</v>
          </cell>
          <cell r="F55" t="str">
            <v>B22590</v>
          </cell>
          <cell r="G55">
            <v>37810</v>
          </cell>
        </row>
        <row r="56">
          <cell r="A56" t="str">
            <v>0330163</v>
          </cell>
          <cell r="B56">
            <v>8855</v>
          </cell>
          <cell r="C56">
            <v>30</v>
          </cell>
          <cell r="D56" t="str">
            <v>Ster C/Line D/Chg Tray/20</v>
          </cell>
          <cell r="E56" t="str">
            <v>INSP</v>
          </cell>
          <cell r="F56" t="str">
            <v>B22590</v>
          </cell>
          <cell r="G56">
            <v>37810</v>
          </cell>
        </row>
        <row r="57">
          <cell r="A57" t="str">
            <v>0330168</v>
          </cell>
          <cell r="B57">
            <v>8944</v>
          </cell>
          <cell r="C57">
            <v>25</v>
          </cell>
          <cell r="D57" t="str">
            <v>Ster ER Lac.Tray/20</v>
          </cell>
          <cell r="E57" t="str">
            <v>INSP</v>
          </cell>
          <cell r="F57" t="str">
            <v>B22592</v>
          </cell>
          <cell r="G57">
            <v>37812</v>
          </cell>
        </row>
        <row r="58">
          <cell r="A58" t="str">
            <v>0330171</v>
          </cell>
          <cell r="B58">
            <v>8127</v>
          </cell>
          <cell r="C58">
            <v>20</v>
          </cell>
          <cell r="D58" t="str">
            <v>Ster Dress Chg TrayY/20cs</v>
          </cell>
          <cell r="E58" t="str">
            <v>INSP</v>
          </cell>
          <cell r="F58" t="str">
            <v>B22590</v>
          </cell>
          <cell r="G58">
            <v>37810</v>
          </cell>
        </row>
        <row r="59">
          <cell r="A59" t="str">
            <v>0330173</v>
          </cell>
          <cell r="B59">
            <v>8399</v>
          </cell>
          <cell r="C59">
            <v>50</v>
          </cell>
          <cell r="D59" t="str">
            <v>Ster V.A.D.Access Kit/20c</v>
          </cell>
          <cell r="E59" t="str">
            <v>INSP</v>
          </cell>
          <cell r="F59" t="str">
            <v>B22590</v>
          </cell>
          <cell r="G59">
            <v>37810</v>
          </cell>
        </row>
        <row r="60">
          <cell r="A60" t="str">
            <v>0330174</v>
          </cell>
          <cell r="B60">
            <v>5814</v>
          </cell>
          <cell r="C60">
            <v>25</v>
          </cell>
          <cell r="D60" t="str">
            <v>Ster Prep Tray/20</v>
          </cell>
          <cell r="E60" t="str">
            <v>INSP</v>
          </cell>
          <cell r="F60" t="str">
            <v>B22590</v>
          </cell>
          <cell r="G60">
            <v>37810</v>
          </cell>
        </row>
        <row r="61">
          <cell r="A61" t="str">
            <v>0330175</v>
          </cell>
          <cell r="B61">
            <v>2685</v>
          </cell>
          <cell r="C61">
            <v>45</v>
          </cell>
          <cell r="D61" t="str">
            <v>GM#25-2685 Ster E.R.Ty20c</v>
          </cell>
          <cell r="E61" t="str">
            <v>INSP</v>
          </cell>
          <cell r="F61" t="str">
            <v>B22591</v>
          </cell>
          <cell r="G61">
            <v>37813</v>
          </cell>
        </row>
        <row r="62">
          <cell r="A62" t="str">
            <v>0330179</v>
          </cell>
          <cell r="B62">
            <v>4275</v>
          </cell>
          <cell r="C62">
            <v>16</v>
          </cell>
          <cell r="D62" t="str">
            <v>Ster Vad Access Kit/20cs</v>
          </cell>
          <cell r="E62" t="str">
            <v>INSP</v>
          </cell>
          <cell r="F62" t="str">
            <v>B22590</v>
          </cell>
          <cell r="G62">
            <v>37810</v>
          </cell>
        </row>
        <row r="63">
          <cell r="A63" t="str">
            <v>0330180</v>
          </cell>
          <cell r="B63">
            <v>8784</v>
          </cell>
          <cell r="C63">
            <v>60</v>
          </cell>
          <cell r="D63" t="str">
            <v>Ster Laceration Tray/20cs</v>
          </cell>
          <cell r="E63" t="str">
            <v>INSP</v>
          </cell>
          <cell r="F63" t="str">
            <v>B22591</v>
          </cell>
          <cell r="G63">
            <v>37813</v>
          </cell>
        </row>
        <row r="64">
          <cell r="A64" t="str">
            <v>0330181</v>
          </cell>
          <cell r="B64">
            <v>8369</v>
          </cell>
          <cell r="C64">
            <v>15</v>
          </cell>
          <cell r="D64" t="str">
            <v>Ster Dressing Chg Tray/20</v>
          </cell>
          <cell r="E64" t="str">
            <v>INSP</v>
          </cell>
          <cell r="F64" t="str">
            <v>B22591</v>
          </cell>
          <cell r="G64">
            <v>37813</v>
          </cell>
        </row>
        <row r="65">
          <cell r="A65" t="str">
            <v>0330182</v>
          </cell>
          <cell r="B65">
            <v>8077</v>
          </cell>
          <cell r="C65">
            <v>30</v>
          </cell>
          <cell r="D65" t="str">
            <v>Ster C/Line Dress Chg.T20</v>
          </cell>
          <cell r="E65" t="str">
            <v>INSP</v>
          </cell>
          <cell r="F65" t="str">
            <v>B22591</v>
          </cell>
          <cell r="G65">
            <v>37813</v>
          </cell>
        </row>
        <row r="66">
          <cell r="A66" t="str">
            <v>0330184</v>
          </cell>
          <cell r="B66">
            <v>2283</v>
          </cell>
          <cell r="C66">
            <v>15</v>
          </cell>
          <cell r="D66" t="str">
            <v>Ster E.R.Laceration T/20C</v>
          </cell>
          <cell r="E66" t="str">
            <v>INSP</v>
          </cell>
          <cell r="F66" t="str">
            <v>B22591</v>
          </cell>
          <cell r="G66">
            <v>37813</v>
          </cell>
        </row>
        <row r="67">
          <cell r="A67" t="str">
            <v>0330185</v>
          </cell>
          <cell r="B67">
            <v>8150</v>
          </cell>
          <cell r="C67">
            <v>20</v>
          </cell>
          <cell r="D67" t="str">
            <v>Sterile Dress Chg Tray/20</v>
          </cell>
          <cell r="E67" t="str">
            <v>INSP</v>
          </cell>
          <cell r="F67" t="str">
            <v>B22592</v>
          </cell>
          <cell r="G67">
            <v>37812</v>
          </cell>
        </row>
        <row r="68">
          <cell r="A68" t="str">
            <v>0330186</v>
          </cell>
          <cell r="B68">
            <v>3665</v>
          </cell>
          <cell r="C68">
            <v>35</v>
          </cell>
          <cell r="D68" t="str">
            <v>Ster Laceration Tray/20</v>
          </cell>
          <cell r="E68" t="str">
            <v>INSP</v>
          </cell>
          <cell r="F68" t="str">
            <v>B22592</v>
          </cell>
          <cell r="G68">
            <v>37812</v>
          </cell>
        </row>
        <row r="69">
          <cell r="A69" t="str">
            <v>0330187</v>
          </cell>
          <cell r="B69">
            <v>3668</v>
          </cell>
          <cell r="C69">
            <v>65</v>
          </cell>
          <cell r="D69" t="str">
            <v>Ster ER Laceration T/20</v>
          </cell>
          <cell r="E69" t="str">
            <v>INSP</v>
          </cell>
          <cell r="F69" t="str">
            <v>B22592</v>
          </cell>
          <cell r="G69">
            <v>37812</v>
          </cell>
        </row>
        <row r="70">
          <cell r="A70" t="str">
            <v>0330188</v>
          </cell>
          <cell r="B70">
            <v>8045</v>
          </cell>
          <cell r="C70">
            <v>25</v>
          </cell>
          <cell r="D70" t="str">
            <v>Ster ER Laceration T/20</v>
          </cell>
          <cell r="E70" t="str">
            <v>INSP</v>
          </cell>
          <cell r="F70" t="str">
            <v>B22593</v>
          </cell>
          <cell r="G70">
            <v>37817</v>
          </cell>
        </row>
        <row r="71">
          <cell r="A71" t="str">
            <v>0330189</v>
          </cell>
          <cell r="B71">
            <v>8802</v>
          </cell>
          <cell r="C71">
            <v>25</v>
          </cell>
          <cell r="D71" t="str">
            <v>Ster E R Laceration Ty20</v>
          </cell>
          <cell r="E71" t="str">
            <v>INSP</v>
          </cell>
          <cell r="F71" t="str">
            <v>B22592</v>
          </cell>
          <cell r="G71">
            <v>37812</v>
          </cell>
        </row>
        <row r="72">
          <cell r="A72" t="str">
            <v>0330190</v>
          </cell>
          <cell r="B72">
            <v>4261</v>
          </cell>
          <cell r="C72">
            <v>10</v>
          </cell>
          <cell r="D72" t="str">
            <v>Ster Laceration Tray/20cs</v>
          </cell>
          <cell r="E72" t="str">
            <v>INSP</v>
          </cell>
          <cell r="F72" t="str">
            <v>B22592</v>
          </cell>
          <cell r="G72">
            <v>37812</v>
          </cell>
        </row>
        <row r="73">
          <cell r="A73" t="str">
            <v>0330193</v>
          </cell>
          <cell r="B73">
            <v>2691</v>
          </cell>
          <cell r="C73">
            <v>225</v>
          </cell>
          <cell r="D73" t="str">
            <v>GM#25-2691 Ster ER T/20</v>
          </cell>
          <cell r="E73" t="str">
            <v>INSP</v>
          </cell>
          <cell r="F73" t="str">
            <v>B22593</v>
          </cell>
          <cell r="G73">
            <v>37817</v>
          </cell>
        </row>
        <row r="74">
          <cell r="A74" t="str">
            <v>0330195</v>
          </cell>
          <cell r="B74">
            <v>4107</v>
          </cell>
          <cell r="C74">
            <v>25</v>
          </cell>
          <cell r="D74" t="str">
            <v>Ster Wound /Closure K/20C</v>
          </cell>
          <cell r="E74" t="str">
            <v>INSP</v>
          </cell>
        </row>
        <row r="75">
          <cell r="A75" t="str">
            <v>0330197</v>
          </cell>
          <cell r="B75" t="str">
            <v>CAT/2003</v>
          </cell>
          <cell r="C75">
            <v>15</v>
          </cell>
          <cell r="D75" t="str">
            <v>VALIDATION CAT KIT/8CS</v>
          </cell>
          <cell r="E75" t="str">
            <v>INSP</v>
          </cell>
          <cell r="F75" t="str">
            <v>B22651</v>
          </cell>
          <cell r="G75">
            <v>37810</v>
          </cell>
        </row>
        <row r="76">
          <cell r="A76" t="str">
            <v>0330198</v>
          </cell>
          <cell r="B76">
            <v>9364</v>
          </cell>
          <cell r="C76">
            <v>30</v>
          </cell>
          <cell r="D76" t="str">
            <v>Ster Suture Tray/20</v>
          </cell>
          <cell r="E76" t="str">
            <v>INSP</v>
          </cell>
          <cell r="F76" t="str">
            <v>B22594</v>
          </cell>
          <cell r="G76">
            <v>37817</v>
          </cell>
        </row>
        <row r="77">
          <cell r="A77" t="str">
            <v>0330199</v>
          </cell>
          <cell r="B77">
            <v>4275</v>
          </cell>
          <cell r="C77">
            <v>16</v>
          </cell>
          <cell r="D77" t="str">
            <v>Ster Vad Access Kit/20cs</v>
          </cell>
          <cell r="E77" t="str">
            <v>INSP</v>
          </cell>
        </row>
        <row r="78">
          <cell r="A78" t="str">
            <v>0330200</v>
          </cell>
          <cell r="B78">
            <v>1846</v>
          </cell>
          <cell r="C78">
            <v>88</v>
          </cell>
          <cell r="D78" t="str">
            <v>Ster Dress Change Tray/30</v>
          </cell>
          <cell r="E78" t="str">
            <v>INSP</v>
          </cell>
        </row>
        <row r="79">
          <cell r="A79" t="str">
            <v>0330202</v>
          </cell>
          <cell r="B79">
            <v>2685</v>
          </cell>
          <cell r="C79">
            <v>90</v>
          </cell>
          <cell r="D79" t="str">
            <v>GM#25-2685 Ster E.R.Ty20c</v>
          </cell>
          <cell r="E79" t="str">
            <v>INSP</v>
          </cell>
          <cell r="F79" t="str">
            <v>B22596</v>
          </cell>
          <cell r="G79">
            <v>37818</v>
          </cell>
        </row>
        <row r="80">
          <cell r="A80" t="str">
            <v>0330205</v>
          </cell>
          <cell r="B80">
            <v>1892</v>
          </cell>
          <cell r="C80">
            <v>15</v>
          </cell>
          <cell r="D80" t="str">
            <v>Ster Laceration Tray/20</v>
          </cell>
          <cell r="E80" t="str">
            <v>INSP</v>
          </cell>
        </row>
        <row r="81">
          <cell r="A81" t="str">
            <v>0330208</v>
          </cell>
          <cell r="B81">
            <v>167</v>
          </cell>
          <cell r="C81">
            <v>36</v>
          </cell>
          <cell r="D81" t="str">
            <v>Ster Sigmoid w/ Tubing/20</v>
          </cell>
          <cell r="E81" t="str">
            <v>INSP</v>
          </cell>
          <cell r="F81" t="str">
            <v>B22612</v>
          </cell>
          <cell r="G81">
            <v>37819</v>
          </cell>
        </row>
        <row r="82">
          <cell r="A82" t="str">
            <v>0330210</v>
          </cell>
          <cell r="B82">
            <v>2209</v>
          </cell>
          <cell r="C82">
            <v>25</v>
          </cell>
          <cell r="D82" t="str">
            <v>Ster C/Line Dress Chg T30</v>
          </cell>
          <cell r="E82" t="str">
            <v>INSP</v>
          </cell>
        </row>
        <row r="83">
          <cell r="A83" t="str">
            <v>0330216</v>
          </cell>
          <cell r="B83">
            <v>8886</v>
          </cell>
          <cell r="C83">
            <v>9</v>
          </cell>
          <cell r="D83" t="str">
            <v>Ster Dressing Chg Tray/20</v>
          </cell>
          <cell r="E83" t="str">
            <v>INSP</v>
          </cell>
        </row>
        <row r="84">
          <cell r="A84" t="str">
            <v>0340085</v>
          </cell>
          <cell r="B84">
            <v>696</v>
          </cell>
          <cell r="C84">
            <v>200</v>
          </cell>
          <cell r="D84" t="str">
            <v>Ster Polylined Drape/300</v>
          </cell>
          <cell r="E84" t="str">
            <v>INSP</v>
          </cell>
          <cell r="F84" t="str">
            <v>B22577</v>
          </cell>
          <cell r="G84">
            <v>37810</v>
          </cell>
        </row>
        <row r="85">
          <cell r="A85" t="str">
            <v>0340086</v>
          </cell>
          <cell r="B85">
            <v>6366</v>
          </cell>
          <cell r="C85">
            <v>440</v>
          </cell>
          <cell r="D85" t="str">
            <v>GM#25-515 Ster Towel/300</v>
          </cell>
          <cell r="E85" t="str">
            <v>INSP</v>
          </cell>
          <cell r="F85" t="str">
            <v>B22582</v>
          </cell>
          <cell r="G85">
            <v>37817</v>
          </cell>
        </row>
        <row r="86">
          <cell r="A86" t="str">
            <v>0340089</v>
          </cell>
          <cell r="B86">
            <v>6466</v>
          </cell>
          <cell r="C86">
            <v>342</v>
          </cell>
          <cell r="D86" t="str">
            <v>Schn#1009687 Ster Twl/300</v>
          </cell>
          <cell r="E86" t="str">
            <v>INSP</v>
          </cell>
        </row>
        <row r="87">
          <cell r="A87" t="str">
            <v>0340093</v>
          </cell>
          <cell r="B87">
            <v>6963</v>
          </cell>
          <cell r="C87">
            <v>120</v>
          </cell>
          <cell r="D87" t="str">
            <v>Moore#14170 Ster Twl/300</v>
          </cell>
          <cell r="E87" t="str">
            <v>INSP</v>
          </cell>
          <cell r="F87" t="str">
            <v>B22612</v>
          </cell>
          <cell r="G87">
            <v>37819</v>
          </cell>
        </row>
        <row r="88">
          <cell r="A88" t="str">
            <v>0340094</v>
          </cell>
          <cell r="B88">
            <v>6367</v>
          </cell>
          <cell r="C88">
            <v>186</v>
          </cell>
          <cell r="D88" t="str">
            <v>GM#25-517 Ster Fn Twl/300</v>
          </cell>
          <cell r="E88" t="str">
            <v>INSP</v>
          </cell>
        </row>
        <row r="89">
          <cell r="A89" t="str">
            <v>0340097</v>
          </cell>
          <cell r="B89">
            <v>696</v>
          </cell>
          <cell r="C89">
            <v>408</v>
          </cell>
          <cell r="D89" t="str">
            <v>Ster Polylined Drape/300</v>
          </cell>
          <cell r="E89" t="str">
            <v>INSP</v>
          </cell>
          <cell r="F89" t="str">
            <v>B22579</v>
          </cell>
          <cell r="G89">
            <v>37810</v>
          </cell>
        </row>
        <row r="90">
          <cell r="A90" t="str">
            <v>0340113</v>
          </cell>
          <cell r="B90">
            <v>696</v>
          </cell>
          <cell r="C90">
            <v>200</v>
          </cell>
          <cell r="D90" t="str">
            <v>Ster Polylined Drape/300</v>
          </cell>
          <cell r="E90" t="str">
            <v>INSP</v>
          </cell>
          <cell r="F90" t="str">
            <v>B22578</v>
          </cell>
          <cell r="G90">
            <v>37813</v>
          </cell>
        </row>
        <row r="91">
          <cell r="A91" t="str">
            <v>0310091</v>
          </cell>
          <cell r="B91">
            <v>759</v>
          </cell>
          <cell r="C91">
            <v>4</v>
          </cell>
          <cell r="D91" t="str">
            <v>Ster Dress Chg Tray 20cs</v>
          </cell>
          <cell r="E91" t="str">
            <v>J</v>
          </cell>
          <cell r="F91" t="str">
            <v>B22546</v>
          </cell>
          <cell r="G91">
            <v>37781</v>
          </cell>
        </row>
        <row r="92">
          <cell r="A92" t="str">
            <v>0320376</v>
          </cell>
          <cell r="B92">
            <v>142</v>
          </cell>
          <cell r="C92">
            <v>180</v>
          </cell>
          <cell r="D92" t="str">
            <v>Ster 2oz Bulb Syringe/50</v>
          </cell>
          <cell r="E92" t="str">
            <v>J</v>
          </cell>
          <cell r="F92" t="str">
            <v>B22554</v>
          </cell>
          <cell r="G92">
            <v>37771</v>
          </cell>
        </row>
        <row r="93">
          <cell r="A93" t="str">
            <v>0320414</v>
          </cell>
          <cell r="B93">
            <v>405</v>
          </cell>
          <cell r="C93">
            <v>540</v>
          </cell>
          <cell r="D93" t="str">
            <v>Ster 40cc Muc.TrpW/cap/24</v>
          </cell>
          <cell r="E93" t="str">
            <v>J</v>
          </cell>
          <cell r="F93" t="str">
            <v>B22576</v>
          </cell>
          <cell r="G93">
            <v>37802</v>
          </cell>
        </row>
        <row r="94">
          <cell r="A94" t="str">
            <v>0320479</v>
          </cell>
          <cell r="B94">
            <v>751</v>
          </cell>
          <cell r="C94">
            <v>300</v>
          </cell>
          <cell r="D94" t="str">
            <v>Ster Mnr Laceration Pk/20</v>
          </cell>
          <cell r="E94" t="str">
            <v>J</v>
          </cell>
          <cell r="F94" t="str">
            <v>B22584</v>
          </cell>
          <cell r="G94">
            <v>37796</v>
          </cell>
        </row>
        <row r="95">
          <cell r="A95" t="str">
            <v>0320482</v>
          </cell>
          <cell r="B95">
            <v>154</v>
          </cell>
          <cell r="C95">
            <v>46</v>
          </cell>
          <cell r="D95" t="str">
            <v>Ster 6' x 1/4" Tubing/50</v>
          </cell>
          <cell r="E95" t="str">
            <v>J</v>
          </cell>
          <cell r="F95" t="str">
            <v>B22576</v>
          </cell>
          <cell r="G95">
            <v>37802</v>
          </cell>
        </row>
        <row r="96">
          <cell r="A96" t="str">
            <v>0320484</v>
          </cell>
          <cell r="B96">
            <v>407</v>
          </cell>
          <cell r="C96">
            <v>128</v>
          </cell>
          <cell r="D96" t="str">
            <v>Ster 80cc Mucus Trap/100</v>
          </cell>
          <cell r="E96" t="str">
            <v>J</v>
          </cell>
          <cell r="F96" t="str">
            <v>B22571</v>
          </cell>
          <cell r="G96">
            <v>37797</v>
          </cell>
        </row>
        <row r="97">
          <cell r="A97" t="str">
            <v>0320487</v>
          </cell>
          <cell r="B97">
            <v>406</v>
          </cell>
          <cell r="C97">
            <v>474</v>
          </cell>
          <cell r="D97" t="str">
            <v>Ster 40cc Mucus Trap/24</v>
          </cell>
          <cell r="E97" t="str">
            <v>J</v>
          </cell>
          <cell r="F97" t="str">
            <v>B22575</v>
          </cell>
          <cell r="G97">
            <v>37803</v>
          </cell>
        </row>
        <row r="98">
          <cell r="A98" t="str">
            <v>0320491</v>
          </cell>
          <cell r="B98">
            <v>718</v>
          </cell>
          <cell r="C98">
            <v>880</v>
          </cell>
          <cell r="D98" t="str">
            <v>Ster Suture Kit/50</v>
          </cell>
          <cell r="E98" t="str">
            <v>J</v>
          </cell>
          <cell r="F98" t="str">
            <v>B22576</v>
          </cell>
          <cell r="G98">
            <v>37802</v>
          </cell>
        </row>
        <row r="99">
          <cell r="A99" t="str">
            <v>0320536</v>
          </cell>
          <cell r="B99">
            <v>302</v>
          </cell>
          <cell r="C99">
            <v>238</v>
          </cell>
          <cell r="D99" t="str">
            <v>Ster Yank w/o vent 6'T/20</v>
          </cell>
          <cell r="E99" t="str">
            <v>J</v>
          </cell>
          <cell r="F99" t="str">
            <v>B22576</v>
          </cell>
          <cell r="G99">
            <v>37802</v>
          </cell>
        </row>
        <row r="100">
          <cell r="A100" t="str">
            <v>0330166</v>
          </cell>
          <cell r="B100">
            <v>2691</v>
          </cell>
          <cell r="C100">
            <v>225</v>
          </cell>
          <cell r="D100" t="str">
            <v>GM#25-2691 Ster ER T/20</v>
          </cell>
          <cell r="E100" t="str">
            <v>J</v>
          </cell>
          <cell r="F100" t="str">
            <v>B22584</v>
          </cell>
          <cell r="G100">
            <v>37796</v>
          </cell>
        </row>
        <row r="101">
          <cell r="A101" t="str">
            <v>0330177</v>
          </cell>
          <cell r="B101">
            <v>2691</v>
          </cell>
          <cell r="C101">
            <v>225</v>
          </cell>
          <cell r="D101" t="str">
            <v>GM#25-2691 Ster ER T/20</v>
          </cell>
          <cell r="E101" t="str">
            <v>J</v>
          </cell>
          <cell r="F101" t="str">
            <v>B22589</v>
          </cell>
          <cell r="G101">
            <v>37803</v>
          </cell>
        </row>
        <row r="102">
          <cell r="A102" t="str">
            <v>0220213</v>
          </cell>
          <cell r="B102">
            <v>303</v>
          </cell>
          <cell r="C102">
            <v>4</v>
          </cell>
          <cell r="D102" t="str">
            <v>Ster Yank w/vent 6'Tbg/20</v>
          </cell>
          <cell r="E102" t="str">
            <v>Q2</v>
          </cell>
          <cell r="F102" t="str">
            <v>B22087</v>
          </cell>
          <cell r="G102">
            <v>37347</v>
          </cell>
        </row>
        <row r="109">
          <cell r="A109" t="str">
            <v>0340074</v>
          </cell>
          <cell r="B109">
            <v>6466</v>
          </cell>
          <cell r="C109">
            <v>80</v>
          </cell>
          <cell r="D109" t="str">
            <v>Schn#1009687 Ster Twl/300</v>
          </cell>
          <cell r="E109" t="str">
            <v>INSP</v>
          </cell>
          <cell r="F109" t="str">
            <v>B22560</v>
          </cell>
          <cell r="G109">
            <v>37788</v>
          </cell>
        </row>
        <row r="110">
          <cell r="A110" t="str">
            <v>0340075</v>
          </cell>
          <cell r="B110">
            <v>6366</v>
          </cell>
          <cell r="C110">
            <v>200</v>
          </cell>
          <cell r="D110" t="str">
            <v>GM#25-515 Ster Towel/300</v>
          </cell>
          <cell r="E110" t="str">
            <v>INSP</v>
          </cell>
          <cell r="F110" t="str">
            <v>B22565</v>
          </cell>
          <cell r="G110">
            <v>37792</v>
          </cell>
        </row>
        <row r="111">
          <cell r="A111" t="str">
            <v>0340076</v>
          </cell>
          <cell r="B111" t="str">
            <v>97-93039</v>
          </cell>
          <cell r="C111">
            <v>113</v>
          </cell>
          <cell r="D111" t="str">
            <v>Ster DE P/Lined Fen T/300</v>
          </cell>
          <cell r="E111" t="str">
            <v>INSP</v>
          </cell>
          <cell r="F111" t="str">
            <v>B22572</v>
          </cell>
          <cell r="G111">
            <v>37785</v>
          </cell>
        </row>
        <row r="112">
          <cell r="A112" t="str">
            <v>0340077</v>
          </cell>
          <cell r="B112" t="str">
            <v>97-99687</v>
          </cell>
          <cell r="C112">
            <v>321</v>
          </cell>
          <cell r="D112" t="str">
            <v>Ster DE P/Lined N/F T/300</v>
          </cell>
          <cell r="E112" t="str">
            <v>INSP</v>
          </cell>
          <cell r="F112" t="str">
            <v>B22572</v>
          </cell>
          <cell r="G112">
            <v>37785</v>
          </cell>
        </row>
        <row r="113">
          <cell r="A113" t="str">
            <v>0340081</v>
          </cell>
          <cell r="B113">
            <v>6366</v>
          </cell>
          <cell r="C113">
            <v>200</v>
          </cell>
          <cell r="D113" t="str">
            <v>GM#25-515 Ster Towel/300</v>
          </cell>
          <cell r="E113" t="str">
            <v>INSP</v>
          </cell>
          <cell r="F113" t="str">
            <v>B22568</v>
          </cell>
          <cell r="G113">
            <v>37790</v>
          </cell>
        </row>
        <row r="114">
          <cell r="A114" t="str">
            <v>0340082</v>
          </cell>
          <cell r="B114">
            <v>6367</v>
          </cell>
          <cell r="C114">
            <v>200</v>
          </cell>
          <cell r="D114" t="str">
            <v>GM#25-517 Ster Fn Twl/300</v>
          </cell>
          <cell r="E114" t="str">
            <v>INSP</v>
          </cell>
          <cell r="F114" t="str">
            <v>B22567</v>
          </cell>
          <cell r="G114">
            <v>37791</v>
          </cell>
        </row>
        <row r="115">
          <cell r="A115" t="str">
            <v>0370015</v>
          </cell>
          <cell r="B115">
            <v>400</v>
          </cell>
          <cell r="C115">
            <v>288</v>
          </cell>
          <cell r="D115" t="str">
            <v>Ster 16oz Sponge Bowl L/F</v>
          </cell>
          <cell r="F115" t="str">
            <v>B21976</v>
          </cell>
          <cell r="G115">
            <v>37788</v>
          </cell>
        </row>
        <row r="116">
          <cell r="A116" t="str">
            <v>0370016</v>
          </cell>
          <cell r="B116">
            <v>400</v>
          </cell>
          <cell r="C116">
            <v>288</v>
          </cell>
          <cell r="D116" t="str">
            <v>Ster 16oz Sponge Bowl L/F</v>
          </cell>
          <cell r="F116" t="str">
            <v>B21979</v>
          </cell>
          <cell r="G116">
            <v>37795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>
        <row r="1">
          <cell r="C1" t="str">
            <v>WH</v>
          </cell>
        </row>
        <row r="2">
          <cell r="A2" t="str">
            <v>Lot#</v>
          </cell>
          <cell r="B2" t="str">
            <v>Requested</v>
          </cell>
          <cell r="C2" t="str">
            <v>Issue</v>
          </cell>
          <cell r="D2" t="str">
            <v>Pulled</v>
          </cell>
          <cell r="E2" t="str">
            <v>Posted</v>
          </cell>
          <cell r="F2" t="str">
            <v>Request</v>
          </cell>
        </row>
        <row r="3">
          <cell r="C3" t="str">
            <v>Date</v>
          </cell>
          <cell r="F3" t="str">
            <v>Date</v>
          </cell>
        </row>
        <row r="4">
          <cell r="A4" t="str">
            <v>1931225</v>
          </cell>
          <cell r="B4" t="str">
            <v>#2436-DLB</v>
          </cell>
          <cell r="C4">
            <v>43755</v>
          </cell>
          <cell r="D4" t="str">
            <v>Y</v>
          </cell>
          <cell r="E4" t="str">
            <v>Y</v>
          </cell>
          <cell r="F4">
            <v>43759</v>
          </cell>
        </row>
        <row r="5">
          <cell r="A5" t="str">
            <v>1931224</v>
          </cell>
          <cell r="B5" t="str">
            <v>#2437-DLB</v>
          </cell>
          <cell r="C5">
            <v>43755</v>
          </cell>
          <cell r="D5" t="str">
            <v>Y</v>
          </cell>
          <cell r="E5" t="str">
            <v>Y</v>
          </cell>
          <cell r="F5">
            <v>43759</v>
          </cell>
        </row>
        <row r="6">
          <cell r="A6" t="str">
            <v>1931171</v>
          </cell>
          <cell r="B6" t="str">
            <v>#2438-DLB</v>
          </cell>
          <cell r="C6">
            <v>43755</v>
          </cell>
          <cell r="D6" t="str">
            <v>Y</v>
          </cell>
          <cell r="E6" t="str">
            <v>Y</v>
          </cell>
          <cell r="F6">
            <v>43759</v>
          </cell>
        </row>
        <row r="7">
          <cell r="A7" t="str">
            <v>1950077</v>
          </cell>
          <cell r="B7" t="str">
            <v>D</v>
          </cell>
          <cell r="C7">
            <v>43755</v>
          </cell>
          <cell r="D7" t="str">
            <v>Y</v>
          </cell>
          <cell r="E7" t="str">
            <v>Y</v>
          </cell>
          <cell r="F7">
            <v>43759</v>
          </cell>
        </row>
        <row r="8">
          <cell r="A8" t="str">
            <v>1910383</v>
          </cell>
          <cell r="B8" t="str">
            <v>#2455-DLBS</v>
          </cell>
          <cell r="C8">
            <v>43760</v>
          </cell>
          <cell r="D8" t="str">
            <v>Y</v>
          </cell>
          <cell r="E8" t="str">
            <v>Y</v>
          </cell>
          <cell r="F8">
            <v>43759</v>
          </cell>
        </row>
        <row r="9">
          <cell r="A9" t="str">
            <v>1931198</v>
          </cell>
          <cell r="B9" t="str">
            <v>#2418-DLB</v>
          </cell>
          <cell r="C9">
            <v>43754</v>
          </cell>
          <cell r="D9" t="str">
            <v>Y</v>
          </cell>
          <cell r="E9" t="str">
            <v>Y</v>
          </cell>
          <cell r="F9">
            <v>43759</v>
          </cell>
        </row>
        <row r="10">
          <cell r="A10" t="str">
            <v>1931211</v>
          </cell>
          <cell r="B10" t="str">
            <v>#2432-DLB</v>
          </cell>
          <cell r="C10">
            <v>43755</v>
          </cell>
          <cell r="D10" t="str">
            <v>Y</v>
          </cell>
          <cell r="E10" t="str">
            <v>Y</v>
          </cell>
          <cell r="F10">
            <v>43759</v>
          </cell>
        </row>
        <row r="11">
          <cell r="A11" t="str">
            <v>1931202</v>
          </cell>
          <cell r="B11" t="str">
            <v>#2434-DLB</v>
          </cell>
          <cell r="C11">
            <v>43755</v>
          </cell>
          <cell r="D11" t="str">
            <v>Y</v>
          </cell>
          <cell r="E11" t="str">
            <v>Y</v>
          </cell>
          <cell r="F11">
            <v>43759</v>
          </cell>
        </row>
        <row r="12">
          <cell r="A12" t="str">
            <v>1931218</v>
          </cell>
          <cell r="B12" t="str">
            <v>#2403-DLB</v>
          </cell>
          <cell r="C12">
            <v>43753</v>
          </cell>
          <cell r="D12" t="str">
            <v>Y</v>
          </cell>
          <cell r="E12" t="str">
            <v>Y</v>
          </cell>
          <cell r="F12">
            <v>43759</v>
          </cell>
        </row>
        <row r="13">
          <cell r="A13" t="str">
            <v>1931144</v>
          </cell>
          <cell r="B13" t="str">
            <v>#2435-D</v>
          </cell>
          <cell r="C13">
            <v>43755</v>
          </cell>
          <cell r="D13" t="str">
            <v>Y</v>
          </cell>
          <cell r="E13" t="str">
            <v>Y</v>
          </cell>
          <cell r="F13">
            <v>43759</v>
          </cell>
        </row>
        <row r="14">
          <cell r="A14" t="str">
            <v>1931236</v>
          </cell>
          <cell r="B14" t="str">
            <v>#2408-DLB</v>
          </cell>
          <cell r="C14">
            <v>43753</v>
          </cell>
          <cell r="D14" t="str">
            <v>Y</v>
          </cell>
          <cell r="E14" t="str">
            <v>Y</v>
          </cell>
          <cell r="F14">
            <v>43759</v>
          </cell>
        </row>
        <row r="15">
          <cell r="A15" t="str">
            <v>1931243</v>
          </cell>
          <cell r="B15" t="str">
            <v>#2445-DLB</v>
          </cell>
          <cell r="C15">
            <v>43759</v>
          </cell>
          <cell r="D15" t="str">
            <v>Y</v>
          </cell>
          <cell r="E15" t="str">
            <v>Y</v>
          </cell>
          <cell r="F15">
            <v>43759</v>
          </cell>
        </row>
        <row r="16">
          <cell r="A16" t="str">
            <v>1910394W</v>
          </cell>
          <cell r="B16" t="str">
            <v>#2442-DLB</v>
          </cell>
          <cell r="C16">
            <v>43759</v>
          </cell>
          <cell r="D16" t="str">
            <v>Y</v>
          </cell>
          <cell r="E16" t="str">
            <v>Y</v>
          </cell>
          <cell r="F16">
            <v>43759</v>
          </cell>
        </row>
        <row r="17">
          <cell r="A17" t="str">
            <v>1970033</v>
          </cell>
          <cell r="B17" t="str">
            <v>#2368-DLB</v>
          </cell>
          <cell r="C17">
            <v>43748</v>
          </cell>
          <cell r="D17" t="str">
            <v>Y</v>
          </cell>
          <cell r="E17" t="str">
            <v>Y</v>
          </cell>
          <cell r="F17">
            <v>43759</v>
          </cell>
        </row>
        <row r="18">
          <cell r="A18" t="str">
            <v>1950083</v>
          </cell>
          <cell r="B18" t="str">
            <v>D</v>
          </cell>
          <cell r="C18">
            <v>43761</v>
          </cell>
          <cell r="D18" t="str">
            <v>Y</v>
          </cell>
          <cell r="E18" t="str">
            <v>Y</v>
          </cell>
          <cell r="F18">
            <v>43759</v>
          </cell>
        </row>
        <row r="19">
          <cell r="A19" t="str">
            <v>1910384</v>
          </cell>
          <cell r="B19" t="str">
            <v>#2457-DLBS</v>
          </cell>
          <cell r="C19">
            <v>43760</v>
          </cell>
          <cell r="D19" t="str">
            <v>Y</v>
          </cell>
          <cell r="E19" t="str">
            <v>Y</v>
          </cell>
          <cell r="F19">
            <v>43759</v>
          </cell>
        </row>
        <row r="20">
          <cell r="A20" t="str">
            <v>1920857</v>
          </cell>
          <cell r="B20" t="str">
            <v>#2454-DLBS</v>
          </cell>
          <cell r="C20">
            <v>43760</v>
          </cell>
          <cell r="D20" t="str">
            <v>Y</v>
          </cell>
          <cell r="E20" t="str">
            <v>Y</v>
          </cell>
          <cell r="F20">
            <v>43760</v>
          </cell>
        </row>
        <row r="21">
          <cell r="A21" t="str">
            <v>1931230</v>
          </cell>
          <cell r="B21" t="str">
            <v>#2420-DLB</v>
          </cell>
          <cell r="C21">
            <v>43754</v>
          </cell>
          <cell r="D21" t="str">
            <v>Y</v>
          </cell>
          <cell r="E21" t="str">
            <v>Y</v>
          </cell>
          <cell r="F21">
            <v>43760</v>
          </cell>
        </row>
        <row r="22">
          <cell r="A22" t="str">
            <v>1920887</v>
          </cell>
          <cell r="B22" t="str">
            <v>#2481-DLB</v>
          </cell>
          <cell r="C22">
            <v>43761</v>
          </cell>
          <cell r="D22" t="str">
            <v>Y</v>
          </cell>
          <cell r="E22" t="str">
            <v>Y</v>
          </cell>
          <cell r="F22">
            <v>43760</v>
          </cell>
        </row>
        <row r="23">
          <cell r="A23" t="str">
            <v>1920796</v>
          </cell>
          <cell r="B23" t="str">
            <v>#2430-DLBS</v>
          </cell>
          <cell r="C23">
            <v>43755</v>
          </cell>
          <cell r="D23" t="str">
            <v>Y</v>
          </cell>
          <cell r="E23" t="str">
            <v>Y</v>
          </cell>
          <cell r="F23">
            <v>43760</v>
          </cell>
        </row>
        <row r="24">
          <cell r="A24" t="str">
            <v>1920760</v>
          </cell>
          <cell r="B24" t="str">
            <v>#2394-DLB</v>
          </cell>
          <cell r="C24">
            <v>43753</v>
          </cell>
          <cell r="D24" t="str">
            <v>Y</v>
          </cell>
          <cell r="E24" t="str">
            <v>Y</v>
          </cell>
          <cell r="F24">
            <v>43760</v>
          </cell>
        </row>
        <row r="25">
          <cell r="A25" t="str">
            <v>1920859</v>
          </cell>
          <cell r="B25" t="str">
            <v>#2444-DLB</v>
          </cell>
          <cell r="C25">
            <v>43759</v>
          </cell>
          <cell r="D25" t="str">
            <v>Y</v>
          </cell>
          <cell r="E25" t="str">
            <v>Y</v>
          </cell>
          <cell r="F25">
            <v>43760</v>
          </cell>
        </row>
        <row r="26">
          <cell r="A26" t="str">
            <v>1931172</v>
          </cell>
          <cell r="B26" t="str">
            <v>#2439-DLB</v>
          </cell>
          <cell r="C26">
            <v>43755</v>
          </cell>
          <cell r="D26" t="str">
            <v>Y</v>
          </cell>
          <cell r="E26" t="str">
            <v>Y</v>
          </cell>
          <cell r="F26">
            <v>43760</v>
          </cell>
        </row>
        <row r="27">
          <cell r="A27" t="str">
            <v>1931181</v>
          </cell>
          <cell r="B27" t="str">
            <v>#2404-DLB</v>
          </cell>
          <cell r="C27">
            <v>43753</v>
          </cell>
          <cell r="D27" t="str">
            <v>Y</v>
          </cell>
          <cell r="E27" t="str">
            <v>Y</v>
          </cell>
          <cell r="F27">
            <v>43760</v>
          </cell>
        </row>
        <row r="28">
          <cell r="A28" t="str">
            <v>1920876W</v>
          </cell>
          <cell r="B28" t="str">
            <v>#2484-D</v>
          </cell>
          <cell r="C28">
            <v>43762</v>
          </cell>
          <cell r="D28" t="str">
            <v/>
          </cell>
          <cell r="E28" t="str">
            <v/>
          </cell>
          <cell r="F28">
            <v>43760</v>
          </cell>
        </row>
        <row r="29">
          <cell r="A29" t="str">
            <v>1920868W</v>
          </cell>
          <cell r="B29" t="str">
            <v>#2485-D</v>
          </cell>
          <cell r="C29">
            <v>43762</v>
          </cell>
          <cell r="D29" t="str">
            <v/>
          </cell>
          <cell r="E29" t="str">
            <v/>
          </cell>
          <cell r="F29">
            <v>43760</v>
          </cell>
        </row>
        <row r="30">
          <cell r="A30" t="str">
            <v>1920869W</v>
          </cell>
          <cell r="B30" t="str">
            <v>#2486D</v>
          </cell>
          <cell r="C30">
            <v>43762</v>
          </cell>
          <cell r="D30" t="str">
            <v/>
          </cell>
          <cell r="E30" t="str">
            <v/>
          </cell>
          <cell r="F30">
            <v>43760</v>
          </cell>
        </row>
        <row r="31">
          <cell r="A31" t="str">
            <v>1970035</v>
          </cell>
          <cell r="B31" t="str">
            <v>#2487-D</v>
          </cell>
          <cell r="C31">
            <v>43762</v>
          </cell>
          <cell r="D31" t="str">
            <v/>
          </cell>
          <cell r="E31" t="str">
            <v/>
          </cell>
          <cell r="F31">
            <v>43760</v>
          </cell>
        </row>
        <row r="32">
          <cell r="A32" t="str">
            <v>1940070</v>
          </cell>
          <cell r="B32" t="str">
            <v>DLBS</v>
          </cell>
          <cell r="C32">
            <v>43747</v>
          </cell>
          <cell r="D32" t="str">
            <v>Y</v>
          </cell>
          <cell r="E32" t="str">
            <v>Y</v>
          </cell>
          <cell r="F32">
            <v>43760</v>
          </cell>
        </row>
        <row r="33">
          <cell r="A33" t="str">
            <v>1940072</v>
          </cell>
          <cell r="B33" t="str">
            <v>DLB</v>
          </cell>
          <cell r="C33">
            <v>43759</v>
          </cell>
          <cell r="D33" t="str">
            <v>Y</v>
          </cell>
          <cell r="E33" t="str">
            <v>Y</v>
          </cell>
          <cell r="F33">
            <v>43760</v>
          </cell>
        </row>
        <row r="34">
          <cell r="A34" t="str">
            <v>1920810</v>
          </cell>
          <cell r="B34" t="str">
            <v>#2329-DLB</v>
          </cell>
          <cell r="C34">
            <v>43745</v>
          </cell>
          <cell r="D34" t="str">
            <v>Y</v>
          </cell>
          <cell r="E34" t="str">
            <v>Y</v>
          </cell>
          <cell r="F34">
            <v>43761</v>
          </cell>
        </row>
        <row r="35">
          <cell r="A35" t="str">
            <v>1931242</v>
          </cell>
          <cell r="B35" t="str">
            <v>#2446-DLB</v>
          </cell>
          <cell r="C35">
            <v>43759</v>
          </cell>
          <cell r="D35" t="str">
            <v>Y</v>
          </cell>
          <cell r="E35" t="str">
            <v>Y</v>
          </cell>
          <cell r="F35">
            <v>43761</v>
          </cell>
        </row>
        <row r="36">
          <cell r="A36" t="str">
            <v>1931255</v>
          </cell>
          <cell r="B36" t="str">
            <v>#2447-D</v>
          </cell>
          <cell r="C36">
            <v>43759</v>
          </cell>
          <cell r="D36" t="str">
            <v>Y</v>
          </cell>
          <cell r="E36" t="str">
            <v>Y</v>
          </cell>
          <cell r="F36">
            <v>43761</v>
          </cell>
        </row>
        <row r="37">
          <cell r="A37" t="str">
            <v>1931301</v>
          </cell>
          <cell r="B37" t="str">
            <v>#2448-D</v>
          </cell>
          <cell r="C37">
            <v>43759</v>
          </cell>
          <cell r="D37" t="str">
            <v>Y</v>
          </cell>
          <cell r="E37" t="str">
            <v>Y</v>
          </cell>
          <cell r="F37">
            <v>43761</v>
          </cell>
        </row>
        <row r="38">
          <cell r="A38" t="str">
            <v>1931280S</v>
          </cell>
          <cell r="B38" t="str">
            <v>#2449-D</v>
          </cell>
          <cell r="C38">
            <v>43759</v>
          </cell>
          <cell r="D38" t="str">
            <v>Y</v>
          </cell>
          <cell r="E38" t="str">
            <v>Y</v>
          </cell>
          <cell r="F38">
            <v>43761</v>
          </cell>
        </row>
        <row r="39">
          <cell r="A39" t="str">
            <v>1931281S</v>
          </cell>
          <cell r="B39" t="str">
            <v>#2450-D</v>
          </cell>
          <cell r="C39">
            <v>43759</v>
          </cell>
          <cell r="D39" t="str">
            <v>Y</v>
          </cell>
          <cell r="E39" t="str">
            <v>Y</v>
          </cell>
          <cell r="F39">
            <v>43761</v>
          </cell>
        </row>
        <row r="40">
          <cell r="A40" t="str">
            <v>1931213</v>
          </cell>
          <cell r="B40" t="str">
            <v>#2451-D</v>
          </cell>
          <cell r="C40">
            <v>43759</v>
          </cell>
          <cell r="D40" t="str">
            <v>Y</v>
          </cell>
          <cell r="E40" t="str">
            <v>Y</v>
          </cell>
          <cell r="F40">
            <v>43761</v>
          </cell>
        </row>
        <row r="41">
          <cell r="A41" t="str">
            <v>1910364</v>
          </cell>
          <cell r="B41" t="str">
            <v>#2456-DLBS</v>
          </cell>
          <cell r="C41">
            <v>43760</v>
          </cell>
          <cell r="D41" t="str">
            <v>Y</v>
          </cell>
          <cell r="E41" t="str">
            <v>Y</v>
          </cell>
          <cell r="F41">
            <v>43761</v>
          </cell>
        </row>
        <row r="42">
          <cell r="A42" t="str">
            <v>1920852</v>
          </cell>
          <cell r="B42" t="str">
            <v>#2423-DLBS</v>
          </cell>
          <cell r="C42">
            <v>43755</v>
          </cell>
          <cell r="D42" t="str">
            <v>Y</v>
          </cell>
          <cell r="E42" t="str">
            <v>Y</v>
          </cell>
          <cell r="F42">
            <v>43761</v>
          </cell>
        </row>
        <row r="43">
          <cell r="A43" t="str">
            <v>1920833</v>
          </cell>
          <cell r="B43" t="str">
            <v>#2458-DLB</v>
          </cell>
          <cell r="C43">
            <v>43760</v>
          </cell>
          <cell r="D43" t="str">
            <v>Y</v>
          </cell>
          <cell r="E43" t="str">
            <v>Y</v>
          </cell>
          <cell r="F43">
            <v>43761</v>
          </cell>
        </row>
        <row r="44">
          <cell r="A44" t="str">
            <v>1931270</v>
          </cell>
          <cell r="B44" t="str">
            <v>#2452-DLB</v>
          </cell>
          <cell r="C44">
            <v>43759</v>
          </cell>
          <cell r="D44" t="str">
            <v>Y</v>
          </cell>
          <cell r="E44" t="str">
            <v>Y</v>
          </cell>
          <cell r="F44">
            <v>43761</v>
          </cell>
        </row>
        <row r="45">
          <cell r="A45" t="str">
            <v>1940073</v>
          </cell>
          <cell r="B45" t="str">
            <v>DLB</v>
          </cell>
          <cell r="C45">
            <v>43760</v>
          </cell>
          <cell r="D45" t="str">
            <v>Y</v>
          </cell>
          <cell r="E45" t="str">
            <v>Y</v>
          </cell>
          <cell r="F45">
            <v>43761</v>
          </cell>
        </row>
        <row r="46">
          <cell r="A46" t="str">
            <v>1931296</v>
          </cell>
          <cell r="B46" t="str">
            <v>#2459-DLB</v>
          </cell>
          <cell r="C46">
            <v>43760</v>
          </cell>
          <cell r="D46" t="str">
            <v>Y</v>
          </cell>
          <cell r="E46" t="str">
            <v>Y</v>
          </cell>
          <cell r="F46">
            <v>43762</v>
          </cell>
        </row>
        <row r="47">
          <cell r="A47" t="str">
            <v>1931307</v>
          </cell>
          <cell r="B47" t="str">
            <v>#2460-DLB</v>
          </cell>
          <cell r="C47">
            <v>43760</v>
          </cell>
          <cell r="D47" t="str">
            <v>Y</v>
          </cell>
          <cell r="E47" t="str">
            <v>Y</v>
          </cell>
          <cell r="F47">
            <v>43762</v>
          </cell>
        </row>
        <row r="48">
          <cell r="A48" t="str">
            <v>1931193</v>
          </cell>
          <cell r="B48" t="str">
            <v>#2461-D</v>
          </cell>
          <cell r="C48">
            <v>43760</v>
          </cell>
          <cell r="D48" t="str">
            <v>Y</v>
          </cell>
          <cell r="E48" t="str">
            <v>Y</v>
          </cell>
          <cell r="F48">
            <v>43762</v>
          </cell>
        </row>
        <row r="49">
          <cell r="A49" t="str">
            <v>1920827</v>
          </cell>
          <cell r="B49" t="str">
            <v>#2488-DLB</v>
          </cell>
          <cell r="C49">
            <v>43762</v>
          </cell>
          <cell r="D49" t="str">
            <v/>
          </cell>
          <cell r="E49" t="str">
            <v/>
          </cell>
          <cell r="F49">
            <v>43762</v>
          </cell>
        </row>
        <row r="50">
          <cell r="A50" t="str">
            <v>1920829</v>
          </cell>
          <cell r="B50" t="str">
            <v>#2489-DLB</v>
          </cell>
          <cell r="C50">
            <v>43762</v>
          </cell>
          <cell r="D50" t="str">
            <v/>
          </cell>
          <cell r="E50" t="str">
            <v/>
          </cell>
          <cell r="F50">
            <v>43762</v>
          </cell>
        </row>
        <row r="51">
          <cell r="A51" t="str">
            <v>1920855</v>
          </cell>
          <cell r="B51" t="str">
            <v>#2490-DLB</v>
          </cell>
          <cell r="C51">
            <v>43762</v>
          </cell>
          <cell r="D51" t="str">
            <v/>
          </cell>
          <cell r="E51" t="str">
            <v/>
          </cell>
          <cell r="F51">
            <v>43762</v>
          </cell>
        </row>
        <row r="52">
          <cell r="A52" t="str">
            <v>1920862</v>
          </cell>
          <cell r="B52" t="str">
            <v>#2491-DLB</v>
          </cell>
          <cell r="C52">
            <v>43762</v>
          </cell>
          <cell r="D52" t="str">
            <v/>
          </cell>
          <cell r="E52" t="str">
            <v/>
          </cell>
          <cell r="F52">
            <v>43762</v>
          </cell>
        </row>
        <row r="53">
          <cell r="A53" t="str">
            <v>1920816</v>
          </cell>
          <cell r="B53" t="str">
            <v>#2492-D</v>
          </cell>
          <cell r="C53">
            <v>43762</v>
          </cell>
          <cell r="D53" t="str">
            <v/>
          </cell>
          <cell r="E53" t="str">
            <v/>
          </cell>
          <cell r="F53">
            <v>43762</v>
          </cell>
        </row>
        <row r="54">
          <cell r="A54" t="str">
            <v>1931277</v>
          </cell>
          <cell r="B54" t="str">
            <v>#2453-DL</v>
          </cell>
          <cell r="C54">
            <v>43759</v>
          </cell>
          <cell r="D54" t="str">
            <v>Y</v>
          </cell>
          <cell r="E54" t="str">
            <v>Y</v>
          </cell>
          <cell r="F54">
            <v>43762</v>
          </cell>
        </row>
        <row r="55">
          <cell r="A55" t="str">
            <v>1931205</v>
          </cell>
          <cell r="B55" t="str">
            <v>#2462-D</v>
          </cell>
          <cell r="C55">
            <v>43760</v>
          </cell>
          <cell r="D55" t="str">
            <v>Y</v>
          </cell>
          <cell r="E55" t="str">
            <v>Y</v>
          </cell>
          <cell r="F55">
            <v>43762</v>
          </cell>
        </row>
        <row r="56">
          <cell r="A56" t="str">
            <v>1931241</v>
          </cell>
          <cell r="B56" t="str">
            <v>#2463-D</v>
          </cell>
          <cell r="C56">
            <v>43760</v>
          </cell>
          <cell r="D56" t="str">
            <v>Y</v>
          </cell>
          <cell r="E56" t="str">
            <v>Y</v>
          </cell>
          <cell r="F56">
            <v>43762</v>
          </cell>
        </row>
        <row r="57">
          <cell r="A57" t="str">
            <v>1970036</v>
          </cell>
          <cell r="B57" t="str">
            <v>#2493-D</v>
          </cell>
          <cell r="C57">
            <v>43762</v>
          </cell>
          <cell r="D57" t="str">
            <v/>
          </cell>
          <cell r="E57" t="str">
            <v/>
          </cell>
          <cell r="F57">
            <v>43762</v>
          </cell>
        </row>
        <row r="58">
          <cell r="A58" t="str">
            <v>1940074</v>
          </cell>
          <cell r="B58" t="str">
            <v>DL</v>
          </cell>
          <cell r="C58">
            <v>43762</v>
          </cell>
          <cell r="D58" t="str">
            <v>Y</v>
          </cell>
          <cell r="E58" t="str">
            <v>Y</v>
          </cell>
          <cell r="F58">
            <v>43762</v>
          </cell>
        </row>
        <row r="59">
          <cell r="A59" t="str">
            <v>1920819</v>
          </cell>
          <cell r="B59" t="str">
            <v>#2494-D</v>
          </cell>
          <cell r="C59">
            <v>43762</v>
          </cell>
          <cell r="D59" t="str">
            <v/>
          </cell>
          <cell r="E59" t="str">
            <v/>
          </cell>
          <cell r="F59">
            <v>43762</v>
          </cell>
        </row>
        <row r="60">
          <cell r="A60" t="str">
            <v>1920864</v>
          </cell>
          <cell r="B60" t="str">
            <v>DLB</v>
          </cell>
          <cell r="C60" t="str">
            <v/>
          </cell>
          <cell r="D60" t="str">
            <v/>
          </cell>
          <cell r="E60" t="str">
            <v/>
          </cell>
          <cell r="F60">
            <v>43766</v>
          </cell>
        </row>
        <row r="61">
          <cell r="A61" t="str">
            <v>1931247</v>
          </cell>
          <cell r="B61" t="str">
            <v>#2466-D</v>
          </cell>
          <cell r="C61">
            <v>43760</v>
          </cell>
          <cell r="D61" t="str">
            <v>Y</v>
          </cell>
          <cell r="E61" t="str">
            <v>Y</v>
          </cell>
          <cell r="F61">
            <v>43766</v>
          </cell>
        </row>
        <row r="62">
          <cell r="A62" t="str">
            <v>1931240</v>
          </cell>
          <cell r="B62" t="str">
            <v>#2467-D</v>
          </cell>
          <cell r="C62">
            <v>43760</v>
          </cell>
          <cell r="D62" t="str">
            <v>Y</v>
          </cell>
          <cell r="E62" t="str">
            <v>Y</v>
          </cell>
          <cell r="F62">
            <v>43766</v>
          </cell>
        </row>
        <row r="63">
          <cell r="A63" t="str">
            <v>1931265</v>
          </cell>
          <cell r="B63" t="str">
            <v>#2470-D</v>
          </cell>
          <cell r="C63">
            <v>43761</v>
          </cell>
          <cell r="D63" t="str">
            <v>Y</v>
          </cell>
          <cell r="E63" t="str">
            <v>Y</v>
          </cell>
          <cell r="F63">
            <v>43766</v>
          </cell>
        </row>
        <row r="64">
          <cell r="A64" t="str">
            <v>1931275</v>
          </cell>
          <cell r="B64" t="str">
            <v>#2471-D</v>
          </cell>
          <cell r="C64">
            <v>43761</v>
          </cell>
          <cell r="D64" t="str">
            <v>Y</v>
          </cell>
          <cell r="E64" t="str">
            <v>Y</v>
          </cell>
          <cell r="F64">
            <v>43766</v>
          </cell>
        </row>
        <row r="65">
          <cell r="A65" t="str">
            <v>1931279</v>
          </cell>
          <cell r="B65" t="str">
            <v>#2472-D</v>
          </cell>
          <cell r="C65">
            <v>43761</v>
          </cell>
          <cell r="D65" t="str">
            <v>Y</v>
          </cell>
          <cell r="E65" t="str">
            <v>Y</v>
          </cell>
          <cell r="F65">
            <v>43766</v>
          </cell>
        </row>
        <row r="66">
          <cell r="A66" t="str">
            <v>1931289</v>
          </cell>
          <cell r="B66" t="str">
            <v>#2475-D</v>
          </cell>
          <cell r="C66">
            <v>43761</v>
          </cell>
          <cell r="D66" t="str">
            <v>Y</v>
          </cell>
          <cell r="E66" t="str">
            <v>Y</v>
          </cell>
          <cell r="F66">
            <v>43766</v>
          </cell>
        </row>
        <row r="67">
          <cell r="A67" t="str">
            <v>1931291</v>
          </cell>
          <cell r="B67" t="str">
            <v>#2476-D</v>
          </cell>
          <cell r="C67">
            <v>43761</v>
          </cell>
          <cell r="D67" t="str">
            <v>Y</v>
          </cell>
          <cell r="E67" t="str">
            <v>Y</v>
          </cell>
          <cell r="F67">
            <v>43766</v>
          </cell>
        </row>
        <row r="68">
          <cell r="A68" t="str">
            <v>1931145</v>
          </cell>
          <cell r="B68" t="str">
            <v>#2415-DLB</v>
          </cell>
          <cell r="C68">
            <v>43754</v>
          </cell>
          <cell r="D68" t="str">
            <v>Y</v>
          </cell>
          <cell r="E68" t="str">
            <v>Y</v>
          </cell>
          <cell r="F68">
            <v>43766</v>
          </cell>
        </row>
        <row r="69">
          <cell r="A69" t="str">
            <v>1950089</v>
          </cell>
          <cell r="B69" t="str">
            <v>D</v>
          </cell>
          <cell r="C69" t="str">
            <v>10*23</v>
          </cell>
          <cell r="D69" t="str">
            <v>Y</v>
          </cell>
          <cell r="E69" t="str">
            <v>Y</v>
          </cell>
          <cell r="F69">
            <v>43766</v>
          </cell>
        </row>
        <row r="70">
          <cell r="A70" t="str">
            <v>1920863</v>
          </cell>
          <cell r="B70" t="str">
            <v>DLB</v>
          </cell>
          <cell r="C70" t="str">
            <v/>
          </cell>
          <cell r="D70" t="str">
            <v/>
          </cell>
          <cell r="E70" t="str">
            <v/>
          </cell>
          <cell r="F70">
            <v>43766</v>
          </cell>
        </row>
        <row r="71">
          <cell r="A71" t="str">
            <v>1920865</v>
          </cell>
          <cell r="B71" t="str">
            <v>D</v>
          </cell>
          <cell r="C71" t="str">
            <v/>
          </cell>
          <cell r="D71" t="str">
            <v/>
          </cell>
          <cell r="E71" t="str">
            <v/>
          </cell>
          <cell r="F71">
            <v>43766</v>
          </cell>
        </row>
        <row r="72">
          <cell r="A72" t="str">
            <v>1931248</v>
          </cell>
          <cell r="B72" t="str">
            <v>#2464-D</v>
          </cell>
          <cell r="C72">
            <v>43760</v>
          </cell>
          <cell r="D72" t="str">
            <v>Y</v>
          </cell>
          <cell r="E72" t="str">
            <v>Y</v>
          </cell>
          <cell r="F72">
            <v>43766</v>
          </cell>
        </row>
        <row r="73">
          <cell r="A73" t="str">
            <v>1931235</v>
          </cell>
          <cell r="B73" t="str">
            <v>#2465-D</v>
          </cell>
          <cell r="C73">
            <v>43760</v>
          </cell>
          <cell r="D73" t="str">
            <v>Y</v>
          </cell>
          <cell r="E73" t="str">
            <v>Y</v>
          </cell>
          <cell r="F73">
            <v>43766</v>
          </cell>
        </row>
        <row r="74">
          <cell r="A74" t="str">
            <v>1931282</v>
          </cell>
          <cell r="B74" t="str">
            <v>#2469-D</v>
          </cell>
          <cell r="C74">
            <v>43761</v>
          </cell>
          <cell r="D74" t="str">
            <v>Y</v>
          </cell>
          <cell r="E74" t="str">
            <v>Y</v>
          </cell>
          <cell r="F74">
            <v>43766</v>
          </cell>
        </row>
        <row r="75">
          <cell r="A75" t="str">
            <v>1931283</v>
          </cell>
          <cell r="B75" t="str">
            <v>#2468-D</v>
          </cell>
          <cell r="C75">
            <v>43761</v>
          </cell>
          <cell r="D75" t="str">
            <v>Y</v>
          </cell>
          <cell r="E75" t="str">
            <v>Y</v>
          </cell>
          <cell r="F75">
            <v>43766</v>
          </cell>
        </row>
        <row r="76">
          <cell r="A76" t="str">
            <v>1920850</v>
          </cell>
          <cell r="B76" t="str">
            <v>D</v>
          </cell>
          <cell r="C76" t="str">
            <v/>
          </cell>
          <cell r="D76" t="str">
            <v/>
          </cell>
          <cell r="E76" t="str">
            <v/>
          </cell>
          <cell r="F76">
            <v>43767</v>
          </cell>
        </row>
        <row r="77">
          <cell r="A77" t="str">
            <v>1931299</v>
          </cell>
          <cell r="B77" t="str">
            <v>#2477-D</v>
          </cell>
          <cell r="C77">
            <v>43761</v>
          </cell>
          <cell r="D77" t="str">
            <v>Y</v>
          </cell>
          <cell r="E77" t="str">
            <v>Y</v>
          </cell>
          <cell r="F77">
            <v>43767</v>
          </cell>
        </row>
        <row r="78">
          <cell r="A78" t="str">
            <v>1931294</v>
          </cell>
          <cell r="B78" t="str">
            <v>#2478-D</v>
          </cell>
          <cell r="C78">
            <v>43761</v>
          </cell>
          <cell r="D78" t="str">
            <v/>
          </cell>
          <cell r="E78" t="str">
            <v/>
          </cell>
          <cell r="F78">
            <v>43767</v>
          </cell>
        </row>
        <row r="79">
          <cell r="A79" t="str">
            <v>1931238</v>
          </cell>
          <cell r="B79" t="str">
            <v>#2479-D</v>
          </cell>
          <cell r="C79">
            <v>43761</v>
          </cell>
          <cell r="D79" t="str">
            <v/>
          </cell>
          <cell r="E79" t="str">
            <v/>
          </cell>
          <cell r="F79">
            <v>43767</v>
          </cell>
        </row>
        <row r="80">
          <cell r="A80" t="str">
            <v>1931232</v>
          </cell>
          <cell r="B80" t="str">
            <v>#2480-D</v>
          </cell>
          <cell r="C80">
            <v>43761</v>
          </cell>
          <cell r="D80" t="str">
            <v/>
          </cell>
          <cell r="E80" t="str">
            <v/>
          </cell>
          <cell r="F80">
            <v>43767</v>
          </cell>
        </row>
        <row r="81">
          <cell r="A81" t="str">
            <v>1920853</v>
          </cell>
          <cell r="B81" t="str">
            <v>DLB</v>
          </cell>
          <cell r="C81" t="str">
            <v/>
          </cell>
          <cell r="D81" t="str">
            <v/>
          </cell>
          <cell r="E81" t="str">
            <v/>
          </cell>
          <cell r="F81">
            <v>43767</v>
          </cell>
        </row>
        <row r="82">
          <cell r="A82" t="str">
            <v>1920814</v>
          </cell>
          <cell r="B82" t="str">
            <v>D</v>
          </cell>
          <cell r="C82" t="str">
            <v/>
          </cell>
          <cell r="D82" t="str">
            <v/>
          </cell>
          <cell r="E82" t="str">
            <v/>
          </cell>
          <cell r="F82">
            <v>43767</v>
          </cell>
        </row>
        <row r="83">
          <cell r="A83" t="str">
            <v>1931239</v>
          </cell>
          <cell r="B83" t="str">
            <v>#2473-D</v>
          </cell>
          <cell r="C83">
            <v>43761</v>
          </cell>
          <cell r="D83" t="str">
            <v>Y</v>
          </cell>
          <cell r="E83" t="str">
            <v>Y</v>
          </cell>
          <cell r="F83">
            <v>43767</v>
          </cell>
        </row>
        <row r="84">
          <cell r="A84" t="str">
            <v>1931288</v>
          </cell>
          <cell r="B84" t="str">
            <v>#2474-D</v>
          </cell>
          <cell r="C84">
            <v>43761</v>
          </cell>
          <cell r="D84" t="str">
            <v>Y</v>
          </cell>
          <cell r="E84" t="str">
            <v>Y</v>
          </cell>
          <cell r="F84">
            <v>43767</v>
          </cell>
        </row>
        <row r="85">
          <cell r="A85" t="str">
            <v>1931269</v>
          </cell>
          <cell r="B85" t="str">
            <v xml:space="preserve">NO DHR </v>
          </cell>
          <cell r="C85" t="str">
            <v/>
          </cell>
          <cell r="D85" t="str">
            <v/>
          </cell>
          <cell r="E85" t="str">
            <v/>
          </cell>
          <cell r="F85">
            <v>43767</v>
          </cell>
        </row>
        <row r="86">
          <cell r="A86" t="str">
            <v>1970031</v>
          </cell>
          <cell r="B86" t="str">
            <v>DLB</v>
          </cell>
          <cell r="C86" t="str">
            <v/>
          </cell>
          <cell r="D86" t="str">
            <v/>
          </cell>
          <cell r="E86" t="str">
            <v/>
          </cell>
          <cell r="F86">
            <v>43767</v>
          </cell>
        </row>
        <row r="87">
          <cell r="A87" t="str">
            <v>1931316</v>
          </cell>
          <cell r="B87" t="str">
            <v>#2499-D</v>
          </cell>
          <cell r="C87">
            <v>43762</v>
          </cell>
          <cell r="D87" t="str">
            <v/>
          </cell>
          <cell r="E87" t="str">
            <v/>
          </cell>
          <cell r="F87">
            <v>43768</v>
          </cell>
        </row>
        <row r="88">
          <cell r="A88" t="str">
            <v>1931250</v>
          </cell>
          <cell r="B88" t="str">
            <v>#2500-D</v>
          </cell>
          <cell r="C88">
            <v>43762</v>
          </cell>
          <cell r="D88" t="str">
            <v/>
          </cell>
          <cell r="E88" t="str">
            <v/>
          </cell>
          <cell r="F88">
            <v>43768</v>
          </cell>
        </row>
        <row r="89">
          <cell r="A89" t="str">
            <v>1931249</v>
          </cell>
          <cell r="B89" t="str">
            <v>#2501-D</v>
          </cell>
          <cell r="C89">
            <v>43762</v>
          </cell>
          <cell r="D89" t="str">
            <v/>
          </cell>
          <cell r="E89" t="str">
            <v/>
          </cell>
          <cell r="F89">
            <v>43768</v>
          </cell>
        </row>
        <row r="90">
          <cell r="A90" t="str">
            <v>1931278</v>
          </cell>
          <cell r="B90" t="str">
            <v>#2502-D</v>
          </cell>
          <cell r="C90">
            <v>43762</v>
          </cell>
          <cell r="D90" t="str">
            <v/>
          </cell>
          <cell r="E90" t="str">
            <v/>
          </cell>
          <cell r="F90">
            <v>43768</v>
          </cell>
        </row>
        <row r="91">
          <cell r="A91" t="str">
            <v>1931305</v>
          </cell>
          <cell r="B91" t="str">
            <v>#2503-D</v>
          </cell>
          <cell r="C91">
            <v>43762</v>
          </cell>
          <cell r="D91" t="str">
            <v/>
          </cell>
          <cell r="E91" t="str">
            <v/>
          </cell>
          <cell r="F91">
            <v>43768</v>
          </cell>
        </row>
        <row r="92">
          <cell r="A92" t="str">
            <v>1931320</v>
          </cell>
          <cell r="B92" t="str">
            <v>#2504-D</v>
          </cell>
          <cell r="C92">
            <v>43762</v>
          </cell>
          <cell r="D92" t="str">
            <v/>
          </cell>
          <cell r="E92" t="str">
            <v/>
          </cell>
          <cell r="F92">
            <v>43768</v>
          </cell>
        </row>
        <row r="93">
          <cell r="A93" t="str">
            <v>1920879</v>
          </cell>
          <cell r="B93" t="str">
            <v>DL</v>
          </cell>
          <cell r="C93" t="str">
            <v/>
          </cell>
          <cell r="D93" t="str">
            <v/>
          </cell>
          <cell r="E93" t="str">
            <v/>
          </cell>
          <cell r="F93">
            <v>43768</v>
          </cell>
        </row>
        <row r="94">
          <cell r="A94" t="str">
            <v>1920856</v>
          </cell>
          <cell r="B94" t="str">
            <v>DS</v>
          </cell>
          <cell r="C94" t="str">
            <v/>
          </cell>
          <cell r="D94" t="str">
            <v/>
          </cell>
          <cell r="E94" t="str">
            <v/>
          </cell>
          <cell r="F94">
            <v>43768</v>
          </cell>
        </row>
        <row r="95">
          <cell r="A95" t="str">
            <v>1920854</v>
          </cell>
          <cell r="B95" t="str">
            <v>D</v>
          </cell>
          <cell r="C95" t="str">
            <v/>
          </cell>
          <cell r="D95" t="str">
            <v/>
          </cell>
          <cell r="E95" t="str">
            <v/>
          </cell>
          <cell r="F95">
            <v>43768</v>
          </cell>
        </row>
        <row r="96">
          <cell r="A96" t="str">
            <v>1920870</v>
          </cell>
          <cell r="B96" t="str">
            <v>D</v>
          </cell>
          <cell r="C96" t="str">
            <v/>
          </cell>
          <cell r="D96" t="str">
            <v/>
          </cell>
          <cell r="E96" t="str">
            <v/>
          </cell>
          <cell r="F96">
            <v>43768</v>
          </cell>
        </row>
        <row r="97">
          <cell r="A97" t="str">
            <v>1931303</v>
          </cell>
          <cell r="B97" t="str">
            <v>#2495-D</v>
          </cell>
          <cell r="C97">
            <v>43762</v>
          </cell>
          <cell r="D97" t="str">
            <v/>
          </cell>
          <cell r="E97" t="str">
            <v/>
          </cell>
          <cell r="F97">
            <v>43768</v>
          </cell>
        </row>
        <row r="98">
          <cell r="A98" t="str">
            <v>1931313</v>
          </cell>
          <cell r="B98" t="str">
            <v>#2496-D</v>
          </cell>
          <cell r="C98">
            <v>43762</v>
          </cell>
          <cell r="D98" t="str">
            <v/>
          </cell>
          <cell r="E98" t="str">
            <v/>
          </cell>
          <cell r="F98">
            <v>43768</v>
          </cell>
        </row>
        <row r="99">
          <cell r="A99" t="str">
            <v>1931325</v>
          </cell>
          <cell r="B99" t="str">
            <v>#2497-D</v>
          </cell>
          <cell r="C99">
            <v>43762</v>
          </cell>
          <cell r="D99" t="str">
            <v/>
          </cell>
          <cell r="E99" t="str">
            <v/>
          </cell>
          <cell r="F99">
            <v>43768</v>
          </cell>
        </row>
        <row r="100">
          <cell r="A100" t="str">
            <v>1931337</v>
          </cell>
          <cell r="B100" t="str">
            <v>#2498-D</v>
          </cell>
          <cell r="C100">
            <v>43762</v>
          </cell>
          <cell r="D100" t="str">
            <v/>
          </cell>
          <cell r="E100" t="str">
            <v/>
          </cell>
          <cell r="F100">
            <v>43768</v>
          </cell>
        </row>
        <row r="101">
          <cell r="A101" t="str">
            <v>1940027</v>
          </cell>
          <cell r="B101" t="str">
            <v>D</v>
          </cell>
          <cell r="C101" t="str">
            <v/>
          </cell>
          <cell r="D101" t="str">
            <v/>
          </cell>
          <cell r="E101" t="str">
            <v/>
          </cell>
          <cell r="F101">
            <v>43768</v>
          </cell>
        </row>
        <row r="102">
          <cell r="A102" t="str">
            <v>1920835</v>
          </cell>
          <cell r="B102" t="str">
            <v>DLB</v>
          </cell>
          <cell r="C102" t="str">
            <v/>
          </cell>
          <cell r="D102" t="str">
            <v/>
          </cell>
          <cell r="E102" t="str">
            <v/>
          </cell>
          <cell r="F102">
            <v>43768</v>
          </cell>
        </row>
        <row r="103">
          <cell r="A103" t="str">
            <v>1920874</v>
          </cell>
          <cell r="B103" t="str">
            <v>D</v>
          </cell>
          <cell r="C103" t="str">
            <v/>
          </cell>
          <cell r="D103" t="str">
            <v/>
          </cell>
          <cell r="E103" t="str">
            <v/>
          </cell>
          <cell r="F103">
            <v>43769</v>
          </cell>
        </row>
        <row r="104">
          <cell r="A104" t="str">
            <v>1931304</v>
          </cell>
          <cell r="B104" t="str">
            <v>D</v>
          </cell>
          <cell r="C104" t="str">
            <v/>
          </cell>
          <cell r="D104" t="str">
            <v/>
          </cell>
          <cell r="E104" t="str">
            <v/>
          </cell>
          <cell r="F104">
            <v>43769</v>
          </cell>
        </row>
        <row r="105">
          <cell r="A105" t="str">
            <v>1931285</v>
          </cell>
          <cell r="B105" t="str">
            <v>D</v>
          </cell>
          <cell r="C105" t="str">
            <v/>
          </cell>
          <cell r="D105" t="str">
            <v/>
          </cell>
          <cell r="E105" t="str">
            <v/>
          </cell>
          <cell r="F105">
            <v>43769</v>
          </cell>
        </row>
        <row r="106">
          <cell r="A106" t="str">
            <v>1931185</v>
          </cell>
          <cell r="B106" t="str">
            <v>D</v>
          </cell>
          <cell r="C106" t="str">
            <v/>
          </cell>
          <cell r="D106" t="str">
            <v/>
          </cell>
          <cell r="E106" t="str">
            <v/>
          </cell>
          <cell r="F106">
            <v>43769</v>
          </cell>
        </row>
        <row r="107">
          <cell r="A107" t="str">
            <v>1920883</v>
          </cell>
          <cell r="B107" t="str">
            <v>D</v>
          </cell>
          <cell r="C107" t="str">
            <v/>
          </cell>
          <cell r="D107" t="str">
            <v/>
          </cell>
          <cell r="E107" t="str">
            <v/>
          </cell>
          <cell r="F107">
            <v>43769</v>
          </cell>
        </row>
        <row r="108">
          <cell r="A108" t="str">
            <v>1920875</v>
          </cell>
          <cell r="B108" t="str">
            <v>D</v>
          </cell>
          <cell r="C108" t="str">
            <v/>
          </cell>
          <cell r="D108" t="str">
            <v/>
          </cell>
          <cell r="E108" t="str">
            <v/>
          </cell>
          <cell r="F108">
            <v>43769</v>
          </cell>
        </row>
        <row r="109">
          <cell r="A109" t="str">
            <v>1920872</v>
          </cell>
          <cell r="B109" t="str">
            <v>D</v>
          </cell>
          <cell r="C109" t="str">
            <v/>
          </cell>
          <cell r="D109" t="str">
            <v/>
          </cell>
          <cell r="E109" t="str">
            <v/>
          </cell>
          <cell r="F109">
            <v>43769</v>
          </cell>
        </row>
        <row r="110">
          <cell r="A110" t="str">
            <v>1920915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>
            <v>43769</v>
          </cell>
        </row>
        <row r="111">
          <cell r="A111" t="str">
            <v>1920917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>
            <v>43769</v>
          </cell>
        </row>
        <row r="112">
          <cell r="A112" t="str">
            <v>1920913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>
            <v>43769</v>
          </cell>
        </row>
        <row r="113">
          <cell r="A113" t="str">
            <v>1920893</v>
          </cell>
          <cell r="B113" t="str">
            <v>D</v>
          </cell>
          <cell r="C113" t="str">
            <v/>
          </cell>
          <cell r="D113" t="str">
            <v/>
          </cell>
          <cell r="E113" t="str">
            <v/>
          </cell>
          <cell r="F113">
            <v>43769</v>
          </cell>
        </row>
        <row r="114">
          <cell r="A114" t="str">
            <v>1931332</v>
          </cell>
          <cell r="B114" t="str">
            <v>D</v>
          </cell>
          <cell r="C114" t="str">
            <v/>
          </cell>
          <cell r="D114" t="str">
            <v/>
          </cell>
          <cell r="E114" t="str">
            <v/>
          </cell>
          <cell r="F114">
            <v>43769</v>
          </cell>
        </row>
        <row r="115">
          <cell r="A115" t="str">
            <v>1931340</v>
          </cell>
          <cell r="B115" t="str">
            <v>D</v>
          </cell>
          <cell r="C115" t="str">
            <v/>
          </cell>
          <cell r="D115" t="str">
            <v/>
          </cell>
          <cell r="E115" t="str">
            <v/>
          </cell>
          <cell r="F115">
            <v>43769</v>
          </cell>
        </row>
        <row r="116">
          <cell r="A116" t="str">
            <v>1931271</v>
          </cell>
          <cell r="B116" t="str">
            <v>D</v>
          </cell>
          <cell r="C116" t="str">
            <v/>
          </cell>
          <cell r="D116" t="str">
            <v/>
          </cell>
          <cell r="E116" t="str">
            <v/>
          </cell>
          <cell r="F116">
            <v>43769</v>
          </cell>
        </row>
        <row r="117">
          <cell r="A117" t="str">
            <v>1910392W</v>
          </cell>
          <cell r="B117" t="str">
            <v>DL</v>
          </cell>
          <cell r="C117" t="str">
            <v/>
          </cell>
          <cell r="D117" t="str">
            <v/>
          </cell>
          <cell r="E117" t="str">
            <v/>
          </cell>
          <cell r="F117">
            <v>43769</v>
          </cell>
        </row>
        <row r="118">
          <cell r="A118" t="str">
            <v>1910391W</v>
          </cell>
          <cell r="B118" t="str">
            <v>D</v>
          </cell>
          <cell r="C118" t="str">
            <v/>
          </cell>
          <cell r="D118" t="str">
            <v/>
          </cell>
          <cell r="E118" t="str">
            <v/>
          </cell>
          <cell r="F118">
            <v>43769</v>
          </cell>
        </row>
        <row r="119">
          <cell r="A119" t="str">
            <v>1910389W</v>
          </cell>
          <cell r="B119" t="str">
            <v>D</v>
          </cell>
          <cell r="C119" t="str">
            <v/>
          </cell>
          <cell r="D119" t="str">
            <v/>
          </cell>
          <cell r="E119" t="str">
            <v/>
          </cell>
          <cell r="F119">
            <v>43769</v>
          </cell>
        </row>
        <row r="120">
          <cell r="A120" t="str">
            <v>1910404W</v>
          </cell>
          <cell r="B120" t="str">
            <v>D</v>
          </cell>
          <cell r="C120" t="str">
            <v/>
          </cell>
          <cell r="D120" t="str">
            <v/>
          </cell>
          <cell r="E120" t="str">
            <v/>
          </cell>
          <cell r="F120">
            <v>43769</v>
          </cell>
        </row>
        <row r="121">
          <cell r="A121" t="str">
            <v>1950087</v>
          </cell>
          <cell r="B121" t="str">
            <v>D</v>
          </cell>
          <cell r="C121" t="str">
            <v/>
          </cell>
          <cell r="D121" t="str">
            <v/>
          </cell>
          <cell r="E121" t="str">
            <v/>
          </cell>
          <cell r="F121">
            <v>43769</v>
          </cell>
        </row>
        <row r="122">
          <cell r="A122" t="str">
            <v>1940075</v>
          </cell>
          <cell r="B122" t="str">
            <v>D</v>
          </cell>
          <cell r="C122" t="str">
            <v/>
          </cell>
          <cell r="D122" t="str">
            <v/>
          </cell>
          <cell r="E122" t="str">
            <v/>
          </cell>
          <cell r="F122">
            <v>43769</v>
          </cell>
        </row>
        <row r="123">
          <cell r="A123" t="str">
            <v>1920834</v>
          </cell>
          <cell r="B123" t="str">
            <v>D</v>
          </cell>
          <cell r="C123" t="str">
            <v/>
          </cell>
          <cell r="D123" t="str">
            <v/>
          </cell>
          <cell r="E123" t="str">
            <v/>
          </cell>
          <cell r="F123">
            <v>43769</v>
          </cell>
        </row>
        <row r="124">
          <cell r="A124" t="str">
            <v>1920860</v>
          </cell>
          <cell r="B124" t="str">
            <v>D</v>
          </cell>
          <cell r="C124" t="str">
            <v/>
          </cell>
          <cell r="D124" t="str">
            <v/>
          </cell>
          <cell r="E124" t="str">
            <v/>
          </cell>
          <cell r="F124">
            <v>43769</v>
          </cell>
        </row>
        <row r="125">
          <cell r="A125" t="str">
            <v>1931184</v>
          </cell>
          <cell r="B125" t="str">
            <v>D</v>
          </cell>
          <cell r="C125" t="str">
            <v/>
          </cell>
          <cell r="D125" t="str">
            <v/>
          </cell>
          <cell r="E125" t="str">
            <v/>
          </cell>
          <cell r="F125">
            <v>43773</v>
          </cell>
        </row>
        <row r="126">
          <cell r="A126" t="str">
            <v>1931060</v>
          </cell>
          <cell r="B126" t="str">
            <v>D</v>
          </cell>
          <cell r="C126" t="str">
            <v/>
          </cell>
          <cell r="D126" t="str">
            <v/>
          </cell>
          <cell r="E126" t="str">
            <v/>
          </cell>
          <cell r="F126">
            <v>43773</v>
          </cell>
        </row>
        <row r="127">
          <cell r="A127" t="str">
            <v>1920797</v>
          </cell>
          <cell r="B127" t="str">
            <v>DS</v>
          </cell>
          <cell r="C127" t="str">
            <v/>
          </cell>
          <cell r="D127" t="str">
            <v/>
          </cell>
          <cell r="E127" t="str">
            <v/>
          </cell>
          <cell r="F127">
            <v>43773</v>
          </cell>
        </row>
        <row r="128">
          <cell r="A128" t="str">
            <v>1920884</v>
          </cell>
          <cell r="B128" t="str">
            <v>#2482-DLB</v>
          </cell>
          <cell r="C128">
            <v>43761</v>
          </cell>
          <cell r="D128" t="str">
            <v>Y</v>
          </cell>
          <cell r="E128" t="str">
            <v>Y</v>
          </cell>
          <cell r="F128">
            <v>43773</v>
          </cell>
        </row>
        <row r="129">
          <cell r="A129" t="str">
            <v>1920858</v>
          </cell>
          <cell r="B129" t="str">
            <v>D</v>
          </cell>
          <cell r="C129" t="str">
            <v/>
          </cell>
          <cell r="D129" t="str">
            <v/>
          </cell>
          <cell r="E129" t="str">
            <v/>
          </cell>
          <cell r="F129">
            <v>43773</v>
          </cell>
        </row>
        <row r="130">
          <cell r="A130" t="str">
            <v>1931341</v>
          </cell>
          <cell r="B130" t="str">
            <v>D</v>
          </cell>
          <cell r="C130" t="str">
            <v/>
          </cell>
          <cell r="D130" t="str">
            <v/>
          </cell>
          <cell r="E130" t="str">
            <v/>
          </cell>
          <cell r="F130">
            <v>43773</v>
          </cell>
        </row>
        <row r="131">
          <cell r="A131" t="str">
            <v>1931168</v>
          </cell>
          <cell r="B131" t="str">
            <v>D</v>
          </cell>
          <cell r="C131" t="str">
            <v/>
          </cell>
          <cell r="D131" t="str">
            <v/>
          </cell>
          <cell r="E131" t="str">
            <v/>
          </cell>
          <cell r="F131">
            <v>43773</v>
          </cell>
        </row>
        <row r="132">
          <cell r="A132" t="str">
            <v>1931284</v>
          </cell>
          <cell r="B132" t="str">
            <v>D</v>
          </cell>
          <cell r="C132" t="str">
            <v/>
          </cell>
          <cell r="D132" t="str">
            <v/>
          </cell>
          <cell r="E132" t="str">
            <v/>
          </cell>
          <cell r="F132">
            <v>43773</v>
          </cell>
        </row>
        <row r="133">
          <cell r="A133" t="str">
            <v>1931190</v>
          </cell>
          <cell r="B133" t="str">
            <v>D</v>
          </cell>
          <cell r="C133" t="str">
            <v/>
          </cell>
          <cell r="D133" t="str">
            <v/>
          </cell>
          <cell r="E133" t="str">
            <v/>
          </cell>
          <cell r="F133">
            <v>43773</v>
          </cell>
        </row>
        <row r="134">
          <cell r="A134" t="str">
            <v>1931176</v>
          </cell>
          <cell r="B134" t="str">
            <v>DLB</v>
          </cell>
          <cell r="C134" t="str">
            <v/>
          </cell>
          <cell r="D134" t="str">
            <v/>
          </cell>
          <cell r="E134" t="str">
            <v/>
          </cell>
          <cell r="F134">
            <v>43773</v>
          </cell>
        </row>
        <row r="135">
          <cell r="A135" t="str">
            <v>1910403W</v>
          </cell>
          <cell r="B135" t="str">
            <v>D</v>
          </cell>
          <cell r="C135" t="str">
            <v/>
          </cell>
          <cell r="D135" t="str">
            <v/>
          </cell>
          <cell r="E135" t="str">
            <v/>
          </cell>
          <cell r="F135">
            <v>43773</v>
          </cell>
        </row>
        <row r="136">
          <cell r="A136" t="str">
            <v>1910417W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>
            <v>43773</v>
          </cell>
        </row>
        <row r="137">
          <cell r="A137" t="str">
            <v>1910418W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>
            <v>43773</v>
          </cell>
        </row>
        <row r="138">
          <cell r="A138" t="str">
            <v>1940076</v>
          </cell>
          <cell r="B138" t="str">
            <v>D</v>
          </cell>
          <cell r="C138" t="str">
            <v/>
          </cell>
          <cell r="D138" t="str">
            <v/>
          </cell>
          <cell r="E138" t="str">
            <v/>
          </cell>
          <cell r="F138">
            <v>43773</v>
          </cell>
        </row>
        <row r="139">
          <cell r="A139" t="str">
            <v>1920861</v>
          </cell>
          <cell r="B139" t="str">
            <v>D</v>
          </cell>
          <cell r="C139" t="str">
            <v/>
          </cell>
          <cell r="D139" t="str">
            <v/>
          </cell>
          <cell r="E139" t="str">
            <v/>
          </cell>
          <cell r="F139">
            <v>43773</v>
          </cell>
        </row>
        <row r="140">
          <cell r="A140" t="str">
            <v>1910396</v>
          </cell>
          <cell r="B140" t="str">
            <v>D</v>
          </cell>
          <cell r="C140" t="str">
            <v/>
          </cell>
          <cell r="D140" t="str">
            <v/>
          </cell>
          <cell r="E140" t="str">
            <v/>
          </cell>
          <cell r="F140">
            <v>43774</v>
          </cell>
        </row>
        <row r="141">
          <cell r="A141" t="str">
            <v>1920882</v>
          </cell>
          <cell r="B141" t="str">
            <v>#2483-DLB</v>
          </cell>
          <cell r="C141">
            <v>43761</v>
          </cell>
          <cell r="D141" t="str">
            <v>Y</v>
          </cell>
          <cell r="E141" t="str">
            <v>Y</v>
          </cell>
          <cell r="F141">
            <v>43774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>
            <v>43774</v>
          </cell>
        </row>
        <row r="143">
          <cell r="A143" t="str">
            <v>1910390W</v>
          </cell>
          <cell r="B143" t="str">
            <v>D</v>
          </cell>
          <cell r="C143" t="str">
            <v/>
          </cell>
          <cell r="D143" t="str">
            <v/>
          </cell>
          <cell r="E143" t="str">
            <v/>
          </cell>
          <cell r="F143">
            <v>43774</v>
          </cell>
        </row>
        <row r="144">
          <cell r="A144" t="str">
            <v>1910400W</v>
          </cell>
          <cell r="B144" t="str">
            <v>D</v>
          </cell>
          <cell r="C144" t="str">
            <v/>
          </cell>
          <cell r="D144" t="str">
            <v/>
          </cell>
          <cell r="E144" t="str">
            <v/>
          </cell>
          <cell r="F144">
            <v>43774</v>
          </cell>
        </row>
        <row r="145">
          <cell r="A145" t="str">
            <v>1940077</v>
          </cell>
          <cell r="B145" t="str">
            <v>D</v>
          </cell>
          <cell r="C145" t="str">
            <v/>
          </cell>
          <cell r="D145" t="str">
            <v/>
          </cell>
          <cell r="E145" t="str">
            <v/>
          </cell>
          <cell r="F145">
            <v>43774</v>
          </cell>
        </row>
        <row r="146">
          <cell r="A146" t="str">
            <v>1920916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>
            <v>43775</v>
          </cell>
        </row>
        <row r="147">
          <cell r="A147" t="str">
            <v>1931317</v>
          </cell>
          <cell r="B147" t="str">
            <v>D</v>
          </cell>
          <cell r="C147" t="str">
            <v/>
          </cell>
          <cell r="D147" t="str">
            <v/>
          </cell>
          <cell r="E147" t="str">
            <v/>
          </cell>
          <cell r="F147">
            <v>43775</v>
          </cell>
        </row>
        <row r="148">
          <cell r="A148" t="str">
            <v>1931318</v>
          </cell>
          <cell r="B148" t="str">
            <v>D</v>
          </cell>
          <cell r="C148" t="str">
            <v/>
          </cell>
          <cell r="D148" t="str">
            <v/>
          </cell>
          <cell r="E148" t="str">
            <v/>
          </cell>
          <cell r="F148">
            <v>43775</v>
          </cell>
        </row>
        <row r="149">
          <cell r="A149" t="str">
            <v>1910413W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>
            <v>43775</v>
          </cell>
        </row>
        <row r="150">
          <cell r="A150" t="str">
            <v>1920867</v>
          </cell>
          <cell r="B150" t="str">
            <v>D</v>
          </cell>
          <cell r="C150" t="str">
            <v/>
          </cell>
          <cell r="D150" t="str">
            <v/>
          </cell>
          <cell r="E150" t="str">
            <v/>
          </cell>
          <cell r="F150">
            <v>43775</v>
          </cell>
        </row>
        <row r="151">
          <cell r="A151" t="str">
            <v>1920866</v>
          </cell>
          <cell r="B151" t="str">
            <v>D</v>
          </cell>
          <cell r="C151" t="str">
            <v/>
          </cell>
          <cell r="D151" t="str">
            <v/>
          </cell>
          <cell r="E151" t="str">
            <v/>
          </cell>
          <cell r="F151">
            <v>43775</v>
          </cell>
        </row>
        <row r="152">
          <cell r="A152" t="str">
            <v>1920918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>
            <v>43775</v>
          </cell>
        </row>
        <row r="153">
          <cell r="A153" t="str">
            <v>1920922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>
            <v>43775</v>
          </cell>
        </row>
        <row r="154">
          <cell r="A154" t="str">
            <v>1931286</v>
          </cell>
          <cell r="B154" t="str">
            <v>D</v>
          </cell>
          <cell r="C154" t="str">
            <v/>
          </cell>
          <cell r="D154" t="str">
            <v/>
          </cell>
          <cell r="E154" t="str">
            <v/>
          </cell>
          <cell r="F154">
            <v>43775</v>
          </cell>
        </row>
        <row r="155">
          <cell r="A155" t="str">
            <v>1910416W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>
            <v>43775</v>
          </cell>
        </row>
        <row r="156">
          <cell r="A156" t="str">
            <v>1910415W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>
            <v>43775</v>
          </cell>
        </row>
        <row r="157">
          <cell r="A157" t="str">
            <v>1910414W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>
            <v>43775</v>
          </cell>
        </row>
        <row r="158">
          <cell r="A158" t="str">
            <v>1910397</v>
          </cell>
          <cell r="B158" t="str">
            <v>D</v>
          </cell>
          <cell r="C158" t="str">
            <v/>
          </cell>
          <cell r="D158" t="str">
            <v/>
          </cell>
          <cell r="E158" t="str">
            <v/>
          </cell>
          <cell r="F158">
            <v>43775</v>
          </cell>
        </row>
        <row r="159">
          <cell r="A159" t="str">
            <v>1931219</v>
          </cell>
          <cell r="B159" t="str">
            <v>D</v>
          </cell>
          <cell r="C159" t="str">
            <v/>
          </cell>
          <cell r="D159" t="str">
            <v/>
          </cell>
          <cell r="E159" t="str">
            <v/>
          </cell>
          <cell r="F159">
            <v>43776</v>
          </cell>
        </row>
        <row r="160">
          <cell r="A160" t="str">
            <v>1931223</v>
          </cell>
          <cell r="B160" t="str">
            <v xml:space="preserve">NO DHR </v>
          </cell>
          <cell r="C160" t="str">
            <v/>
          </cell>
          <cell r="D160" t="str">
            <v/>
          </cell>
          <cell r="E160" t="str">
            <v/>
          </cell>
          <cell r="F160">
            <v>43776</v>
          </cell>
        </row>
        <row r="161">
          <cell r="A161" t="str">
            <v>1931222</v>
          </cell>
          <cell r="B161" t="str">
            <v>D</v>
          </cell>
          <cell r="C161" t="str">
            <v/>
          </cell>
          <cell r="D161" t="str">
            <v/>
          </cell>
          <cell r="E161" t="str">
            <v/>
          </cell>
          <cell r="F161">
            <v>43776</v>
          </cell>
        </row>
        <row r="162">
          <cell r="A162" t="str">
            <v>1931226</v>
          </cell>
          <cell r="B162" t="str">
            <v>D</v>
          </cell>
          <cell r="C162" t="str">
            <v/>
          </cell>
          <cell r="D162" t="str">
            <v/>
          </cell>
          <cell r="E162" t="str">
            <v/>
          </cell>
          <cell r="F162">
            <v>43776</v>
          </cell>
        </row>
        <row r="163">
          <cell r="A163" t="str">
            <v>1931234</v>
          </cell>
          <cell r="B163" t="str">
            <v>D</v>
          </cell>
          <cell r="C163" t="str">
            <v/>
          </cell>
          <cell r="D163" t="str">
            <v/>
          </cell>
          <cell r="E163" t="str">
            <v/>
          </cell>
          <cell r="F163">
            <v>43776</v>
          </cell>
        </row>
        <row r="164">
          <cell r="A164" t="str">
            <v>1920892</v>
          </cell>
          <cell r="B164" t="str">
            <v>D</v>
          </cell>
          <cell r="C164" t="str">
            <v/>
          </cell>
          <cell r="D164" t="str">
            <v/>
          </cell>
          <cell r="E164" t="str">
            <v/>
          </cell>
          <cell r="F164">
            <v>43776</v>
          </cell>
        </row>
        <row r="165">
          <cell r="A165" t="str">
            <v>1920901</v>
          </cell>
          <cell r="B165" t="str">
            <v>D</v>
          </cell>
          <cell r="C165" t="str">
            <v/>
          </cell>
          <cell r="D165" t="str">
            <v/>
          </cell>
          <cell r="E165" t="str">
            <v/>
          </cell>
          <cell r="F165">
            <v>43776</v>
          </cell>
        </row>
        <row r="166">
          <cell r="A166" t="str">
            <v>1920843</v>
          </cell>
          <cell r="B166" t="str">
            <v>D</v>
          </cell>
          <cell r="C166" t="str">
            <v/>
          </cell>
          <cell r="D166" t="str">
            <v/>
          </cell>
          <cell r="E166" t="str">
            <v/>
          </cell>
          <cell r="F166">
            <v>43776</v>
          </cell>
        </row>
        <row r="167">
          <cell r="A167" t="str">
            <v>1920822</v>
          </cell>
          <cell r="B167" t="str">
            <v>D</v>
          </cell>
          <cell r="C167" t="str">
            <v/>
          </cell>
          <cell r="D167" t="str">
            <v/>
          </cell>
          <cell r="E167" t="str">
            <v/>
          </cell>
          <cell r="F167">
            <v>43776</v>
          </cell>
        </row>
        <row r="168">
          <cell r="A168" t="str">
            <v>1920873</v>
          </cell>
          <cell r="B168" t="str">
            <v>D</v>
          </cell>
          <cell r="C168" t="str">
            <v/>
          </cell>
          <cell r="D168" t="str">
            <v/>
          </cell>
          <cell r="E168" t="str">
            <v/>
          </cell>
          <cell r="F168">
            <v>43776</v>
          </cell>
        </row>
        <row r="169">
          <cell r="A169" t="str">
            <v>1920926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>
            <v>43776</v>
          </cell>
        </row>
        <row r="170">
          <cell r="A170" t="str">
            <v>1920919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>
            <v>43776</v>
          </cell>
        </row>
        <row r="171">
          <cell r="A171" t="str">
            <v>1931233</v>
          </cell>
          <cell r="B171" t="str">
            <v>D</v>
          </cell>
          <cell r="C171" t="str">
            <v/>
          </cell>
          <cell r="D171" t="str">
            <v/>
          </cell>
          <cell r="E171" t="str">
            <v/>
          </cell>
          <cell r="F171">
            <v>43776</v>
          </cell>
        </row>
        <row r="172">
          <cell r="A172" t="str">
            <v>1931252</v>
          </cell>
          <cell r="B172" t="str">
            <v>D</v>
          </cell>
          <cell r="C172" t="str">
            <v/>
          </cell>
          <cell r="D172" t="str">
            <v/>
          </cell>
          <cell r="E172" t="str">
            <v/>
          </cell>
          <cell r="F172">
            <v>43776</v>
          </cell>
        </row>
        <row r="173">
          <cell r="A173" t="str">
            <v>1931319</v>
          </cell>
          <cell r="B173" t="str">
            <v>D</v>
          </cell>
          <cell r="C173" t="str">
            <v/>
          </cell>
          <cell r="D173" t="str">
            <v/>
          </cell>
          <cell r="E173" t="str">
            <v/>
          </cell>
          <cell r="F173">
            <v>43776</v>
          </cell>
        </row>
        <row r="174">
          <cell r="A174" t="str">
            <v>1920911W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>
            <v>43776</v>
          </cell>
        </row>
        <row r="175">
          <cell r="A175" t="str">
            <v>1920838</v>
          </cell>
          <cell r="B175" t="str">
            <v>D</v>
          </cell>
          <cell r="C175" t="str">
            <v/>
          </cell>
          <cell r="D175" t="str">
            <v/>
          </cell>
          <cell r="E175" t="str">
            <v/>
          </cell>
          <cell r="F175">
            <v>43780</v>
          </cell>
        </row>
        <row r="176">
          <cell r="A176" t="str">
            <v>1920905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>
            <v>43780</v>
          </cell>
        </row>
        <row r="177">
          <cell r="A177" t="str">
            <v>1931231</v>
          </cell>
          <cell r="B177" t="str">
            <v>D</v>
          </cell>
          <cell r="C177" t="str">
            <v/>
          </cell>
          <cell r="D177" t="str">
            <v/>
          </cell>
          <cell r="E177" t="str">
            <v/>
          </cell>
          <cell r="F177">
            <v>43780</v>
          </cell>
        </row>
        <row r="178">
          <cell r="A178" t="str">
            <v>1931251</v>
          </cell>
          <cell r="B178" t="str">
            <v>D</v>
          </cell>
          <cell r="C178" t="str">
            <v/>
          </cell>
          <cell r="D178" t="str">
            <v/>
          </cell>
          <cell r="E178" t="str">
            <v/>
          </cell>
          <cell r="F178">
            <v>43780</v>
          </cell>
        </row>
        <row r="179">
          <cell r="A179" t="str">
            <v>1931253</v>
          </cell>
          <cell r="B179" t="str">
            <v>D</v>
          </cell>
          <cell r="C179" t="str">
            <v/>
          </cell>
          <cell r="D179" t="str">
            <v/>
          </cell>
          <cell r="E179" t="str">
            <v/>
          </cell>
          <cell r="F179">
            <v>43780</v>
          </cell>
        </row>
        <row r="180">
          <cell r="A180" t="str">
            <v>1931254</v>
          </cell>
          <cell r="B180" t="str">
            <v>D</v>
          </cell>
          <cell r="C180" t="str">
            <v/>
          </cell>
          <cell r="D180" t="str">
            <v/>
          </cell>
          <cell r="E180" t="str">
            <v/>
          </cell>
          <cell r="F180">
            <v>43780</v>
          </cell>
        </row>
        <row r="181">
          <cell r="A181" t="str">
            <v>1931256</v>
          </cell>
          <cell r="B181" t="str">
            <v>D</v>
          </cell>
          <cell r="C181" t="str">
            <v/>
          </cell>
          <cell r="D181" t="str">
            <v/>
          </cell>
          <cell r="E181" t="str">
            <v/>
          </cell>
          <cell r="F181">
            <v>43780</v>
          </cell>
        </row>
        <row r="182">
          <cell r="A182" t="str">
            <v>1920896</v>
          </cell>
          <cell r="B182" t="str">
            <v>D</v>
          </cell>
          <cell r="C182" t="str">
            <v/>
          </cell>
          <cell r="D182" t="str">
            <v/>
          </cell>
          <cell r="E182" t="str">
            <v/>
          </cell>
          <cell r="F182">
            <v>43780</v>
          </cell>
        </row>
        <row r="183">
          <cell r="A183" t="str">
            <v>1931257</v>
          </cell>
          <cell r="B183" t="str">
            <v>D</v>
          </cell>
          <cell r="C183" t="str">
            <v/>
          </cell>
          <cell r="D183" t="str">
            <v/>
          </cell>
          <cell r="E183" t="str">
            <v/>
          </cell>
          <cell r="F183">
            <v>43780</v>
          </cell>
        </row>
        <row r="184">
          <cell r="A184" t="str">
            <v>1931259</v>
          </cell>
          <cell r="B184" t="str">
            <v>D</v>
          </cell>
          <cell r="C184" t="str">
            <v/>
          </cell>
          <cell r="D184" t="str">
            <v/>
          </cell>
          <cell r="E184" t="str">
            <v/>
          </cell>
          <cell r="F184">
            <v>43780</v>
          </cell>
        </row>
        <row r="185">
          <cell r="A185" t="str">
            <v>1910398</v>
          </cell>
          <cell r="B185" t="str">
            <v>D</v>
          </cell>
          <cell r="C185" t="str">
            <v/>
          </cell>
          <cell r="D185" t="str">
            <v/>
          </cell>
          <cell r="E185" t="str">
            <v/>
          </cell>
          <cell r="F185">
            <v>43780</v>
          </cell>
        </row>
        <row r="186">
          <cell r="A186" t="str">
            <v>1920878</v>
          </cell>
          <cell r="B186" t="str">
            <v>D</v>
          </cell>
          <cell r="C186" t="str">
            <v/>
          </cell>
          <cell r="D186" t="str">
            <v/>
          </cell>
          <cell r="E186" t="str">
            <v/>
          </cell>
          <cell r="F186">
            <v>43780</v>
          </cell>
        </row>
        <row r="187">
          <cell r="A187" t="str">
            <v>1920904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>
            <v>43781</v>
          </cell>
        </row>
        <row r="188">
          <cell r="A188" t="str">
            <v>1920898</v>
          </cell>
          <cell r="B188" t="str">
            <v>D</v>
          </cell>
          <cell r="C188" t="str">
            <v/>
          </cell>
          <cell r="D188" t="str">
            <v/>
          </cell>
          <cell r="E188" t="str">
            <v/>
          </cell>
          <cell r="F188">
            <v>43781</v>
          </cell>
        </row>
        <row r="189">
          <cell r="A189" t="str">
            <v>1931261</v>
          </cell>
          <cell r="B189" t="str">
            <v>D</v>
          </cell>
          <cell r="C189" t="str">
            <v/>
          </cell>
          <cell r="D189" t="str">
            <v/>
          </cell>
          <cell r="E189" t="str">
            <v/>
          </cell>
          <cell r="F189">
            <v>43781</v>
          </cell>
        </row>
        <row r="190">
          <cell r="A190" t="str">
            <v>1931263</v>
          </cell>
          <cell r="B190" t="str">
            <v>D</v>
          </cell>
          <cell r="C190" t="str">
            <v/>
          </cell>
          <cell r="D190" t="str">
            <v/>
          </cell>
          <cell r="E190" t="str">
            <v/>
          </cell>
          <cell r="F190">
            <v>43781</v>
          </cell>
        </row>
        <row r="191">
          <cell r="A191" t="str">
            <v>1931272</v>
          </cell>
          <cell r="B191" t="str">
            <v>D</v>
          </cell>
          <cell r="C191" t="str">
            <v/>
          </cell>
          <cell r="D191" t="str">
            <v/>
          </cell>
          <cell r="E191" t="str">
            <v/>
          </cell>
          <cell r="F191">
            <v>43781</v>
          </cell>
        </row>
        <row r="192">
          <cell r="A192" t="str">
            <v>1931273</v>
          </cell>
          <cell r="B192" t="str">
            <v>D</v>
          </cell>
          <cell r="C192" t="str">
            <v/>
          </cell>
          <cell r="D192" t="str">
            <v/>
          </cell>
          <cell r="E192" t="str">
            <v/>
          </cell>
          <cell r="F192">
            <v>43781</v>
          </cell>
        </row>
        <row r="193">
          <cell r="A193" t="str">
            <v>1931266</v>
          </cell>
          <cell r="B193" t="str">
            <v>D</v>
          </cell>
          <cell r="C193" t="str">
            <v/>
          </cell>
          <cell r="D193" t="str">
            <v/>
          </cell>
          <cell r="E193" t="str">
            <v/>
          </cell>
          <cell r="F193">
            <v>43781</v>
          </cell>
        </row>
        <row r="194">
          <cell r="A194" t="str">
            <v>1931274</v>
          </cell>
          <cell r="B194" t="str">
            <v>D</v>
          </cell>
          <cell r="C194" t="str">
            <v/>
          </cell>
          <cell r="D194" t="str">
            <v/>
          </cell>
          <cell r="E194" t="str">
            <v/>
          </cell>
          <cell r="F194">
            <v>43781</v>
          </cell>
        </row>
        <row r="195">
          <cell r="A195" t="str">
            <v>1931276</v>
          </cell>
          <cell r="B195" t="str">
            <v>D</v>
          </cell>
          <cell r="C195" t="str">
            <v/>
          </cell>
          <cell r="D195" t="str">
            <v/>
          </cell>
          <cell r="E195" t="str">
            <v/>
          </cell>
          <cell r="F195">
            <v>43781</v>
          </cell>
        </row>
        <row r="196">
          <cell r="A196" t="str">
            <v>1920910W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>
            <v>43781</v>
          </cell>
        </row>
        <row r="197">
          <cell r="A197" t="str">
            <v>1920906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>
            <v>43781</v>
          </cell>
        </row>
        <row r="198">
          <cell r="A198" t="str">
            <v>1931260</v>
          </cell>
          <cell r="B198" t="str">
            <v>D</v>
          </cell>
          <cell r="C198" t="str">
            <v/>
          </cell>
          <cell r="D198" t="str">
            <v/>
          </cell>
          <cell r="E198" t="str">
            <v/>
          </cell>
          <cell r="F198">
            <v>43781</v>
          </cell>
        </row>
        <row r="199">
          <cell r="A199" t="str">
            <v>1931262</v>
          </cell>
          <cell r="B199" t="str">
            <v>D</v>
          </cell>
          <cell r="C199" t="str">
            <v/>
          </cell>
          <cell r="D199" t="str">
            <v/>
          </cell>
          <cell r="E199" t="str">
            <v/>
          </cell>
          <cell r="F199">
            <v>43781</v>
          </cell>
        </row>
        <row r="200">
          <cell r="A200" t="str">
            <v>1931220</v>
          </cell>
          <cell r="B200" t="str">
            <v>D</v>
          </cell>
          <cell r="C200" t="str">
            <v/>
          </cell>
          <cell r="D200" t="str">
            <v/>
          </cell>
          <cell r="E200" t="str">
            <v/>
          </cell>
          <cell r="F200">
            <v>43781</v>
          </cell>
        </row>
        <row r="201">
          <cell r="A201" t="str">
            <v>1931267</v>
          </cell>
          <cell r="B201" t="str">
            <v>D</v>
          </cell>
          <cell r="C201" t="str">
            <v/>
          </cell>
          <cell r="D201" t="str">
            <v/>
          </cell>
          <cell r="E201" t="str">
            <v/>
          </cell>
          <cell r="F201">
            <v>43781</v>
          </cell>
        </row>
        <row r="202">
          <cell r="A202" t="str">
            <v>1920930W</v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>
            <v>43781</v>
          </cell>
        </row>
        <row r="203">
          <cell r="A203" t="str">
            <v>1970032</v>
          </cell>
          <cell r="B203" t="str">
            <v>DLB</v>
          </cell>
          <cell r="C203" t="str">
            <v/>
          </cell>
          <cell r="D203" t="str">
            <v/>
          </cell>
          <cell r="E203" t="str">
            <v/>
          </cell>
          <cell r="F203">
            <v>43781</v>
          </cell>
        </row>
        <row r="204">
          <cell r="A204" t="str">
            <v>1920836</v>
          </cell>
          <cell r="B204" t="str">
            <v>D</v>
          </cell>
          <cell r="C204" t="str">
            <v/>
          </cell>
          <cell r="D204" t="str">
            <v/>
          </cell>
          <cell r="E204" t="str">
            <v/>
          </cell>
          <cell r="F204">
            <v>43781</v>
          </cell>
        </row>
        <row r="205">
          <cell r="A205" t="str">
            <v>1931290</v>
          </cell>
          <cell r="B205" t="str">
            <v>D</v>
          </cell>
          <cell r="C205" t="str">
            <v/>
          </cell>
          <cell r="D205" t="str">
            <v/>
          </cell>
          <cell r="E205" t="str">
            <v/>
          </cell>
          <cell r="F205">
            <v>43782</v>
          </cell>
        </row>
        <row r="206">
          <cell r="A206" t="str">
            <v>1931292</v>
          </cell>
          <cell r="B206" t="str">
            <v>D</v>
          </cell>
          <cell r="C206" t="str">
            <v/>
          </cell>
          <cell r="D206" t="str">
            <v/>
          </cell>
          <cell r="E206" t="str">
            <v/>
          </cell>
          <cell r="F206">
            <v>43782</v>
          </cell>
        </row>
        <row r="207">
          <cell r="A207" t="str">
            <v>1931300</v>
          </cell>
          <cell r="B207" t="str">
            <v>D</v>
          </cell>
          <cell r="C207" t="str">
            <v/>
          </cell>
          <cell r="D207" t="str">
            <v/>
          </cell>
          <cell r="E207" t="str">
            <v/>
          </cell>
          <cell r="F207">
            <v>43782</v>
          </cell>
        </row>
        <row r="208">
          <cell r="A208" t="str">
            <v>1931293</v>
          </cell>
          <cell r="B208" t="str">
            <v>D</v>
          </cell>
          <cell r="C208" t="str">
            <v/>
          </cell>
          <cell r="D208" t="str">
            <v/>
          </cell>
          <cell r="E208" t="str">
            <v/>
          </cell>
          <cell r="F208">
            <v>43782</v>
          </cell>
        </row>
        <row r="209">
          <cell r="A209" t="str">
            <v>1931343</v>
          </cell>
          <cell r="B209" t="str">
            <v>D</v>
          </cell>
          <cell r="C209" t="str">
            <v/>
          </cell>
          <cell r="D209" t="str">
            <v/>
          </cell>
          <cell r="E209" t="str">
            <v/>
          </cell>
          <cell r="F209">
            <v>43782</v>
          </cell>
        </row>
        <row r="210">
          <cell r="A210" t="str">
            <v>1920885</v>
          </cell>
          <cell r="B210" t="str">
            <v>D</v>
          </cell>
          <cell r="C210" t="str">
            <v/>
          </cell>
          <cell r="D210" t="str">
            <v/>
          </cell>
          <cell r="E210" t="str">
            <v/>
          </cell>
          <cell r="F210">
            <v>43782</v>
          </cell>
        </row>
        <row r="211">
          <cell r="A211" t="str">
            <v>1920889</v>
          </cell>
          <cell r="B211" t="str">
            <v>D</v>
          </cell>
          <cell r="C211" t="str">
            <v/>
          </cell>
          <cell r="D211" t="str">
            <v/>
          </cell>
          <cell r="E211" t="str">
            <v/>
          </cell>
          <cell r="F211">
            <v>43782</v>
          </cell>
        </row>
        <row r="212">
          <cell r="A212" t="str">
            <v>1920895</v>
          </cell>
          <cell r="B212" t="str">
            <v>D</v>
          </cell>
          <cell r="C212" t="str">
            <v/>
          </cell>
          <cell r="D212" t="str">
            <v/>
          </cell>
          <cell r="E212" t="str">
            <v/>
          </cell>
          <cell r="F212">
            <v>43782</v>
          </cell>
        </row>
        <row r="213">
          <cell r="A213" t="str">
            <v>1931268</v>
          </cell>
          <cell r="B213" t="str">
            <v>D</v>
          </cell>
          <cell r="C213" t="str">
            <v/>
          </cell>
          <cell r="D213" t="str">
            <v/>
          </cell>
          <cell r="E213" t="str">
            <v/>
          </cell>
          <cell r="F213">
            <v>43782</v>
          </cell>
        </row>
        <row r="214">
          <cell r="A214" t="str">
            <v>1931264</v>
          </cell>
          <cell r="B214" t="str">
            <v>D</v>
          </cell>
          <cell r="C214" t="str">
            <v/>
          </cell>
          <cell r="D214" t="str">
            <v/>
          </cell>
          <cell r="E214" t="str">
            <v/>
          </cell>
          <cell r="F214">
            <v>43782</v>
          </cell>
        </row>
        <row r="215">
          <cell r="A215" t="str">
            <v>1931287</v>
          </cell>
          <cell r="B215" t="str">
            <v>D</v>
          </cell>
          <cell r="C215" t="str">
            <v/>
          </cell>
          <cell r="D215" t="str">
            <v/>
          </cell>
          <cell r="E215" t="str">
            <v/>
          </cell>
          <cell r="F215">
            <v>43782</v>
          </cell>
        </row>
        <row r="216">
          <cell r="A216" t="str">
            <v>1920837</v>
          </cell>
          <cell r="B216" t="str">
            <v>D</v>
          </cell>
          <cell r="C216" t="str">
            <v/>
          </cell>
          <cell r="D216" t="str">
            <v/>
          </cell>
          <cell r="E216" t="str">
            <v/>
          </cell>
          <cell r="F216">
            <v>43782</v>
          </cell>
        </row>
        <row r="217">
          <cell r="A217" t="str">
            <v>1920813</v>
          </cell>
          <cell r="B217" t="str">
            <v>D</v>
          </cell>
          <cell r="C217" t="str">
            <v/>
          </cell>
          <cell r="D217" t="str">
            <v/>
          </cell>
          <cell r="E217" t="str">
            <v/>
          </cell>
          <cell r="F217">
            <v>43782</v>
          </cell>
        </row>
        <row r="218">
          <cell r="A218" t="str">
            <v>1920909</v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>
            <v>43783</v>
          </cell>
        </row>
        <row r="219">
          <cell r="A219" t="str">
            <v>1920894</v>
          </cell>
          <cell r="B219" t="str">
            <v>D</v>
          </cell>
          <cell r="C219" t="str">
            <v/>
          </cell>
          <cell r="D219" t="str">
            <v/>
          </cell>
          <cell r="E219" t="str">
            <v/>
          </cell>
          <cell r="F219">
            <v>43783</v>
          </cell>
        </row>
        <row r="220">
          <cell r="A220" t="str">
            <v>1931315</v>
          </cell>
          <cell r="B220" t="str">
            <v>D</v>
          </cell>
          <cell r="C220" t="str">
            <v/>
          </cell>
          <cell r="D220" t="str">
            <v/>
          </cell>
          <cell r="E220" t="str">
            <v/>
          </cell>
          <cell r="F220">
            <v>43783</v>
          </cell>
        </row>
        <row r="221">
          <cell r="A221" t="str">
            <v>1931302</v>
          </cell>
          <cell r="B221" t="str">
            <v>D</v>
          </cell>
          <cell r="C221" t="str">
            <v/>
          </cell>
          <cell r="D221" t="str">
            <v/>
          </cell>
          <cell r="E221" t="str">
            <v/>
          </cell>
          <cell r="F221">
            <v>43783</v>
          </cell>
        </row>
        <row r="222">
          <cell r="A222" t="str">
            <v>1931311</v>
          </cell>
          <cell r="B222" t="str">
            <v>D</v>
          </cell>
          <cell r="C222" t="str">
            <v/>
          </cell>
          <cell r="D222" t="str">
            <v/>
          </cell>
          <cell r="E222" t="str">
            <v/>
          </cell>
          <cell r="F222">
            <v>43783</v>
          </cell>
        </row>
        <row r="223">
          <cell r="A223" t="str">
            <v>1931310</v>
          </cell>
          <cell r="B223" t="str">
            <v>D</v>
          </cell>
          <cell r="C223" t="str">
            <v/>
          </cell>
          <cell r="D223" t="str">
            <v/>
          </cell>
          <cell r="E223" t="str">
            <v/>
          </cell>
          <cell r="F223">
            <v>43783</v>
          </cell>
        </row>
        <row r="224">
          <cell r="A224" t="str">
            <v>1931312</v>
          </cell>
          <cell r="B224" t="str">
            <v>D</v>
          </cell>
          <cell r="C224" t="str">
            <v/>
          </cell>
          <cell r="D224" t="str">
            <v/>
          </cell>
          <cell r="E224" t="str">
            <v/>
          </cell>
          <cell r="F224">
            <v>43783</v>
          </cell>
        </row>
        <row r="225">
          <cell r="A225" t="str">
            <v>1931365</v>
          </cell>
          <cell r="B225" t="str">
            <v>D</v>
          </cell>
          <cell r="C225" t="str">
            <v/>
          </cell>
          <cell r="D225" t="str">
            <v/>
          </cell>
          <cell r="E225" t="str">
            <v/>
          </cell>
          <cell r="F225">
            <v>43783</v>
          </cell>
        </row>
        <row r="226">
          <cell r="A226" t="str">
            <v>1910399</v>
          </cell>
          <cell r="B226" t="str">
            <v>D</v>
          </cell>
          <cell r="C226" t="str">
            <v/>
          </cell>
          <cell r="D226" t="str">
            <v/>
          </cell>
          <cell r="E226" t="str">
            <v/>
          </cell>
          <cell r="F226">
            <v>43783</v>
          </cell>
        </row>
        <row r="227">
          <cell r="A227" t="str">
            <v>1931298</v>
          </cell>
          <cell r="B227" t="str">
            <v>D</v>
          </cell>
          <cell r="C227" t="str">
            <v/>
          </cell>
          <cell r="D227" t="str">
            <v/>
          </cell>
          <cell r="E227" t="str">
            <v/>
          </cell>
          <cell r="F227">
            <v>43783</v>
          </cell>
        </row>
        <row r="228">
          <cell r="A228" t="str">
            <v>1931297</v>
          </cell>
          <cell r="B228" t="str">
            <v>D</v>
          </cell>
          <cell r="C228" t="str">
            <v/>
          </cell>
          <cell r="D228" t="str">
            <v/>
          </cell>
          <cell r="E228" t="str">
            <v/>
          </cell>
          <cell r="F228">
            <v>43783</v>
          </cell>
        </row>
        <row r="229">
          <cell r="A229" t="str">
            <v>1931295</v>
          </cell>
          <cell r="B229" t="str">
            <v>D</v>
          </cell>
          <cell r="C229" t="str">
            <v/>
          </cell>
          <cell r="D229" t="str">
            <v/>
          </cell>
          <cell r="E229" t="str">
            <v/>
          </cell>
          <cell r="F229">
            <v>43783</v>
          </cell>
        </row>
        <row r="230">
          <cell r="A230" t="str">
            <v>1931306</v>
          </cell>
          <cell r="B230" t="str">
            <v>D</v>
          </cell>
          <cell r="C230" t="str">
            <v/>
          </cell>
          <cell r="D230" t="str">
            <v/>
          </cell>
          <cell r="E230" t="str">
            <v/>
          </cell>
          <cell r="F230">
            <v>43783</v>
          </cell>
        </row>
        <row r="231">
          <cell r="A231" t="str">
            <v>1931314</v>
          </cell>
          <cell r="B231" t="str">
            <v>D</v>
          </cell>
          <cell r="C231" t="str">
            <v/>
          </cell>
          <cell r="D231" t="str">
            <v/>
          </cell>
          <cell r="E231" t="str">
            <v/>
          </cell>
          <cell r="F231">
            <v>43783</v>
          </cell>
        </row>
        <row r="232">
          <cell r="A232" t="str">
            <v>1920900</v>
          </cell>
          <cell r="B232" t="str">
            <v>D</v>
          </cell>
          <cell r="C232" t="str">
            <v/>
          </cell>
          <cell r="D232" t="str">
            <v/>
          </cell>
          <cell r="E232" t="str">
            <v/>
          </cell>
          <cell r="F232">
            <v>43783</v>
          </cell>
        </row>
        <row r="233">
          <cell r="A233" t="str">
            <v>1920914</v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>
            <v>43787</v>
          </cell>
        </row>
        <row r="234">
          <cell r="A234" t="str">
            <v>1931334</v>
          </cell>
          <cell r="B234" t="str">
            <v>D</v>
          </cell>
          <cell r="C234" t="str">
            <v/>
          </cell>
          <cell r="D234" t="str">
            <v/>
          </cell>
          <cell r="E234" t="str">
            <v/>
          </cell>
          <cell r="F234">
            <v>43787</v>
          </cell>
        </row>
        <row r="235">
          <cell r="A235" t="str">
            <v>1931330</v>
          </cell>
          <cell r="B235" t="str">
            <v>D</v>
          </cell>
          <cell r="C235" t="str">
            <v/>
          </cell>
          <cell r="D235" t="str">
            <v/>
          </cell>
          <cell r="E235" t="str">
            <v/>
          </cell>
          <cell r="F235">
            <v>43787</v>
          </cell>
        </row>
        <row r="236">
          <cell r="A236" t="str">
            <v>1931333</v>
          </cell>
          <cell r="B236" t="str">
            <v>D</v>
          </cell>
          <cell r="C236" t="str">
            <v/>
          </cell>
          <cell r="D236" t="str">
            <v/>
          </cell>
          <cell r="E236" t="str">
            <v/>
          </cell>
          <cell r="F236">
            <v>43787</v>
          </cell>
        </row>
        <row r="237">
          <cell r="A237" t="str">
            <v>1931326</v>
          </cell>
          <cell r="B237" t="str">
            <v>D</v>
          </cell>
          <cell r="C237" t="str">
            <v/>
          </cell>
          <cell r="D237" t="str">
            <v/>
          </cell>
          <cell r="E237" t="str">
            <v/>
          </cell>
          <cell r="F237">
            <v>43787</v>
          </cell>
        </row>
        <row r="238">
          <cell r="A238" t="str">
            <v>1931338</v>
          </cell>
          <cell r="B238" t="str">
            <v>D</v>
          </cell>
          <cell r="C238" t="str">
            <v/>
          </cell>
          <cell r="D238" t="str">
            <v/>
          </cell>
          <cell r="E238" t="str">
            <v/>
          </cell>
          <cell r="F238">
            <v>43787</v>
          </cell>
        </row>
        <row r="239">
          <cell r="A239" t="str">
            <v>1931328</v>
          </cell>
          <cell r="B239" t="str">
            <v>D</v>
          </cell>
          <cell r="C239" t="str">
            <v/>
          </cell>
          <cell r="D239" t="str">
            <v/>
          </cell>
          <cell r="E239" t="str">
            <v/>
          </cell>
          <cell r="F239">
            <v>43787</v>
          </cell>
        </row>
        <row r="240">
          <cell r="A240" t="str">
            <v>1931329</v>
          </cell>
          <cell r="B240" t="str">
            <v>D</v>
          </cell>
          <cell r="C240" t="str">
            <v/>
          </cell>
          <cell r="D240" t="str">
            <v/>
          </cell>
          <cell r="E240" t="str">
            <v/>
          </cell>
          <cell r="F240">
            <v>43787</v>
          </cell>
        </row>
        <row r="241">
          <cell r="A241" t="str">
            <v>1910402</v>
          </cell>
          <cell r="B241" t="str">
            <v>D</v>
          </cell>
          <cell r="C241" t="str">
            <v/>
          </cell>
          <cell r="D241" t="str">
            <v/>
          </cell>
          <cell r="E241" t="str">
            <v/>
          </cell>
          <cell r="F241">
            <v>43787</v>
          </cell>
        </row>
        <row r="242">
          <cell r="A242" t="str">
            <v>1910407</v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>
            <v>43787</v>
          </cell>
        </row>
        <row r="243">
          <cell r="A243" t="str">
            <v>1931309</v>
          </cell>
          <cell r="B243" t="str">
            <v>D</v>
          </cell>
          <cell r="C243" t="str">
            <v/>
          </cell>
          <cell r="D243" t="str">
            <v/>
          </cell>
          <cell r="E243" t="str">
            <v/>
          </cell>
          <cell r="F243">
            <v>43787</v>
          </cell>
        </row>
        <row r="244">
          <cell r="A244" t="str">
            <v>1931308</v>
          </cell>
          <cell r="B244" t="str">
            <v>D</v>
          </cell>
          <cell r="C244" t="str">
            <v/>
          </cell>
          <cell r="D244" t="str">
            <v/>
          </cell>
          <cell r="E244" t="str">
            <v/>
          </cell>
          <cell r="F244">
            <v>43787</v>
          </cell>
        </row>
        <row r="245">
          <cell r="A245" t="str">
            <v>1931327</v>
          </cell>
          <cell r="B245" t="str">
            <v>D</v>
          </cell>
          <cell r="C245" t="str">
            <v/>
          </cell>
          <cell r="D245" t="str">
            <v/>
          </cell>
          <cell r="E245" t="str">
            <v/>
          </cell>
          <cell r="F245">
            <v>43787</v>
          </cell>
        </row>
        <row r="246">
          <cell r="A246" t="str">
            <v>1931331</v>
          </cell>
          <cell r="B246" t="str">
            <v>D</v>
          </cell>
          <cell r="C246" t="str">
            <v/>
          </cell>
          <cell r="D246" t="str">
            <v/>
          </cell>
          <cell r="E246" t="str">
            <v/>
          </cell>
          <cell r="F246">
            <v>43787</v>
          </cell>
        </row>
        <row r="247">
          <cell r="A247" t="str">
            <v>1910387</v>
          </cell>
          <cell r="B247" t="str">
            <v>D</v>
          </cell>
          <cell r="C247" t="str">
            <v/>
          </cell>
          <cell r="D247" t="str">
            <v/>
          </cell>
          <cell r="E247" t="str">
            <v/>
          </cell>
          <cell r="F247">
            <v>43787</v>
          </cell>
        </row>
        <row r="248">
          <cell r="A248" t="str">
            <v>1910406</v>
          </cell>
          <cell r="B248" t="str">
            <v>D</v>
          </cell>
          <cell r="C248" t="str">
            <v/>
          </cell>
          <cell r="D248" t="str">
            <v/>
          </cell>
          <cell r="E248" t="str">
            <v/>
          </cell>
          <cell r="F248">
            <v>43787</v>
          </cell>
        </row>
        <row r="249">
          <cell r="A249" t="str">
            <v>1910395</v>
          </cell>
          <cell r="B249" t="str">
            <v>D</v>
          </cell>
          <cell r="C249" t="str">
            <v/>
          </cell>
          <cell r="D249" t="str">
            <v/>
          </cell>
          <cell r="E249" t="str">
            <v/>
          </cell>
          <cell r="F249">
            <v>43787</v>
          </cell>
        </row>
        <row r="250">
          <cell r="A250" t="str">
            <v>1910412</v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>
            <v>43787</v>
          </cell>
        </row>
        <row r="251">
          <cell r="A251" t="str">
            <v>1910408</v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>
            <v>43787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>
            <v>43787</v>
          </cell>
        </row>
        <row r="253">
          <cell r="A253" t="str">
            <v>1920897</v>
          </cell>
          <cell r="B253" t="str">
            <v>D</v>
          </cell>
          <cell r="C253" t="str">
            <v/>
          </cell>
          <cell r="D253" t="str">
            <v/>
          </cell>
          <cell r="E253" t="str">
            <v/>
          </cell>
          <cell r="F253">
            <v>43788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>
            <v>43788</v>
          </cell>
        </row>
        <row r="255">
          <cell r="A255" t="str">
            <v>1931342</v>
          </cell>
          <cell r="B255" t="str">
            <v>D</v>
          </cell>
          <cell r="C255" t="str">
            <v/>
          </cell>
          <cell r="D255" t="str">
            <v/>
          </cell>
          <cell r="E255" t="str">
            <v/>
          </cell>
          <cell r="F255">
            <v>43788</v>
          </cell>
        </row>
        <row r="256">
          <cell r="A256" t="str">
            <v>1931367</v>
          </cell>
          <cell r="B256" t="str">
            <v>D</v>
          </cell>
          <cell r="C256" t="str">
            <v/>
          </cell>
          <cell r="D256" t="str">
            <v/>
          </cell>
          <cell r="E256" t="str">
            <v/>
          </cell>
          <cell r="F256">
            <v>43788</v>
          </cell>
        </row>
        <row r="257">
          <cell r="A257" t="str">
            <v>1931369</v>
          </cell>
          <cell r="B257" t="str">
            <v>D</v>
          </cell>
          <cell r="C257" t="str">
            <v/>
          </cell>
          <cell r="D257" t="str">
            <v/>
          </cell>
          <cell r="E257" t="str">
            <v/>
          </cell>
          <cell r="F257">
            <v>43789</v>
          </cell>
        </row>
        <row r="258">
          <cell r="A258" t="str">
            <v>1931366</v>
          </cell>
          <cell r="B258" t="str">
            <v>D</v>
          </cell>
          <cell r="C258" t="str">
            <v/>
          </cell>
          <cell r="D258" t="str">
            <v/>
          </cell>
          <cell r="E258" t="str">
            <v/>
          </cell>
          <cell r="F258">
            <v>43789</v>
          </cell>
        </row>
        <row r="259">
          <cell r="A259" t="str">
            <v>1931368</v>
          </cell>
          <cell r="B259" t="str">
            <v>D</v>
          </cell>
          <cell r="C259" t="str">
            <v/>
          </cell>
          <cell r="D259" t="str">
            <v/>
          </cell>
          <cell r="E259" t="str">
            <v/>
          </cell>
          <cell r="F259">
            <v>43789</v>
          </cell>
        </row>
        <row r="260">
          <cell r="A260" t="str">
            <v>1910405W</v>
          </cell>
          <cell r="B260" t="str">
            <v>D</v>
          </cell>
          <cell r="C260" t="str">
            <v/>
          </cell>
          <cell r="D260" t="str">
            <v/>
          </cell>
          <cell r="E260" t="str">
            <v/>
          </cell>
          <cell r="F260">
            <v>43789</v>
          </cell>
        </row>
        <row r="261">
          <cell r="A261" t="str">
            <v>1931335</v>
          </cell>
          <cell r="B261" t="str">
            <v>D</v>
          </cell>
          <cell r="C261" t="str">
            <v/>
          </cell>
          <cell r="D261" t="str">
            <v/>
          </cell>
          <cell r="E261" t="str">
            <v/>
          </cell>
          <cell r="F261">
            <v>43790</v>
          </cell>
        </row>
        <row r="262">
          <cell r="A262" t="str">
            <v>1931324</v>
          </cell>
          <cell r="B262" t="str">
            <v>D</v>
          </cell>
          <cell r="C262" t="str">
            <v/>
          </cell>
          <cell r="D262" t="str">
            <v/>
          </cell>
          <cell r="E262" t="str">
            <v/>
          </cell>
          <cell r="F262">
            <v>43790</v>
          </cell>
        </row>
        <row r="263">
          <cell r="A263" t="str">
            <v>1931323</v>
          </cell>
          <cell r="B263" t="str">
            <v>D</v>
          </cell>
          <cell r="C263" t="str">
            <v/>
          </cell>
          <cell r="D263" t="str">
            <v/>
          </cell>
          <cell r="E263" t="str">
            <v/>
          </cell>
          <cell r="F263">
            <v>43790</v>
          </cell>
        </row>
        <row r="264">
          <cell r="A264" t="str">
            <v>1931322</v>
          </cell>
          <cell r="B264" t="str">
            <v>D</v>
          </cell>
          <cell r="C264" t="str">
            <v/>
          </cell>
          <cell r="D264" t="str">
            <v/>
          </cell>
          <cell r="E264" t="str">
            <v/>
          </cell>
          <cell r="F264">
            <v>43790</v>
          </cell>
        </row>
        <row r="265">
          <cell r="A265" t="str">
            <v>1931370</v>
          </cell>
          <cell r="B265" t="str">
            <v>D</v>
          </cell>
          <cell r="C265" t="str">
            <v/>
          </cell>
          <cell r="D265" t="str">
            <v/>
          </cell>
          <cell r="E265" t="str">
            <v/>
          </cell>
          <cell r="F265">
            <v>43790</v>
          </cell>
        </row>
        <row r="266">
          <cell r="A266" t="str">
            <v>1931336</v>
          </cell>
          <cell r="B266" t="str">
            <v xml:space="preserve">NO DHR </v>
          </cell>
          <cell r="C266" t="str">
            <v/>
          </cell>
          <cell r="D266" t="str">
            <v/>
          </cell>
          <cell r="E266" t="str">
            <v/>
          </cell>
          <cell r="F266">
            <v>43790</v>
          </cell>
        </row>
        <row r="267">
          <cell r="A267" t="str">
            <v>1931345</v>
          </cell>
          <cell r="B267" t="str">
            <v>D</v>
          </cell>
          <cell r="C267" t="str">
            <v/>
          </cell>
          <cell r="D267" t="str">
            <v/>
          </cell>
          <cell r="E267" t="str">
            <v/>
          </cell>
          <cell r="F267">
            <v>43794</v>
          </cell>
        </row>
        <row r="268">
          <cell r="A268" t="str">
            <v>1931346</v>
          </cell>
          <cell r="B268" t="str">
            <v xml:space="preserve">NO DHR </v>
          </cell>
          <cell r="C268" t="str">
            <v/>
          </cell>
          <cell r="D268" t="str">
            <v/>
          </cell>
          <cell r="E268" t="str">
            <v/>
          </cell>
          <cell r="F268">
            <v>43794</v>
          </cell>
        </row>
        <row r="269">
          <cell r="A269" t="str">
            <v>1931347</v>
          </cell>
          <cell r="B269" t="str">
            <v>D</v>
          </cell>
          <cell r="C269" t="str">
            <v/>
          </cell>
          <cell r="D269" t="str">
            <v/>
          </cell>
          <cell r="E269" t="str">
            <v/>
          </cell>
          <cell r="F269">
            <v>43794</v>
          </cell>
        </row>
        <row r="270">
          <cell r="A270" t="str">
            <v>1931348</v>
          </cell>
          <cell r="B270" t="str">
            <v>D</v>
          </cell>
          <cell r="C270" t="str">
            <v/>
          </cell>
          <cell r="D270" t="str">
            <v/>
          </cell>
          <cell r="E270" t="str">
            <v/>
          </cell>
          <cell r="F270">
            <v>43794</v>
          </cell>
        </row>
        <row r="271">
          <cell r="A271" t="str">
            <v>1931358</v>
          </cell>
          <cell r="B271" t="str">
            <v>D</v>
          </cell>
          <cell r="C271" t="str">
            <v/>
          </cell>
          <cell r="D271" t="str">
            <v/>
          </cell>
          <cell r="E271" t="str">
            <v/>
          </cell>
          <cell r="F271">
            <v>43794</v>
          </cell>
        </row>
        <row r="272">
          <cell r="A272" t="str">
            <v>1931354</v>
          </cell>
          <cell r="B272" t="str">
            <v>D</v>
          </cell>
          <cell r="C272" t="str">
            <v/>
          </cell>
          <cell r="D272" t="str">
            <v/>
          </cell>
          <cell r="E272" t="str">
            <v/>
          </cell>
          <cell r="F272">
            <v>43794</v>
          </cell>
        </row>
        <row r="273">
          <cell r="A273" t="str">
            <v>1931344</v>
          </cell>
          <cell r="B273" t="str">
            <v>D</v>
          </cell>
          <cell r="C273" t="str">
            <v/>
          </cell>
          <cell r="D273" t="str">
            <v/>
          </cell>
          <cell r="E273" t="str">
            <v/>
          </cell>
          <cell r="F273">
            <v>43794</v>
          </cell>
        </row>
        <row r="274">
          <cell r="A274" t="str">
            <v>1931321</v>
          </cell>
          <cell r="B274" t="str">
            <v>D</v>
          </cell>
          <cell r="C274" t="str">
            <v/>
          </cell>
          <cell r="D274" t="str">
            <v/>
          </cell>
          <cell r="E274" t="str">
            <v/>
          </cell>
          <cell r="F274">
            <v>43794</v>
          </cell>
        </row>
        <row r="275">
          <cell r="A275" t="str">
            <v>1931355</v>
          </cell>
          <cell r="B275" t="str">
            <v>D</v>
          </cell>
          <cell r="C275" t="str">
            <v/>
          </cell>
          <cell r="D275" t="str">
            <v/>
          </cell>
          <cell r="E275" t="str">
            <v/>
          </cell>
          <cell r="F275">
            <v>43794</v>
          </cell>
        </row>
        <row r="276">
          <cell r="A276" t="str">
            <v>1931356</v>
          </cell>
          <cell r="B276" t="str">
            <v>D</v>
          </cell>
          <cell r="C276" t="str">
            <v/>
          </cell>
          <cell r="D276" t="str">
            <v/>
          </cell>
          <cell r="E276" t="str">
            <v/>
          </cell>
          <cell r="F276">
            <v>43794</v>
          </cell>
        </row>
        <row r="277">
          <cell r="A277" t="str">
            <v>1920903W</v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>
            <v>43794</v>
          </cell>
        </row>
        <row r="278">
          <cell r="A278" t="str">
            <v>1970034</v>
          </cell>
          <cell r="B278" t="str">
            <v>D</v>
          </cell>
          <cell r="C278" t="str">
            <v/>
          </cell>
          <cell r="D278" t="str">
            <v/>
          </cell>
          <cell r="E278" t="str">
            <v/>
          </cell>
          <cell r="F278">
            <v>43794</v>
          </cell>
        </row>
        <row r="279">
          <cell r="A279" t="str">
            <v>1931353</v>
          </cell>
          <cell r="B279" t="str">
            <v>D</v>
          </cell>
          <cell r="C279" t="str">
            <v/>
          </cell>
          <cell r="D279" t="str">
            <v/>
          </cell>
          <cell r="E279" t="str">
            <v/>
          </cell>
          <cell r="F279">
            <v>43795</v>
          </cell>
        </row>
        <row r="280">
          <cell r="A280" t="str">
            <v>1931350</v>
          </cell>
          <cell r="B280" t="str">
            <v>D</v>
          </cell>
          <cell r="C280" t="str">
            <v/>
          </cell>
          <cell r="D280" t="str">
            <v/>
          </cell>
          <cell r="E280" t="str">
            <v/>
          </cell>
          <cell r="F280">
            <v>43795</v>
          </cell>
        </row>
        <row r="281">
          <cell r="A281" t="str">
            <v>1931359</v>
          </cell>
          <cell r="B281" t="str">
            <v>D</v>
          </cell>
          <cell r="C281" t="str">
            <v/>
          </cell>
          <cell r="D281" t="str">
            <v/>
          </cell>
          <cell r="E281" t="str">
            <v/>
          </cell>
          <cell r="F281">
            <v>43795</v>
          </cell>
        </row>
        <row r="282">
          <cell r="A282" t="str">
            <v>1931364</v>
          </cell>
          <cell r="B282" t="str">
            <v>D</v>
          </cell>
          <cell r="C282" t="str">
            <v/>
          </cell>
          <cell r="D282" t="str">
            <v/>
          </cell>
          <cell r="E282" t="str">
            <v/>
          </cell>
          <cell r="F282">
            <v>43795</v>
          </cell>
        </row>
        <row r="283">
          <cell r="A283" t="str">
            <v>1931351</v>
          </cell>
          <cell r="B283" t="str">
            <v>D</v>
          </cell>
          <cell r="C283" t="str">
            <v/>
          </cell>
          <cell r="D283" t="str">
            <v/>
          </cell>
          <cell r="E283" t="str">
            <v/>
          </cell>
          <cell r="F283">
            <v>43795</v>
          </cell>
        </row>
        <row r="284">
          <cell r="A284" t="str">
            <v>1931363</v>
          </cell>
          <cell r="B284" t="str">
            <v>D</v>
          </cell>
          <cell r="C284" t="str">
            <v/>
          </cell>
          <cell r="D284" t="str">
            <v/>
          </cell>
          <cell r="E284" t="str">
            <v/>
          </cell>
          <cell r="F284">
            <v>43795</v>
          </cell>
        </row>
        <row r="285">
          <cell r="A285" t="str">
            <v>1910409W</v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>
            <v>43795</v>
          </cell>
        </row>
        <row r="286">
          <cell r="A286" t="str">
            <v>1920846</v>
          </cell>
          <cell r="B286" t="str">
            <v>D</v>
          </cell>
          <cell r="C286" t="str">
            <v/>
          </cell>
          <cell r="D286" t="str">
            <v/>
          </cell>
          <cell r="E286" t="str">
            <v/>
          </cell>
          <cell r="F286">
            <v>43795</v>
          </cell>
        </row>
        <row r="287">
          <cell r="A287" t="str">
            <v>1920888</v>
          </cell>
          <cell r="B287" t="str">
            <v>D</v>
          </cell>
          <cell r="C287" t="str">
            <v/>
          </cell>
          <cell r="D287" t="str">
            <v/>
          </cell>
          <cell r="E287" t="str">
            <v/>
          </cell>
          <cell r="F287">
            <v>43795</v>
          </cell>
        </row>
        <row r="288">
          <cell r="A288" t="str">
            <v>1920877</v>
          </cell>
          <cell r="B288" t="str">
            <v>D</v>
          </cell>
          <cell r="C288" t="str">
            <v/>
          </cell>
          <cell r="D288" t="str">
            <v/>
          </cell>
          <cell r="E288" t="str">
            <v/>
          </cell>
          <cell r="F288">
            <v>43795</v>
          </cell>
        </row>
        <row r="289">
          <cell r="A289" t="str">
            <v>1931360</v>
          </cell>
          <cell r="B289" t="str">
            <v>D</v>
          </cell>
          <cell r="C289" t="str">
            <v/>
          </cell>
          <cell r="D289" t="str">
            <v/>
          </cell>
          <cell r="E289" t="str">
            <v/>
          </cell>
          <cell r="F289">
            <v>43795</v>
          </cell>
        </row>
        <row r="290">
          <cell r="A290" t="str">
            <v>1931361</v>
          </cell>
          <cell r="B290" t="str">
            <v>D</v>
          </cell>
          <cell r="C290" t="str">
            <v/>
          </cell>
          <cell r="D290" t="str">
            <v/>
          </cell>
          <cell r="E290" t="str">
            <v/>
          </cell>
          <cell r="F290">
            <v>43795</v>
          </cell>
        </row>
        <row r="291">
          <cell r="A291" t="str">
            <v>1931362</v>
          </cell>
          <cell r="B291" t="str">
            <v>D</v>
          </cell>
          <cell r="C291" t="str">
            <v/>
          </cell>
          <cell r="D291" t="str">
            <v/>
          </cell>
          <cell r="E291" t="str">
            <v/>
          </cell>
          <cell r="F291">
            <v>43795</v>
          </cell>
        </row>
        <row r="292">
          <cell r="A292" t="str">
            <v>1931352</v>
          </cell>
          <cell r="B292" t="str">
            <v>D</v>
          </cell>
          <cell r="C292" t="str">
            <v/>
          </cell>
          <cell r="D292" t="str">
            <v/>
          </cell>
          <cell r="E292" t="str">
            <v/>
          </cell>
          <cell r="F292">
            <v>43795</v>
          </cell>
        </row>
        <row r="293">
          <cell r="A293" t="str">
            <v>1910401</v>
          </cell>
          <cell r="B293" t="str">
            <v>D</v>
          </cell>
          <cell r="C293" t="str">
            <v/>
          </cell>
          <cell r="D293" t="str">
            <v/>
          </cell>
          <cell r="E293" t="str">
            <v/>
          </cell>
          <cell r="F293">
            <v>43795</v>
          </cell>
        </row>
        <row r="294">
          <cell r="A294" t="str">
            <v>1950091</v>
          </cell>
          <cell r="B294" t="str">
            <v>D</v>
          </cell>
          <cell r="C294" t="str">
            <v/>
          </cell>
          <cell r="D294" t="str">
            <v/>
          </cell>
          <cell r="E294" t="str">
            <v/>
          </cell>
          <cell r="F294">
            <v>43795</v>
          </cell>
        </row>
        <row r="295">
          <cell r="A295" t="str">
            <v>1920880</v>
          </cell>
          <cell r="B295" t="str">
            <v>D</v>
          </cell>
          <cell r="C295" t="str">
            <v/>
          </cell>
          <cell r="D295" t="str">
            <v/>
          </cell>
          <cell r="E295" t="str">
            <v/>
          </cell>
          <cell r="F295">
            <v>43795</v>
          </cell>
        </row>
        <row r="296">
          <cell r="A296" t="str">
            <v>1920899</v>
          </cell>
          <cell r="B296" t="str">
            <v>D</v>
          </cell>
          <cell r="C296" t="str">
            <v/>
          </cell>
          <cell r="D296" t="str">
            <v/>
          </cell>
          <cell r="E296" t="str">
            <v/>
          </cell>
          <cell r="F296">
            <v>43795</v>
          </cell>
        </row>
        <row r="297">
          <cell r="A297" t="str">
            <v>1931349</v>
          </cell>
          <cell r="B297" t="str">
            <v xml:space="preserve">NO DHR </v>
          </cell>
          <cell r="C297" t="str">
            <v/>
          </cell>
          <cell r="D297" t="str">
            <v/>
          </cell>
          <cell r="E297" t="str">
            <v/>
          </cell>
          <cell r="F297">
            <v>43796</v>
          </cell>
        </row>
        <row r="298">
          <cell r="A298" t="str">
            <v>1931371</v>
          </cell>
          <cell r="B298" t="str">
            <v>D</v>
          </cell>
          <cell r="C298" t="str">
            <v/>
          </cell>
          <cell r="D298" t="str">
            <v/>
          </cell>
          <cell r="E298" t="str">
            <v/>
          </cell>
          <cell r="F298">
            <v>43796</v>
          </cell>
        </row>
        <row r="299">
          <cell r="A299" t="str">
            <v>1931372</v>
          </cell>
          <cell r="B299" t="str">
            <v>D</v>
          </cell>
          <cell r="C299" t="str">
            <v/>
          </cell>
          <cell r="D299" t="str">
            <v/>
          </cell>
          <cell r="E299" t="str">
            <v/>
          </cell>
          <cell r="F299">
            <v>43796</v>
          </cell>
        </row>
        <row r="300">
          <cell r="A300" t="str">
            <v>1931373</v>
          </cell>
          <cell r="B300" t="str">
            <v>D</v>
          </cell>
          <cell r="C300" t="str">
            <v/>
          </cell>
          <cell r="D300" t="str">
            <v/>
          </cell>
          <cell r="E300" t="str">
            <v/>
          </cell>
          <cell r="F300">
            <v>43796</v>
          </cell>
        </row>
        <row r="301">
          <cell r="A301" t="str">
            <v>1931375</v>
          </cell>
          <cell r="B301" t="str">
            <v>D</v>
          </cell>
          <cell r="C301" t="str">
            <v/>
          </cell>
          <cell r="D301" t="str">
            <v/>
          </cell>
          <cell r="E301" t="str">
            <v/>
          </cell>
          <cell r="F301">
            <v>43796</v>
          </cell>
        </row>
        <row r="302">
          <cell r="A302" t="str">
            <v>1931376</v>
          </cell>
          <cell r="B302" t="str">
            <v>D</v>
          </cell>
          <cell r="C302" t="str">
            <v/>
          </cell>
          <cell r="D302" t="str">
            <v/>
          </cell>
          <cell r="E302" t="str">
            <v/>
          </cell>
          <cell r="F302">
            <v>43796</v>
          </cell>
        </row>
        <row r="303">
          <cell r="A303" t="str">
            <v>1931377</v>
          </cell>
          <cell r="B303" t="str">
            <v>D</v>
          </cell>
          <cell r="C303" t="str">
            <v/>
          </cell>
          <cell r="D303" t="str">
            <v/>
          </cell>
          <cell r="E303" t="str">
            <v/>
          </cell>
          <cell r="F303">
            <v>43796</v>
          </cell>
        </row>
        <row r="304">
          <cell r="A304" t="str">
            <v>1920890</v>
          </cell>
          <cell r="B304" t="str">
            <v>D</v>
          </cell>
          <cell r="C304" t="str">
            <v/>
          </cell>
          <cell r="D304" t="str">
            <v/>
          </cell>
          <cell r="E304" t="str">
            <v/>
          </cell>
          <cell r="F304">
            <v>43796</v>
          </cell>
        </row>
        <row r="305">
          <cell r="A305" t="str">
            <v>1920891</v>
          </cell>
          <cell r="B305" t="str">
            <v>D</v>
          </cell>
          <cell r="C305" t="str">
            <v/>
          </cell>
          <cell r="D305" t="str">
            <v/>
          </cell>
          <cell r="E305" t="str">
            <v/>
          </cell>
          <cell r="F305">
            <v>43796</v>
          </cell>
        </row>
        <row r="306">
          <cell r="A306" t="str">
            <v>1931357</v>
          </cell>
          <cell r="B306" t="str">
            <v>D</v>
          </cell>
          <cell r="C306" t="str">
            <v/>
          </cell>
          <cell r="D306" t="str">
            <v/>
          </cell>
          <cell r="E306" t="str">
            <v/>
          </cell>
          <cell r="F306">
            <v>43796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>
            <v>43801</v>
          </cell>
        </row>
        <row r="308">
          <cell r="A308" t="str">
            <v>1920907</v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>
            <v>43801</v>
          </cell>
        </row>
        <row r="309">
          <cell r="A309" t="str">
            <v>1931378</v>
          </cell>
          <cell r="B309" t="str">
            <v>D</v>
          </cell>
          <cell r="C309" t="str">
            <v/>
          </cell>
          <cell r="D309" t="str">
            <v/>
          </cell>
          <cell r="E309" t="str">
            <v/>
          </cell>
          <cell r="F309">
            <v>43801</v>
          </cell>
        </row>
        <row r="310">
          <cell r="A310" t="str">
            <v>1931379</v>
          </cell>
          <cell r="B310" t="str">
            <v>D</v>
          </cell>
          <cell r="C310" t="str">
            <v/>
          </cell>
          <cell r="D310" t="str">
            <v/>
          </cell>
          <cell r="E310" t="str">
            <v/>
          </cell>
          <cell r="F310">
            <v>43801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>
            <v>43801</v>
          </cell>
        </row>
        <row r="312">
          <cell r="A312" t="str">
            <v>1931380</v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>
            <v>43801</v>
          </cell>
        </row>
        <row r="313">
          <cell r="A313" t="str">
            <v>1931398</v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>
            <v>43801</v>
          </cell>
        </row>
        <row r="314">
          <cell r="A314" t="str">
            <v>1950090</v>
          </cell>
          <cell r="B314" t="str">
            <v>D</v>
          </cell>
          <cell r="C314" t="str">
            <v/>
          </cell>
          <cell r="D314" t="str">
            <v/>
          </cell>
          <cell r="E314" t="str">
            <v/>
          </cell>
          <cell r="F314">
            <v>43801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>
            <v>43802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>
            <v>43802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>
            <v>43802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>
            <v>43802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>
            <v>43802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>
            <v>43802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>
            <v>43802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>
            <v>43802</v>
          </cell>
        </row>
        <row r="323">
          <cell r="A323" t="str">
            <v>1920902</v>
          </cell>
          <cell r="B323" t="str">
            <v>D</v>
          </cell>
          <cell r="C323" t="str">
            <v/>
          </cell>
          <cell r="D323" t="str">
            <v/>
          </cell>
          <cell r="E323" t="str">
            <v/>
          </cell>
          <cell r="F323">
            <v>43802</v>
          </cell>
        </row>
        <row r="324">
          <cell r="A324" t="str">
            <v>1931399</v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>
            <v>43802</v>
          </cell>
        </row>
        <row r="325">
          <cell r="A325" t="str">
            <v>1931386</v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>
            <v>43802</v>
          </cell>
        </row>
        <row r="326">
          <cell r="A326" t="str">
            <v>1931401</v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>
            <v>43802</v>
          </cell>
        </row>
        <row r="327">
          <cell r="A327" t="str">
            <v>1931402</v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>
            <v>43802</v>
          </cell>
        </row>
        <row r="328">
          <cell r="A328" t="str">
            <v>1931394</v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>
            <v>43802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>
            <v>43802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>
            <v>43802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>
            <v>43803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>
            <v>43803</v>
          </cell>
        </row>
        <row r="333">
          <cell r="A333" t="str">
            <v>1920923</v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>
            <v>43803</v>
          </cell>
        </row>
        <row r="334">
          <cell r="A334" t="str">
            <v>1931396</v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>
            <v>43803</v>
          </cell>
        </row>
        <row r="335">
          <cell r="A335" t="str">
            <v>1931384</v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>
            <v>43803</v>
          </cell>
        </row>
        <row r="336">
          <cell r="A336" t="str">
            <v>1931388</v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>
            <v>43803</v>
          </cell>
        </row>
        <row r="337">
          <cell r="A337" t="str">
            <v>1931408</v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>
            <v>43803</v>
          </cell>
        </row>
        <row r="338">
          <cell r="A338" t="str">
            <v>1931404</v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>
            <v>43803</v>
          </cell>
        </row>
        <row r="339">
          <cell r="A339" t="str">
            <v>1910411</v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>
            <v>43803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>
            <v>43803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>
            <v>43804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>
            <v>43804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>
            <v>43804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>
            <v>43804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>
            <v>43809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>
            <v>43809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>
            <v>43809</v>
          </cell>
        </row>
        <row r="348">
          <cell r="A348" t="str">
            <v>1920928</v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>
            <v>43811</v>
          </cell>
        </row>
        <row r="349">
          <cell r="A349" t="str">
            <v>1920925</v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>
            <v>43811</v>
          </cell>
        </row>
        <row r="350">
          <cell r="A350" t="str">
            <v>1940086</v>
          </cell>
          <cell r="B350" t="str">
            <v>D</v>
          </cell>
          <cell r="C350" t="str">
            <v/>
          </cell>
          <cell r="D350" t="str">
            <v/>
          </cell>
          <cell r="E350" t="str">
            <v/>
          </cell>
          <cell r="F350">
            <v>43811</v>
          </cell>
        </row>
        <row r="351">
          <cell r="F351" t="str">
            <v>Date</v>
          </cell>
        </row>
        <row r="352">
          <cell r="A352" t="str">
            <v>LOT</v>
          </cell>
          <cell r="F352" t="str">
            <v>Request</v>
          </cell>
        </row>
        <row r="382">
          <cell r="A382" t="str">
            <v>1920876</v>
          </cell>
        </row>
        <row r="383">
          <cell r="A383" t="str">
            <v>1920868</v>
          </cell>
        </row>
        <row r="384">
          <cell r="A384" t="str">
            <v>1920869</v>
          </cell>
        </row>
        <row r="389">
          <cell r="A389" t="str">
            <v>1920911</v>
          </cell>
        </row>
        <row r="390">
          <cell r="A390" t="str">
            <v>1920930</v>
          </cell>
        </row>
        <row r="391">
          <cell r="A391" t="str">
            <v>1920910</v>
          </cell>
        </row>
        <row r="394">
          <cell r="A394" t="str">
            <v>1920903</v>
          </cell>
        </row>
        <row r="482">
          <cell r="A482" t="str">
            <v>1910388</v>
          </cell>
          <cell r="B482" t="str">
            <v>DLB</v>
          </cell>
        </row>
        <row r="483">
          <cell r="A483" t="str">
            <v>1910393</v>
          </cell>
        </row>
        <row r="484">
          <cell r="A484" t="str">
            <v>1910394</v>
          </cell>
          <cell r="B484" t="str">
            <v>DLB</v>
          </cell>
        </row>
        <row r="489">
          <cell r="A489" t="str">
            <v>1910392</v>
          </cell>
        </row>
        <row r="490">
          <cell r="A490" t="str">
            <v>1910391</v>
          </cell>
        </row>
        <row r="491">
          <cell r="A491" t="str">
            <v>1910389</v>
          </cell>
        </row>
        <row r="492">
          <cell r="A492" t="str">
            <v>1910404</v>
          </cell>
        </row>
        <row r="493">
          <cell r="A493" t="str">
            <v>1910403</v>
          </cell>
        </row>
        <row r="494">
          <cell r="A494" t="str">
            <v>1910417</v>
          </cell>
        </row>
        <row r="495">
          <cell r="A495" t="str">
            <v>1910418</v>
          </cell>
        </row>
        <row r="496">
          <cell r="A496" t="str">
            <v>1910390</v>
          </cell>
        </row>
        <row r="497">
          <cell r="A497" t="str">
            <v>1910400</v>
          </cell>
        </row>
        <row r="498">
          <cell r="A498" t="str">
            <v>1910413</v>
          </cell>
        </row>
        <row r="499">
          <cell r="A499" t="str">
            <v>1910416</v>
          </cell>
        </row>
        <row r="500">
          <cell r="A500" t="str">
            <v>1910415</v>
          </cell>
        </row>
        <row r="501">
          <cell r="A501" t="str">
            <v>1910414</v>
          </cell>
        </row>
        <row r="504">
          <cell r="A504" t="str">
            <v>1910405</v>
          </cell>
        </row>
      </sheetData>
      <sheetData sheetId="1">
        <row r="1">
          <cell r="C1" t="str">
            <v>Parts</v>
          </cell>
          <cell r="D1" t="str">
            <v>Ready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</row>
        <row r="3">
          <cell r="E3" t="str">
            <v>Date</v>
          </cell>
        </row>
        <row r="4">
          <cell r="A4" t="str">
            <v>1950077</v>
          </cell>
          <cell r="B4" t="str">
            <v>Y</v>
          </cell>
          <cell r="C4" t="str">
            <v>Y</v>
          </cell>
          <cell r="D4" t="str">
            <v>Y</v>
          </cell>
          <cell r="E4">
            <v>43759</v>
          </cell>
          <cell r="F4">
            <v>43760</v>
          </cell>
          <cell r="G4" t="str">
            <v xml:space="preserve"> 1st Shift</v>
          </cell>
          <cell r="H4">
            <v>43762</v>
          </cell>
        </row>
        <row r="5">
          <cell r="A5" t="str">
            <v>1910383</v>
          </cell>
          <cell r="B5" t="str">
            <v>Y</v>
          </cell>
          <cell r="C5" t="str">
            <v>Y</v>
          </cell>
          <cell r="D5" t="str">
            <v>Y</v>
          </cell>
          <cell r="E5">
            <v>43759</v>
          </cell>
          <cell r="F5">
            <v>43760</v>
          </cell>
          <cell r="G5" t="str">
            <v xml:space="preserve"> 1st Shift</v>
          </cell>
          <cell r="H5">
            <v>43762</v>
          </cell>
        </row>
        <row r="6">
          <cell r="A6" t="str">
            <v>1931225</v>
          </cell>
          <cell r="B6" t="str">
            <v>Y</v>
          </cell>
          <cell r="C6" t="str">
            <v>Y</v>
          </cell>
          <cell r="D6" t="str">
            <v>Y</v>
          </cell>
          <cell r="E6">
            <v>43759</v>
          </cell>
          <cell r="F6">
            <v>43760</v>
          </cell>
          <cell r="G6" t="str">
            <v xml:space="preserve"> 1st Shift</v>
          </cell>
          <cell r="H6">
            <v>43762</v>
          </cell>
        </row>
        <row r="7">
          <cell r="A7" t="str">
            <v>1931224</v>
          </cell>
          <cell r="B7" t="str">
            <v>Y</v>
          </cell>
          <cell r="C7" t="str">
            <v>Y</v>
          </cell>
          <cell r="D7" t="str">
            <v>Y</v>
          </cell>
          <cell r="E7">
            <v>43759</v>
          </cell>
          <cell r="F7">
            <v>43760</v>
          </cell>
          <cell r="G7" t="str">
            <v xml:space="preserve"> 1st Shift</v>
          </cell>
          <cell r="H7">
            <v>43762</v>
          </cell>
        </row>
        <row r="8">
          <cell r="A8" t="str">
            <v>1931171</v>
          </cell>
          <cell r="B8" t="str">
            <v>Y</v>
          </cell>
          <cell r="C8" t="str">
            <v>Y</v>
          </cell>
          <cell r="D8" t="str">
            <v>Y</v>
          </cell>
          <cell r="E8">
            <v>43759</v>
          </cell>
          <cell r="F8">
            <v>43760</v>
          </cell>
          <cell r="G8" t="str">
            <v xml:space="preserve"> 1st Shift</v>
          </cell>
          <cell r="H8">
            <v>43762</v>
          </cell>
        </row>
        <row r="9">
          <cell r="A9" t="str">
            <v>1931198</v>
          </cell>
          <cell r="B9" t="str">
            <v>Y</v>
          </cell>
          <cell r="C9" t="str">
            <v>Y</v>
          </cell>
          <cell r="D9" t="str">
            <v>Y</v>
          </cell>
          <cell r="E9">
            <v>43759</v>
          </cell>
          <cell r="F9">
            <v>43760</v>
          </cell>
          <cell r="G9" t="str">
            <v xml:space="preserve"> 2nd Shift</v>
          </cell>
          <cell r="H9">
            <v>43762</v>
          </cell>
        </row>
        <row r="10">
          <cell r="A10" t="str">
            <v>1931211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43759</v>
          </cell>
          <cell r="F10">
            <v>43760</v>
          </cell>
          <cell r="G10" t="str">
            <v xml:space="preserve"> 2nd Shift</v>
          </cell>
          <cell r="H10">
            <v>43762</v>
          </cell>
        </row>
        <row r="11">
          <cell r="A11" t="str">
            <v>1931202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43759</v>
          </cell>
          <cell r="F11">
            <v>43760</v>
          </cell>
          <cell r="G11" t="str">
            <v xml:space="preserve"> 2nd Shift</v>
          </cell>
          <cell r="H11">
            <v>43762</v>
          </cell>
        </row>
        <row r="12">
          <cell r="A12" t="str">
            <v>1931218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43759</v>
          </cell>
          <cell r="F12">
            <v>43760</v>
          </cell>
          <cell r="G12" t="str">
            <v xml:space="preserve"> 2nd Shift</v>
          </cell>
          <cell r="H12">
            <v>43762</v>
          </cell>
        </row>
        <row r="13">
          <cell r="A13" t="str">
            <v>1931144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43759</v>
          </cell>
          <cell r="F13">
            <v>43760</v>
          </cell>
          <cell r="G13" t="str">
            <v xml:space="preserve"> 2nd Shift</v>
          </cell>
          <cell r="H13">
            <v>43762</v>
          </cell>
        </row>
        <row r="14">
          <cell r="A14" t="str">
            <v>1910384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43759</v>
          </cell>
          <cell r="F14">
            <v>43760</v>
          </cell>
          <cell r="G14" t="str">
            <v xml:space="preserve"> 2nd Shift</v>
          </cell>
          <cell r="H14">
            <v>43762</v>
          </cell>
        </row>
        <row r="15">
          <cell r="A15" t="str">
            <v>1950083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43759</v>
          </cell>
          <cell r="F15">
            <v>43760</v>
          </cell>
          <cell r="G15" t="str">
            <v xml:space="preserve"> 2nd Shift</v>
          </cell>
          <cell r="H15">
            <v>43762</v>
          </cell>
        </row>
        <row r="16">
          <cell r="A16" t="str">
            <v>1970033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43759</v>
          </cell>
          <cell r="F16">
            <v>43760</v>
          </cell>
          <cell r="G16" t="str">
            <v xml:space="preserve"> 2nd Shift</v>
          </cell>
          <cell r="H16">
            <v>43762</v>
          </cell>
        </row>
        <row r="17">
          <cell r="A17" t="str">
            <v>1910394W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43759</v>
          </cell>
          <cell r="F17">
            <v>43760</v>
          </cell>
          <cell r="G17" t="str">
            <v xml:space="preserve"> 2nd Shift</v>
          </cell>
          <cell r="H17">
            <v>43762</v>
          </cell>
        </row>
        <row r="18">
          <cell r="A18" t="str">
            <v>1931236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43759</v>
          </cell>
          <cell r="F18">
            <v>43760</v>
          </cell>
          <cell r="G18" t="str">
            <v xml:space="preserve"> 2nd Shift</v>
          </cell>
          <cell r="H18">
            <v>43762</v>
          </cell>
        </row>
        <row r="19">
          <cell r="A19" t="str">
            <v>1931243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43759</v>
          </cell>
          <cell r="F19">
            <v>43760</v>
          </cell>
          <cell r="G19" t="str">
            <v xml:space="preserve"> 2nd Shift</v>
          </cell>
          <cell r="H19">
            <v>43762</v>
          </cell>
        </row>
        <row r="20">
          <cell r="A20" t="str">
            <v>1920857</v>
          </cell>
          <cell r="B20" t="str">
            <v>Y</v>
          </cell>
          <cell r="C20" t="str">
            <v>Y</v>
          </cell>
          <cell r="D20" t="str">
            <v>Y</v>
          </cell>
          <cell r="E20">
            <v>43760</v>
          </cell>
          <cell r="F20">
            <v>43761</v>
          </cell>
          <cell r="G20" t="str">
            <v xml:space="preserve"> 1st Shift</v>
          </cell>
          <cell r="H20">
            <v>43762</v>
          </cell>
        </row>
        <row r="21">
          <cell r="A21" t="str">
            <v>1931230</v>
          </cell>
          <cell r="B21" t="str">
            <v/>
          </cell>
          <cell r="C21" t="str">
            <v/>
          </cell>
          <cell r="D21" t="str">
            <v/>
          </cell>
          <cell r="E21">
            <v>43760</v>
          </cell>
          <cell r="F21">
            <v>43761</v>
          </cell>
          <cell r="G21" t="str">
            <v xml:space="preserve"> 1st Shift</v>
          </cell>
          <cell r="H21">
            <v>43766</v>
          </cell>
        </row>
        <row r="22">
          <cell r="A22" t="str">
            <v>1920887</v>
          </cell>
          <cell r="B22" t="str">
            <v>Y</v>
          </cell>
          <cell r="C22" t="str">
            <v>Y</v>
          </cell>
          <cell r="D22" t="str">
            <v>Y</v>
          </cell>
          <cell r="E22">
            <v>43760</v>
          </cell>
          <cell r="F22">
            <v>43761</v>
          </cell>
          <cell r="G22" t="str">
            <v xml:space="preserve"> 2nd Shift</v>
          </cell>
          <cell r="H22">
            <v>43762</v>
          </cell>
        </row>
        <row r="23">
          <cell r="A23" t="str">
            <v>1920796</v>
          </cell>
          <cell r="B23" t="str">
            <v>Y</v>
          </cell>
          <cell r="C23" t="str">
            <v>Y</v>
          </cell>
          <cell r="D23" t="str">
            <v>Y</v>
          </cell>
          <cell r="E23">
            <v>43760</v>
          </cell>
          <cell r="F23">
            <v>43761</v>
          </cell>
          <cell r="G23" t="str">
            <v xml:space="preserve"> 2nd Shift</v>
          </cell>
          <cell r="H23">
            <v>43762</v>
          </cell>
        </row>
        <row r="24">
          <cell r="A24" t="str">
            <v>1920760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43760</v>
          </cell>
          <cell r="F24">
            <v>43761</v>
          </cell>
          <cell r="G24" t="str">
            <v xml:space="preserve"> 2nd Shift</v>
          </cell>
          <cell r="H24">
            <v>43762</v>
          </cell>
        </row>
        <row r="25">
          <cell r="A25" t="str">
            <v>1940070</v>
          </cell>
          <cell r="B25" t="str">
            <v>Y</v>
          </cell>
          <cell r="C25" t="str">
            <v>Y</v>
          </cell>
          <cell r="D25" t="str">
            <v>Y</v>
          </cell>
          <cell r="E25">
            <v>43760</v>
          </cell>
          <cell r="F25">
            <v>43761</v>
          </cell>
          <cell r="G25" t="str">
            <v xml:space="preserve"> 2nd Shift</v>
          </cell>
          <cell r="H25">
            <v>43762</v>
          </cell>
        </row>
        <row r="26">
          <cell r="A26" t="str">
            <v>1931172</v>
          </cell>
          <cell r="B26" t="str">
            <v>Y</v>
          </cell>
          <cell r="C26" t="str">
            <v>Y</v>
          </cell>
          <cell r="D26" t="str">
            <v>Y</v>
          </cell>
          <cell r="E26">
            <v>43760</v>
          </cell>
          <cell r="F26">
            <v>43761</v>
          </cell>
          <cell r="G26" t="str">
            <v xml:space="preserve"> 2nd Shift</v>
          </cell>
          <cell r="H26">
            <v>43766</v>
          </cell>
        </row>
        <row r="27">
          <cell r="A27" t="str">
            <v>1920859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43760</v>
          </cell>
          <cell r="F27">
            <v>43761</v>
          </cell>
          <cell r="G27" t="str">
            <v xml:space="preserve"> 2nd Shift</v>
          </cell>
          <cell r="H27">
            <v>43762</v>
          </cell>
        </row>
        <row r="28">
          <cell r="A28" t="str">
            <v>1931181</v>
          </cell>
          <cell r="B28" t="str">
            <v>Y</v>
          </cell>
          <cell r="C28" t="str">
            <v>Y</v>
          </cell>
          <cell r="D28" t="str">
            <v>Y</v>
          </cell>
          <cell r="E28">
            <v>43760</v>
          </cell>
          <cell r="F28">
            <v>43761</v>
          </cell>
          <cell r="G28" t="str">
            <v xml:space="preserve"> 2nd Shift</v>
          </cell>
          <cell r="H28">
            <v>43766</v>
          </cell>
        </row>
        <row r="29">
          <cell r="A29" t="str">
            <v>1940072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43760</v>
          </cell>
          <cell r="F29">
            <v>43761</v>
          </cell>
          <cell r="G29" t="str">
            <v xml:space="preserve"> 2nd Shift</v>
          </cell>
          <cell r="H29">
            <v>43762</v>
          </cell>
        </row>
        <row r="30">
          <cell r="A30" t="str">
            <v>1920876W</v>
          </cell>
          <cell r="B30" t="str">
            <v/>
          </cell>
          <cell r="C30" t="str">
            <v/>
          </cell>
          <cell r="D30" t="str">
            <v/>
          </cell>
          <cell r="E30">
            <v>43760</v>
          </cell>
          <cell r="F30">
            <v>43761</v>
          </cell>
          <cell r="G30" t="str">
            <v xml:space="preserve"> 2nd Shift</v>
          </cell>
          <cell r="H30">
            <v>43766</v>
          </cell>
        </row>
        <row r="31">
          <cell r="A31" t="str">
            <v>1970035</v>
          </cell>
          <cell r="B31" t="str">
            <v/>
          </cell>
          <cell r="C31" t="str">
            <v/>
          </cell>
          <cell r="D31" t="str">
            <v/>
          </cell>
          <cell r="E31">
            <v>43760</v>
          </cell>
          <cell r="F31">
            <v>43761</v>
          </cell>
          <cell r="G31" t="str">
            <v xml:space="preserve"> 2nd Shift</v>
          </cell>
          <cell r="H31">
            <v>43766</v>
          </cell>
        </row>
        <row r="32">
          <cell r="A32" t="str">
            <v>1920868W</v>
          </cell>
          <cell r="B32" t="str">
            <v/>
          </cell>
          <cell r="C32" t="str">
            <v/>
          </cell>
          <cell r="D32" t="str">
            <v/>
          </cell>
          <cell r="E32">
            <v>43760</v>
          </cell>
          <cell r="F32">
            <v>43761</v>
          </cell>
          <cell r="G32" t="str">
            <v xml:space="preserve"> 2nd Shift</v>
          </cell>
          <cell r="H32">
            <v>43766</v>
          </cell>
        </row>
        <row r="33">
          <cell r="A33" t="str">
            <v>1920869W</v>
          </cell>
          <cell r="B33" t="str">
            <v/>
          </cell>
          <cell r="C33" t="str">
            <v/>
          </cell>
          <cell r="D33" t="str">
            <v/>
          </cell>
          <cell r="E33">
            <v>43760</v>
          </cell>
          <cell r="F33">
            <v>43761</v>
          </cell>
          <cell r="G33" t="str">
            <v xml:space="preserve"> 2nd Shift</v>
          </cell>
          <cell r="H33">
            <v>43766</v>
          </cell>
        </row>
        <row r="34">
          <cell r="A34" t="str">
            <v>1910364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43761</v>
          </cell>
          <cell r="F34">
            <v>43762</v>
          </cell>
          <cell r="G34" t="str">
            <v xml:space="preserve"> 1st Shift</v>
          </cell>
          <cell r="H34">
            <v>43767</v>
          </cell>
        </row>
        <row r="35">
          <cell r="A35" t="str">
            <v>1931242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43761</v>
          </cell>
          <cell r="F35">
            <v>43762</v>
          </cell>
          <cell r="G35" t="str">
            <v xml:space="preserve"> 1st Shift</v>
          </cell>
          <cell r="H35">
            <v>43767</v>
          </cell>
        </row>
        <row r="36">
          <cell r="A36" t="str">
            <v>1920810</v>
          </cell>
          <cell r="B36" t="str">
            <v/>
          </cell>
          <cell r="C36" t="str">
            <v/>
          </cell>
          <cell r="D36" t="str">
            <v/>
          </cell>
          <cell r="E36">
            <v>43761</v>
          </cell>
          <cell r="F36">
            <v>43762</v>
          </cell>
          <cell r="G36" t="str">
            <v xml:space="preserve"> 1st Shift</v>
          </cell>
          <cell r="H36">
            <v>43766</v>
          </cell>
        </row>
        <row r="37">
          <cell r="A37" t="str">
            <v>1931255</v>
          </cell>
          <cell r="B37" t="str">
            <v/>
          </cell>
          <cell r="C37" t="str">
            <v/>
          </cell>
          <cell r="D37" t="str">
            <v/>
          </cell>
          <cell r="E37">
            <v>43761</v>
          </cell>
          <cell r="F37">
            <v>43762</v>
          </cell>
          <cell r="G37" t="str">
            <v xml:space="preserve"> 1st Shift</v>
          </cell>
          <cell r="H37">
            <v>43767</v>
          </cell>
        </row>
        <row r="38">
          <cell r="A38" t="str">
            <v>1931301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43761</v>
          </cell>
          <cell r="F38">
            <v>43762</v>
          </cell>
          <cell r="G38" t="str">
            <v xml:space="preserve"> 1st Shift</v>
          </cell>
          <cell r="H38">
            <v>43767</v>
          </cell>
        </row>
        <row r="39">
          <cell r="A39" t="str">
            <v>1931280S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43761</v>
          </cell>
          <cell r="F39">
            <v>43762</v>
          </cell>
          <cell r="G39" t="str">
            <v xml:space="preserve"> 1st Shift</v>
          </cell>
          <cell r="H39">
            <v>43767</v>
          </cell>
        </row>
        <row r="40">
          <cell r="A40" t="str">
            <v>1931281S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43761</v>
          </cell>
          <cell r="F40">
            <v>43762</v>
          </cell>
          <cell r="G40" t="str">
            <v xml:space="preserve"> 1st Shift</v>
          </cell>
          <cell r="H40">
            <v>43767</v>
          </cell>
        </row>
        <row r="41">
          <cell r="A41" t="str">
            <v>1931213</v>
          </cell>
          <cell r="B41" t="str">
            <v/>
          </cell>
          <cell r="C41" t="str">
            <v/>
          </cell>
          <cell r="D41" t="str">
            <v/>
          </cell>
          <cell r="E41">
            <v>43761</v>
          </cell>
          <cell r="F41">
            <v>43762</v>
          </cell>
          <cell r="G41" t="str">
            <v xml:space="preserve"> 1st Shift</v>
          </cell>
          <cell r="H41">
            <v>43767</v>
          </cell>
        </row>
        <row r="42">
          <cell r="A42" t="str">
            <v>1920833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43761</v>
          </cell>
          <cell r="F42">
            <v>43762</v>
          </cell>
          <cell r="G42" t="str">
            <v xml:space="preserve"> 2nd Shift</v>
          </cell>
          <cell r="H42">
            <v>43766</v>
          </cell>
        </row>
        <row r="43">
          <cell r="A43" t="str">
            <v>1920852</v>
          </cell>
          <cell r="B43" t="str">
            <v>Y</v>
          </cell>
          <cell r="C43" t="str">
            <v>Y</v>
          </cell>
          <cell r="D43" t="str">
            <v>Y</v>
          </cell>
          <cell r="E43">
            <v>43761</v>
          </cell>
          <cell r="F43">
            <v>43762</v>
          </cell>
          <cell r="G43" t="str">
            <v xml:space="preserve"> 2nd Shift</v>
          </cell>
          <cell r="H43">
            <v>43766</v>
          </cell>
        </row>
        <row r="44">
          <cell r="A44" t="str">
            <v>1940073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43761</v>
          </cell>
          <cell r="F44">
            <v>43762</v>
          </cell>
          <cell r="G44" t="str">
            <v xml:space="preserve"> 2nd Shift</v>
          </cell>
          <cell r="H44">
            <v>43766</v>
          </cell>
        </row>
        <row r="45">
          <cell r="A45" t="str">
            <v>1931270</v>
          </cell>
          <cell r="B45" t="str">
            <v>Y</v>
          </cell>
          <cell r="C45" t="str">
            <v>Y</v>
          </cell>
          <cell r="D45" t="str">
            <v>Y</v>
          </cell>
          <cell r="E45">
            <v>43761</v>
          </cell>
          <cell r="F45">
            <v>43762</v>
          </cell>
          <cell r="G45" t="str">
            <v xml:space="preserve"> 2nd Shift</v>
          </cell>
          <cell r="H45">
            <v>43767</v>
          </cell>
        </row>
        <row r="46">
          <cell r="A46" t="str">
            <v>1931296</v>
          </cell>
          <cell r="B46" t="str">
            <v/>
          </cell>
          <cell r="C46" t="str">
            <v/>
          </cell>
          <cell r="D46" t="str">
            <v/>
          </cell>
          <cell r="E46">
            <v>43762</v>
          </cell>
          <cell r="F46">
            <v>43766</v>
          </cell>
          <cell r="G46" t="str">
            <v xml:space="preserve"> 1st Shift</v>
          </cell>
          <cell r="H46">
            <v>43768</v>
          </cell>
        </row>
        <row r="47">
          <cell r="A47" t="str">
            <v>1931307</v>
          </cell>
          <cell r="B47" t="str">
            <v/>
          </cell>
          <cell r="C47" t="str">
            <v/>
          </cell>
          <cell r="D47" t="str">
            <v/>
          </cell>
          <cell r="E47">
            <v>43762</v>
          </cell>
          <cell r="F47">
            <v>43766</v>
          </cell>
          <cell r="G47" t="str">
            <v xml:space="preserve"> 1st Shift</v>
          </cell>
          <cell r="H47">
            <v>43768</v>
          </cell>
        </row>
        <row r="48">
          <cell r="A48" t="str">
            <v>1931193</v>
          </cell>
          <cell r="B48" t="str">
            <v/>
          </cell>
          <cell r="C48" t="str">
            <v/>
          </cell>
          <cell r="D48" t="str">
            <v/>
          </cell>
          <cell r="E48">
            <v>43762</v>
          </cell>
          <cell r="F48">
            <v>43766</v>
          </cell>
          <cell r="G48" t="str">
            <v xml:space="preserve"> 1st Shift</v>
          </cell>
          <cell r="H48">
            <v>43768</v>
          </cell>
        </row>
        <row r="49">
          <cell r="A49" t="str">
            <v>1920862</v>
          </cell>
          <cell r="B49" t="str">
            <v/>
          </cell>
          <cell r="C49" t="str">
            <v/>
          </cell>
          <cell r="D49" t="str">
            <v/>
          </cell>
          <cell r="E49">
            <v>43762</v>
          </cell>
          <cell r="F49">
            <v>43766</v>
          </cell>
          <cell r="G49" t="str">
            <v xml:space="preserve"> 2nd Shift</v>
          </cell>
          <cell r="H49">
            <v>43767</v>
          </cell>
        </row>
        <row r="50">
          <cell r="A50" t="str">
            <v>1931277</v>
          </cell>
          <cell r="B50" t="str">
            <v/>
          </cell>
          <cell r="C50" t="str">
            <v/>
          </cell>
          <cell r="D50" t="str">
            <v/>
          </cell>
          <cell r="E50">
            <v>43762</v>
          </cell>
          <cell r="F50">
            <v>43766</v>
          </cell>
          <cell r="G50" t="str">
            <v xml:space="preserve"> 2nd Shift</v>
          </cell>
          <cell r="H50">
            <v>43768</v>
          </cell>
        </row>
        <row r="51">
          <cell r="A51" t="str">
            <v>1920827</v>
          </cell>
          <cell r="B51" t="str">
            <v/>
          </cell>
          <cell r="C51" t="str">
            <v/>
          </cell>
          <cell r="D51" t="str">
            <v/>
          </cell>
          <cell r="E51">
            <v>43762</v>
          </cell>
          <cell r="F51">
            <v>43766</v>
          </cell>
          <cell r="G51" t="str">
            <v xml:space="preserve"> 2nd Shift</v>
          </cell>
          <cell r="H51">
            <v>43767</v>
          </cell>
        </row>
        <row r="52">
          <cell r="A52" t="str">
            <v>1920829</v>
          </cell>
          <cell r="B52" t="str">
            <v/>
          </cell>
          <cell r="C52" t="str">
            <v/>
          </cell>
          <cell r="D52" t="str">
            <v/>
          </cell>
          <cell r="E52">
            <v>43762</v>
          </cell>
          <cell r="F52">
            <v>43766</v>
          </cell>
          <cell r="G52" t="str">
            <v xml:space="preserve"> 2nd Shift</v>
          </cell>
          <cell r="H52">
            <v>43767</v>
          </cell>
        </row>
        <row r="53">
          <cell r="A53" t="str">
            <v>1920855</v>
          </cell>
          <cell r="B53" t="str">
            <v/>
          </cell>
          <cell r="C53" t="str">
            <v/>
          </cell>
          <cell r="D53" t="str">
            <v/>
          </cell>
          <cell r="E53">
            <v>43762</v>
          </cell>
          <cell r="F53">
            <v>43766</v>
          </cell>
          <cell r="G53" t="str">
            <v xml:space="preserve"> 2nd Shift</v>
          </cell>
          <cell r="H53">
            <v>43767</v>
          </cell>
        </row>
        <row r="54">
          <cell r="A54" t="str">
            <v>1920816</v>
          </cell>
          <cell r="B54" t="str">
            <v/>
          </cell>
          <cell r="C54" t="str">
            <v/>
          </cell>
          <cell r="D54" t="str">
            <v/>
          </cell>
          <cell r="E54">
            <v>43762</v>
          </cell>
          <cell r="F54">
            <v>43766</v>
          </cell>
          <cell r="G54" t="str">
            <v xml:space="preserve"> 2nd Shift</v>
          </cell>
          <cell r="H54">
            <v>43767</v>
          </cell>
        </row>
        <row r="55">
          <cell r="A55" t="str">
            <v>1940074</v>
          </cell>
          <cell r="B55" t="str">
            <v/>
          </cell>
          <cell r="C55" t="str">
            <v/>
          </cell>
          <cell r="D55" t="str">
            <v/>
          </cell>
          <cell r="E55">
            <v>43762</v>
          </cell>
          <cell r="F55">
            <v>43766</v>
          </cell>
          <cell r="G55" t="str">
            <v xml:space="preserve"> 2nd Shift</v>
          </cell>
          <cell r="H55">
            <v>43767</v>
          </cell>
        </row>
        <row r="56">
          <cell r="A56" t="str">
            <v>1970036</v>
          </cell>
          <cell r="B56" t="str">
            <v/>
          </cell>
          <cell r="C56" t="str">
            <v/>
          </cell>
          <cell r="D56" t="str">
            <v/>
          </cell>
          <cell r="E56">
            <v>43762</v>
          </cell>
          <cell r="F56">
            <v>43766</v>
          </cell>
          <cell r="G56" t="str">
            <v xml:space="preserve"> 2nd Shift</v>
          </cell>
          <cell r="H56">
            <v>43768</v>
          </cell>
        </row>
        <row r="57">
          <cell r="A57" t="str">
            <v>1931205</v>
          </cell>
          <cell r="B57" t="str">
            <v/>
          </cell>
          <cell r="C57" t="str">
            <v/>
          </cell>
          <cell r="D57" t="str">
            <v/>
          </cell>
          <cell r="E57">
            <v>43762</v>
          </cell>
          <cell r="F57">
            <v>43766</v>
          </cell>
          <cell r="G57" t="str">
            <v xml:space="preserve"> 2nd Shift</v>
          </cell>
          <cell r="H57">
            <v>43768</v>
          </cell>
        </row>
        <row r="58">
          <cell r="A58" t="str">
            <v>1931241</v>
          </cell>
          <cell r="B58" t="str">
            <v/>
          </cell>
          <cell r="C58" t="str">
            <v/>
          </cell>
          <cell r="D58" t="str">
            <v/>
          </cell>
          <cell r="E58">
            <v>43762</v>
          </cell>
          <cell r="F58">
            <v>43766</v>
          </cell>
          <cell r="G58" t="str">
            <v xml:space="preserve"> 2nd Shift</v>
          </cell>
          <cell r="H58">
            <v>43768</v>
          </cell>
        </row>
        <row r="59">
          <cell r="A59" t="str">
            <v>1950089</v>
          </cell>
          <cell r="B59" t="str">
            <v/>
          </cell>
          <cell r="C59" t="str">
            <v/>
          </cell>
          <cell r="D59" t="str">
            <v/>
          </cell>
          <cell r="E59">
            <v>43766</v>
          </cell>
          <cell r="F59">
            <v>43767</v>
          </cell>
          <cell r="G59" t="str">
            <v xml:space="preserve"> 1st Shift</v>
          </cell>
          <cell r="H59">
            <v>43769</v>
          </cell>
        </row>
        <row r="60">
          <cell r="A60" t="str">
            <v>1920864</v>
          </cell>
          <cell r="B60" t="str">
            <v/>
          </cell>
          <cell r="C60" t="str">
            <v/>
          </cell>
          <cell r="D60" t="str">
            <v/>
          </cell>
          <cell r="E60">
            <v>43766</v>
          </cell>
          <cell r="F60">
            <v>43767</v>
          </cell>
          <cell r="G60" t="str">
            <v xml:space="preserve"> 1st Shift</v>
          </cell>
          <cell r="H60">
            <v>43768</v>
          </cell>
        </row>
        <row r="61">
          <cell r="A61" t="str">
            <v>1931247</v>
          </cell>
          <cell r="B61" t="str">
            <v/>
          </cell>
          <cell r="C61" t="str">
            <v/>
          </cell>
          <cell r="D61" t="str">
            <v/>
          </cell>
          <cell r="E61">
            <v>43766</v>
          </cell>
          <cell r="F61">
            <v>43767</v>
          </cell>
          <cell r="G61" t="str">
            <v xml:space="preserve"> 1st Shift</v>
          </cell>
          <cell r="H61">
            <v>43769</v>
          </cell>
        </row>
        <row r="62">
          <cell r="A62" t="str">
            <v>1931240</v>
          </cell>
          <cell r="B62" t="str">
            <v/>
          </cell>
          <cell r="C62" t="str">
            <v/>
          </cell>
          <cell r="D62" t="str">
            <v/>
          </cell>
          <cell r="E62">
            <v>43766</v>
          </cell>
          <cell r="F62">
            <v>43767</v>
          </cell>
          <cell r="G62" t="str">
            <v xml:space="preserve"> 1st Shift</v>
          </cell>
          <cell r="H62">
            <v>43769</v>
          </cell>
        </row>
        <row r="63">
          <cell r="A63" t="str">
            <v>1931265</v>
          </cell>
          <cell r="B63" t="str">
            <v/>
          </cell>
          <cell r="C63" t="str">
            <v/>
          </cell>
          <cell r="D63" t="str">
            <v/>
          </cell>
          <cell r="E63">
            <v>43766</v>
          </cell>
          <cell r="F63">
            <v>43767</v>
          </cell>
          <cell r="G63" t="str">
            <v xml:space="preserve"> 1st Shift</v>
          </cell>
          <cell r="H63">
            <v>43769</v>
          </cell>
        </row>
        <row r="64">
          <cell r="A64" t="str">
            <v>1931275</v>
          </cell>
          <cell r="B64" t="str">
            <v/>
          </cell>
          <cell r="C64" t="str">
            <v/>
          </cell>
          <cell r="D64" t="str">
            <v/>
          </cell>
          <cell r="E64">
            <v>43766</v>
          </cell>
          <cell r="F64">
            <v>43767</v>
          </cell>
          <cell r="G64" t="str">
            <v xml:space="preserve"> 1st Shift</v>
          </cell>
          <cell r="H64">
            <v>43769</v>
          </cell>
        </row>
        <row r="65">
          <cell r="A65" t="str">
            <v>1931279</v>
          </cell>
          <cell r="B65" t="str">
            <v/>
          </cell>
          <cell r="C65" t="str">
            <v/>
          </cell>
          <cell r="D65" t="str">
            <v/>
          </cell>
          <cell r="E65">
            <v>43766</v>
          </cell>
          <cell r="F65">
            <v>43767</v>
          </cell>
          <cell r="G65" t="str">
            <v xml:space="preserve"> 1st Shift</v>
          </cell>
          <cell r="H65">
            <v>43769</v>
          </cell>
        </row>
        <row r="66">
          <cell r="A66" t="str">
            <v>1920819</v>
          </cell>
          <cell r="B66" t="str">
            <v/>
          </cell>
          <cell r="C66" t="str">
            <v/>
          </cell>
          <cell r="D66" t="str">
            <v/>
          </cell>
          <cell r="E66">
            <v>43762</v>
          </cell>
          <cell r="F66">
            <v>43767</v>
          </cell>
          <cell r="G66" t="str">
            <v xml:space="preserve"> 1st Shift</v>
          </cell>
          <cell r="H66">
            <v>43767</v>
          </cell>
        </row>
        <row r="67">
          <cell r="A67" t="str">
            <v>1931289</v>
          </cell>
          <cell r="B67" t="str">
            <v/>
          </cell>
          <cell r="C67" t="str">
            <v/>
          </cell>
          <cell r="D67" t="str">
            <v/>
          </cell>
          <cell r="E67">
            <v>43766</v>
          </cell>
          <cell r="F67">
            <v>43767</v>
          </cell>
          <cell r="G67" t="str">
            <v xml:space="preserve"> 1st Shift</v>
          </cell>
          <cell r="H67">
            <v>43769</v>
          </cell>
        </row>
        <row r="68">
          <cell r="A68" t="str">
            <v>1931291</v>
          </cell>
          <cell r="B68" t="str">
            <v/>
          </cell>
          <cell r="C68" t="str">
            <v/>
          </cell>
          <cell r="D68" t="str">
            <v/>
          </cell>
          <cell r="E68">
            <v>43766</v>
          </cell>
          <cell r="F68">
            <v>43767</v>
          </cell>
          <cell r="G68" t="str">
            <v xml:space="preserve"> 1st Shift</v>
          </cell>
          <cell r="H68">
            <v>43769</v>
          </cell>
        </row>
        <row r="69">
          <cell r="A69" t="str">
            <v>1931145</v>
          </cell>
          <cell r="B69" t="str">
            <v>Y</v>
          </cell>
          <cell r="C69" t="str">
            <v>Y</v>
          </cell>
          <cell r="D69" t="str">
            <v>Y</v>
          </cell>
          <cell r="E69">
            <v>43766</v>
          </cell>
          <cell r="F69">
            <v>43767</v>
          </cell>
          <cell r="G69" t="str">
            <v xml:space="preserve"> 1st Shift</v>
          </cell>
          <cell r="H69">
            <v>43769</v>
          </cell>
        </row>
        <row r="70">
          <cell r="A70" t="str">
            <v>1920863</v>
          </cell>
          <cell r="B70" t="str">
            <v/>
          </cell>
          <cell r="C70" t="str">
            <v/>
          </cell>
          <cell r="D70" t="str">
            <v/>
          </cell>
          <cell r="E70">
            <v>43766</v>
          </cell>
          <cell r="F70">
            <v>43767</v>
          </cell>
          <cell r="G70" t="str">
            <v xml:space="preserve"> 2nd Shift</v>
          </cell>
          <cell r="H70">
            <v>43768</v>
          </cell>
        </row>
        <row r="71">
          <cell r="A71" t="str">
            <v>1931248</v>
          </cell>
          <cell r="B71" t="str">
            <v/>
          </cell>
          <cell r="C71" t="str">
            <v/>
          </cell>
          <cell r="D71" t="str">
            <v/>
          </cell>
          <cell r="E71">
            <v>43766</v>
          </cell>
          <cell r="F71">
            <v>43767</v>
          </cell>
          <cell r="G71" t="str">
            <v xml:space="preserve"> 2nd Shift</v>
          </cell>
          <cell r="H71">
            <v>43769</v>
          </cell>
        </row>
        <row r="72">
          <cell r="A72" t="str">
            <v>1931235</v>
          </cell>
          <cell r="B72" t="str">
            <v/>
          </cell>
          <cell r="C72" t="str">
            <v/>
          </cell>
          <cell r="D72" t="str">
            <v/>
          </cell>
          <cell r="E72">
            <v>43766</v>
          </cell>
          <cell r="F72">
            <v>43767</v>
          </cell>
          <cell r="G72" t="str">
            <v xml:space="preserve"> 2nd Shift</v>
          </cell>
          <cell r="H72">
            <v>43769</v>
          </cell>
        </row>
        <row r="73">
          <cell r="A73" t="str">
            <v>1920865</v>
          </cell>
          <cell r="B73" t="str">
            <v/>
          </cell>
          <cell r="C73" t="str">
            <v/>
          </cell>
          <cell r="D73" t="str">
            <v/>
          </cell>
          <cell r="E73">
            <v>43766</v>
          </cell>
          <cell r="F73">
            <v>43767</v>
          </cell>
          <cell r="G73" t="str">
            <v xml:space="preserve"> 2nd Shift</v>
          </cell>
          <cell r="H73">
            <v>43768</v>
          </cell>
        </row>
        <row r="74">
          <cell r="A74" t="str">
            <v>1931282</v>
          </cell>
          <cell r="B74" t="str">
            <v/>
          </cell>
          <cell r="C74" t="str">
            <v/>
          </cell>
          <cell r="D74" t="str">
            <v/>
          </cell>
          <cell r="E74">
            <v>43766</v>
          </cell>
          <cell r="F74">
            <v>43767</v>
          </cell>
          <cell r="G74" t="str">
            <v xml:space="preserve"> 2nd Shift</v>
          </cell>
          <cell r="H74">
            <v>43769</v>
          </cell>
        </row>
        <row r="75">
          <cell r="A75" t="str">
            <v>1931283</v>
          </cell>
          <cell r="B75" t="str">
            <v/>
          </cell>
          <cell r="C75" t="str">
            <v/>
          </cell>
          <cell r="D75" t="str">
            <v/>
          </cell>
          <cell r="E75">
            <v>43766</v>
          </cell>
          <cell r="F75">
            <v>43767</v>
          </cell>
          <cell r="G75" t="str">
            <v xml:space="preserve"> 2nd Shift</v>
          </cell>
          <cell r="H75">
            <v>43769</v>
          </cell>
        </row>
        <row r="76">
          <cell r="A76" t="str">
            <v>1931299</v>
          </cell>
          <cell r="B76" t="str">
            <v/>
          </cell>
          <cell r="C76" t="str">
            <v/>
          </cell>
          <cell r="D76" t="str">
            <v/>
          </cell>
          <cell r="E76">
            <v>43767</v>
          </cell>
          <cell r="F76">
            <v>43768</v>
          </cell>
          <cell r="G76" t="str">
            <v xml:space="preserve"> 1st Shift</v>
          </cell>
          <cell r="H76">
            <v>43773</v>
          </cell>
        </row>
        <row r="77">
          <cell r="A77" t="str">
            <v>1920850</v>
          </cell>
          <cell r="B77" t="str">
            <v/>
          </cell>
          <cell r="C77" t="str">
            <v/>
          </cell>
          <cell r="D77" t="str">
            <v/>
          </cell>
          <cell r="E77">
            <v>43767</v>
          </cell>
          <cell r="F77">
            <v>43768</v>
          </cell>
          <cell r="G77" t="str">
            <v xml:space="preserve"> 1st Shift</v>
          </cell>
          <cell r="H77">
            <v>43769</v>
          </cell>
        </row>
        <row r="78">
          <cell r="A78" t="str">
            <v>1931294</v>
          </cell>
          <cell r="B78" t="str">
            <v/>
          </cell>
          <cell r="C78" t="str">
            <v/>
          </cell>
          <cell r="D78" t="str">
            <v/>
          </cell>
          <cell r="E78">
            <v>43767</v>
          </cell>
          <cell r="F78">
            <v>43768</v>
          </cell>
          <cell r="G78" t="str">
            <v xml:space="preserve"> 1st Shift</v>
          </cell>
          <cell r="H78">
            <v>43773</v>
          </cell>
        </row>
        <row r="79">
          <cell r="A79" t="str">
            <v>1931238</v>
          </cell>
          <cell r="B79" t="str">
            <v/>
          </cell>
          <cell r="C79" t="str">
            <v/>
          </cell>
          <cell r="D79" t="str">
            <v/>
          </cell>
          <cell r="E79">
            <v>43767</v>
          </cell>
          <cell r="F79">
            <v>43768</v>
          </cell>
          <cell r="G79" t="str">
            <v xml:space="preserve"> 1st Shift</v>
          </cell>
          <cell r="H79">
            <v>43773</v>
          </cell>
        </row>
        <row r="80">
          <cell r="A80" t="str">
            <v>1931232</v>
          </cell>
          <cell r="B80" t="str">
            <v/>
          </cell>
          <cell r="C80" t="str">
            <v/>
          </cell>
          <cell r="D80" t="str">
            <v/>
          </cell>
          <cell r="E80">
            <v>43767</v>
          </cell>
          <cell r="F80">
            <v>43768</v>
          </cell>
          <cell r="G80" t="str">
            <v xml:space="preserve"> 1st Shift</v>
          </cell>
          <cell r="H80">
            <v>43773</v>
          </cell>
        </row>
        <row r="81">
          <cell r="A81" t="str">
            <v>1920814</v>
          </cell>
          <cell r="B81" t="str">
            <v/>
          </cell>
          <cell r="C81" t="str">
            <v/>
          </cell>
          <cell r="D81" t="str">
            <v/>
          </cell>
          <cell r="E81">
            <v>43767</v>
          </cell>
          <cell r="F81">
            <v>43768</v>
          </cell>
          <cell r="G81" t="str">
            <v xml:space="preserve"> 2nd Shift</v>
          </cell>
          <cell r="H81">
            <v>43769</v>
          </cell>
        </row>
        <row r="82">
          <cell r="A82" t="str">
            <v>1920853</v>
          </cell>
          <cell r="B82" t="str">
            <v/>
          </cell>
          <cell r="C82" t="str">
            <v/>
          </cell>
          <cell r="D82" t="str">
            <v/>
          </cell>
          <cell r="E82">
            <v>43767</v>
          </cell>
          <cell r="F82">
            <v>43768</v>
          </cell>
          <cell r="G82" t="str">
            <v xml:space="preserve"> 2nd Shift</v>
          </cell>
          <cell r="H82">
            <v>43769</v>
          </cell>
        </row>
        <row r="83">
          <cell r="A83" t="str">
            <v>1931239</v>
          </cell>
          <cell r="B83" t="str">
            <v/>
          </cell>
          <cell r="C83" t="str">
            <v/>
          </cell>
          <cell r="D83" t="str">
            <v/>
          </cell>
          <cell r="E83">
            <v>43767</v>
          </cell>
          <cell r="F83">
            <v>43768</v>
          </cell>
          <cell r="G83" t="str">
            <v xml:space="preserve"> 2nd Shift</v>
          </cell>
          <cell r="H83">
            <v>43773</v>
          </cell>
        </row>
        <row r="84">
          <cell r="A84" t="str">
            <v>1931288</v>
          </cell>
          <cell r="B84" t="str">
            <v/>
          </cell>
          <cell r="C84" t="str">
            <v/>
          </cell>
          <cell r="D84" t="str">
            <v/>
          </cell>
          <cell r="E84">
            <v>43767</v>
          </cell>
          <cell r="F84">
            <v>43768</v>
          </cell>
          <cell r="G84" t="str">
            <v xml:space="preserve"> 2nd Shift</v>
          </cell>
          <cell r="H84">
            <v>43773</v>
          </cell>
        </row>
        <row r="85">
          <cell r="A85" t="str">
            <v>1931269</v>
          </cell>
          <cell r="B85" t="str">
            <v/>
          </cell>
          <cell r="C85" t="str">
            <v/>
          </cell>
          <cell r="D85" t="str">
            <v/>
          </cell>
          <cell r="E85">
            <v>43767</v>
          </cell>
          <cell r="F85">
            <v>43768</v>
          </cell>
          <cell r="G85" t="str">
            <v xml:space="preserve"> 2nd Shift</v>
          </cell>
          <cell r="H85">
            <v>43773</v>
          </cell>
        </row>
        <row r="86">
          <cell r="A86" t="str">
            <v>1970031</v>
          </cell>
          <cell r="B86" t="str">
            <v/>
          </cell>
          <cell r="C86" t="str">
            <v/>
          </cell>
          <cell r="D86" t="str">
            <v/>
          </cell>
          <cell r="E86">
            <v>43767</v>
          </cell>
          <cell r="F86">
            <v>43768</v>
          </cell>
          <cell r="G86" t="str">
            <v xml:space="preserve"> 2nd Shift</v>
          </cell>
          <cell r="H86">
            <v>43773</v>
          </cell>
        </row>
        <row r="87">
          <cell r="A87" t="str">
            <v>1931316</v>
          </cell>
          <cell r="B87" t="str">
            <v/>
          </cell>
          <cell r="C87" t="str">
            <v/>
          </cell>
          <cell r="D87" t="str">
            <v/>
          </cell>
          <cell r="E87">
            <v>43768</v>
          </cell>
          <cell r="F87">
            <v>43769</v>
          </cell>
          <cell r="G87" t="str">
            <v xml:space="preserve"> 1st Shift</v>
          </cell>
          <cell r="H87">
            <v>43774</v>
          </cell>
        </row>
        <row r="88">
          <cell r="A88" t="str">
            <v>1931250</v>
          </cell>
          <cell r="B88" t="str">
            <v/>
          </cell>
          <cell r="C88" t="str">
            <v/>
          </cell>
          <cell r="D88" t="str">
            <v/>
          </cell>
          <cell r="E88">
            <v>43768</v>
          </cell>
          <cell r="F88">
            <v>43769</v>
          </cell>
          <cell r="G88" t="str">
            <v xml:space="preserve"> 1st Shift</v>
          </cell>
          <cell r="H88">
            <v>43774</v>
          </cell>
        </row>
        <row r="89">
          <cell r="A89" t="str">
            <v>1931249</v>
          </cell>
          <cell r="B89" t="str">
            <v/>
          </cell>
          <cell r="C89" t="str">
            <v/>
          </cell>
          <cell r="D89" t="str">
            <v/>
          </cell>
          <cell r="E89">
            <v>43768</v>
          </cell>
          <cell r="F89">
            <v>43769</v>
          </cell>
          <cell r="G89" t="str">
            <v xml:space="preserve"> 1st Shift</v>
          </cell>
          <cell r="H89">
            <v>43774</v>
          </cell>
        </row>
        <row r="90">
          <cell r="A90" t="str">
            <v>1931278</v>
          </cell>
          <cell r="B90" t="str">
            <v/>
          </cell>
          <cell r="C90" t="str">
            <v/>
          </cell>
          <cell r="D90" t="str">
            <v/>
          </cell>
          <cell r="E90">
            <v>43768</v>
          </cell>
          <cell r="F90">
            <v>43769</v>
          </cell>
          <cell r="G90" t="str">
            <v xml:space="preserve"> 1st Shift</v>
          </cell>
          <cell r="H90">
            <v>43774</v>
          </cell>
        </row>
        <row r="91">
          <cell r="A91" t="str">
            <v>1931305</v>
          </cell>
          <cell r="B91" t="str">
            <v/>
          </cell>
          <cell r="C91" t="str">
            <v/>
          </cell>
          <cell r="D91" t="str">
            <v/>
          </cell>
          <cell r="E91">
            <v>43768</v>
          </cell>
          <cell r="F91">
            <v>43769</v>
          </cell>
          <cell r="G91" t="str">
            <v xml:space="preserve"> 1st Shift</v>
          </cell>
          <cell r="H91">
            <v>43774</v>
          </cell>
        </row>
        <row r="92">
          <cell r="A92" t="str">
            <v>1931320</v>
          </cell>
          <cell r="B92" t="str">
            <v/>
          </cell>
          <cell r="C92" t="str">
            <v/>
          </cell>
          <cell r="D92" t="str">
            <v/>
          </cell>
          <cell r="E92">
            <v>43768</v>
          </cell>
          <cell r="F92">
            <v>43769</v>
          </cell>
          <cell r="G92" t="str">
            <v xml:space="preserve"> 1st Shift</v>
          </cell>
          <cell r="H92">
            <v>43774</v>
          </cell>
        </row>
        <row r="93">
          <cell r="A93" t="str">
            <v>1920856</v>
          </cell>
          <cell r="B93" t="str">
            <v/>
          </cell>
          <cell r="C93" t="str">
            <v/>
          </cell>
          <cell r="D93" t="str">
            <v/>
          </cell>
          <cell r="E93">
            <v>43768</v>
          </cell>
          <cell r="F93">
            <v>43769</v>
          </cell>
          <cell r="G93" t="str">
            <v xml:space="preserve"> 2nd Shift</v>
          </cell>
          <cell r="H93">
            <v>43773</v>
          </cell>
        </row>
        <row r="94">
          <cell r="A94" t="str">
            <v>1940027</v>
          </cell>
          <cell r="B94" t="str">
            <v/>
          </cell>
          <cell r="C94" t="str">
            <v/>
          </cell>
          <cell r="D94" t="str">
            <v/>
          </cell>
          <cell r="E94">
            <v>43768</v>
          </cell>
          <cell r="F94">
            <v>43769</v>
          </cell>
          <cell r="G94" t="str">
            <v xml:space="preserve"> 2nd Shift</v>
          </cell>
          <cell r="H94">
            <v>43773</v>
          </cell>
        </row>
        <row r="95">
          <cell r="A95" t="str">
            <v>1920854</v>
          </cell>
          <cell r="B95" t="str">
            <v/>
          </cell>
          <cell r="C95" t="str">
            <v/>
          </cell>
          <cell r="D95" t="str">
            <v/>
          </cell>
          <cell r="E95">
            <v>43768</v>
          </cell>
          <cell r="F95">
            <v>43769</v>
          </cell>
          <cell r="G95" t="str">
            <v xml:space="preserve"> 2nd Shift</v>
          </cell>
          <cell r="H95">
            <v>43773</v>
          </cell>
        </row>
        <row r="96">
          <cell r="A96" t="str">
            <v>1931303</v>
          </cell>
          <cell r="B96" t="str">
            <v/>
          </cell>
          <cell r="C96" t="str">
            <v/>
          </cell>
          <cell r="D96" t="str">
            <v/>
          </cell>
          <cell r="E96">
            <v>43768</v>
          </cell>
          <cell r="F96">
            <v>43769</v>
          </cell>
          <cell r="G96" t="str">
            <v xml:space="preserve"> 2nd Shift</v>
          </cell>
          <cell r="H96">
            <v>43774</v>
          </cell>
        </row>
        <row r="97">
          <cell r="A97" t="str">
            <v>1920870</v>
          </cell>
          <cell r="B97" t="str">
            <v/>
          </cell>
          <cell r="C97" t="str">
            <v/>
          </cell>
          <cell r="D97" t="str">
            <v/>
          </cell>
          <cell r="E97">
            <v>43768</v>
          </cell>
          <cell r="F97">
            <v>43769</v>
          </cell>
          <cell r="G97" t="str">
            <v xml:space="preserve"> 2nd Shift</v>
          </cell>
          <cell r="H97">
            <v>43773</v>
          </cell>
        </row>
        <row r="98">
          <cell r="A98" t="str">
            <v>1931313</v>
          </cell>
          <cell r="B98" t="str">
            <v/>
          </cell>
          <cell r="C98" t="str">
            <v/>
          </cell>
          <cell r="D98" t="str">
            <v/>
          </cell>
          <cell r="E98">
            <v>43768</v>
          </cell>
          <cell r="F98">
            <v>43769</v>
          </cell>
          <cell r="G98" t="str">
            <v xml:space="preserve"> 2nd Shift</v>
          </cell>
          <cell r="H98">
            <v>43774</v>
          </cell>
        </row>
        <row r="99">
          <cell r="A99" t="str">
            <v>1931325</v>
          </cell>
          <cell r="B99" t="str">
            <v/>
          </cell>
          <cell r="C99" t="str">
            <v/>
          </cell>
          <cell r="D99" t="str">
            <v/>
          </cell>
          <cell r="E99">
            <v>43768</v>
          </cell>
          <cell r="F99">
            <v>43769</v>
          </cell>
          <cell r="G99" t="str">
            <v xml:space="preserve"> 2nd Shift</v>
          </cell>
          <cell r="H99">
            <v>43774</v>
          </cell>
        </row>
        <row r="100">
          <cell r="A100" t="str">
            <v>1931337</v>
          </cell>
          <cell r="B100" t="str">
            <v/>
          </cell>
          <cell r="C100" t="str">
            <v/>
          </cell>
          <cell r="D100" t="str">
            <v/>
          </cell>
          <cell r="E100">
            <v>43768</v>
          </cell>
          <cell r="F100">
            <v>43769</v>
          </cell>
          <cell r="G100" t="str">
            <v xml:space="preserve"> 2nd Shift</v>
          </cell>
          <cell r="H100">
            <v>43774</v>
          </cell>
        </row>
        <row r="101">
          <cell r="A101" t="str">
            <v>1920879</v>
          </cell>
          <cell r="B101" t="str">
            <v/>
          </cell>
          <cell r="C101" t="str">
            <v/>
          </cell>
          <cell r="D101" t="str">
            <v/>
          </cell>
          <cell r="E101">
            <v>43768</v>
          </cell>
          <cell r="F101">
            <v>43769</v>
          </cell>
          <cell r="G101" t="str">
            <v xml:space="preserve"> 2nd Shift</v>
          </cell>
          <cell r="H101">
            <v>43773</v>
          </cell>
        </row>
        <row r="102">
          <cell r="A102" t="str">
            <v>1931304</v>
          </cell>
          <cell r="B102" t="str">
            <v/>
          </cell>
          <cell r="C102" t="str">
            <v/>
          </cell>
          <cell r="D102" t="str">
            <v/>
          </cell>
          <cell r="E102">
            <v>43769</v>
          </cell>
          <cell r="F102">
            <v>43773</v>
          </cell>
          <cell r="G102" t="str">
            <v xml:space="preserve"> 1st Shift</v>
          </cell>
          <cell r="H102">
            <v>43775</v>
          </cell>
        </row>
        <row r="103">
          <cell r="A103" t="str">
            <v>1920874</v>
          </cell>
          <cell r="B103" t="str">
            <v/>
          </cell>
          <cell r="C103" t="str">
            <v/>
          </cell>
          <cell r="D103" t="str">
            <v/>
          </cell>
          <cell r="E103">
            <v>43769</v>
          </cell>
          <cell r="F103">
            <v>43773</v>
          </cell>
          <cell r="G103" t="str">
            <v xml:space="preserve"> 1st Shift</v>
          </cell>
          <cell r="H103">
            <v>43774</v>
          </cell>
        </row>
        <row r="104">
          <cell r="A104" t="str">
            <v>1931285</v>
          </cell>
          <cell r="B104" t="str">
            <v/>
          </cell>
          <cell r="C104" t="str">
            <v/>
          </cell>
          <cell r="D104" t="str">
            <v/>
          </cell>
          <cell r="E104">
            <v>43769</v>
          </cell>
          <cell r="F104">
            <v>43773</v>
          </cell>
          <cell r="G104" t="str">
            <v xml:space="preserve"> 1st Shift</v>
          </cell>
          <cell r="H104">
            <v>43775</v>
          </cell>
        </row>
        <row r="105">
          <cell r="A105" t="str">
            <v>1931185</v>
          </cell>
          <cell r="B105" t="str">
            <v/>
          </cell>
          <cell r="C105" t="str">
            <v/>
          </cell>
          <cell r="D105" t="str">
            <v/>
          </cell>
          <cell r="E105">
            <v>43769</v>
          </cell>
          <cell r="F105">
            <v>43773</v>
          </cell>
          <cell r="G105" t="str">
            <v xml:space="preserve"> 1st Shift</v>
          </cell>
          <cell r="H105">
            <v>43775</v>
          </cell>
        </row>
        <row r="106">
          <cell r="A106" t="str">
            <v>1920835</v>
          </cell>
          <cell r="B106" t="str">
            <v/>
          </cell>
          <cell r="C106" t="str">
            <v/>
          </cell>
          <cell r="D106" t="str">
            <v/>
          </cell>
          <cell r="E106">
            <v>43768</v>
          </cell>
          <cell r="F106">
            <v>43773</v>
          </cell>
          <cell r="G106" t="str">
            <v xml:space="preserve"> 1st Shift</v>
          </cell>
          <cell r="H106">
            <v>43773</v>
          </cell>
        </row>
        <row r="107">
          <cell r="A107" t="str">
            <v>1920883</v>
          </cell>
          <cell r="B107" t="str">
            <v/>
          </cell>
          <cell r="C107" t="str">
            <v/>
          </cell>
          <cell r="D107" t="str">
            <v/>
          </cell>
          <cell r="E107">
            <v>43769</v>
          </cell>
          <cell r="F107">
            <v>43773</v>
          </cell>
          <cell r="G107" t="str">
            <v xml:space="preserve"> 2nd Shift</v>
          </cell>
          <cell r="H107">
            <v>43774</v>
          </cell>
        </row>
        <row r="108">
          <cell r="A108" t="str">
            <v>1920875</v>
          </cell>
          <cell r="B108" t="str">
            <v/>
          </cell>
          <cell r="C108" t="str">
            <v/>
          </cell>
          <cell r="D108" t="str">
            <v/>
          </cell>
          <cell r="E108">
            <v>43769</v>
          </cell>
          <cell r="F108">
            <v>43773</v>
          </cell>
          <cell r="G108" t="str">
            <v xml:space="preserve"> 2nd Shift</v>
          </cell>
          <cell r="H108">
            <v>43774</v>
          </cell>
        </row>
        <row r="109">
          <cell r="A109" t="str">
            <v>1920872</v>
          </cell>
          <cell r="B109" t="str">
            <v/>
          </cell>
          <cell r="C109" t="str">
            <v/>
          </cell>
          <cell r="D109" t="str">
            <v/>
          </cell>
          <cell r="E109">
            <v>43769</v>
          </cell>
          <cell r="F109">
            <v>43773</v>
          </cell>
          <cell r="G109" t="str">
            <v xml:space="preserve"> 2nd Shift</v>
          </cell>
          <cell r="H109">
            <v>43774</v>
          </cell>
        </row>
        <row r="110">
          <cell r="A110" t="str">
            <v>1931332</v>
          </cell>
          <cell r="B110" t="str">
            <v/>
          </cell>
          <cell r="C110" t="str">
            <v/>
          </cell>
          <cell r="D110" t="str">
            <v/>
          </cell>
          <cell r="E110">
            <v>43769</v>
          </cell>
          <cell r="F110">
            <v>43773</v>
          </cell>
          <cell r="G110" t="str">
            <v xml:space="preserve"> 2nd Shift</v>
          </cell>
          <cell r="H110">
            <v>43775</v>
          </cell>
        </row>
        <row r="111">
          <cell r="A111" t="str">
            <v>1920915</v>
          </cell>
          <cell r="B111" t="str">
            <v/>
          </cell>
          <cell r="C111" t="str">
            <v/>
          </cell>
          <cell r="D111" t="str">
            <v/>
          </cell>
          <cell r="E111">
            <v>43769</v>
          </cell>
          <cell r="F111">
            <v>43773</v>
          </cell>
          <cell r="G111" t="str">
            <v xml:space="preserve"> 2nd Shift</v>
          </cell>
          <cell r="H111">
            <v>43774</v>
          </cell>
        </row>
        <row r="112">
          <cell r="A112" t="str">
            <v>1940075</v>
          </cell>
          <cell r="B112" t="str">
            <v/>
          </cell>
          <cell r="C112" t="str">
            <v/>
          </cell>
          <cell r="D112" t="str">
            <v/>
          </cell>
          <cell r="E112">
            <v>43769</v>
          </cell>
          <cell r="F112">
            <v>43773</v>
          </cell>
          <cell r="G112" t="str">
            <v xml:space="preserve"> 2nd Shift</v>
          </cell>
          <cell r="H112">
            <v>43774</v>
          </cell>
        </row>
        <row r="113">
          <cell r="A113" t="str">
            <v>1931340</v>
          </cell>
          <cell r="B113" t="str">
            <v/>
          </cell>
          <cell r="C113" t="str">
            <v/>
          </cell>
          <cell r="D113" t="str">
            <v/>
          </cell>
          <cell r="E113">
            <v>43769</v>
          </cell>
          <cell r="F113">
            <v>43773</v>
          </cell>
          <cell r="G113" t="str">
            <v xml:space="preserve"> 2nd Shift</v>
          </cell>
          <cell r="H113">
            <v>43775</v>
          </cell>
        </row>
        <row r="114">
          <cell r="A114" t="str">
            <v>1920917</v>
          </cell>
          <cell r="B114" t="str">
            <v/>
          </cell>
          <cell r="C114" t="str">
            <v/>
          </cell>
          <cell r="D114" t="str">
            <v/>
          </cell>
          <cell r="E114">
            <v>43769</v>
          </cell>
          <cell r="F114">
            <v>43773</v>
          </cell>
          <cell r="G114" t="str">
            <v xml:space="preserve"> 2nd Shift</v>
          </cell>
          <cell r="H114">
            <v>43774</v>
          </cell>
        </row>
        <row r="115">
          <cell r="A115" t="str">
            <v>1931271</v>
          </cell>
          <cell r="B115" t="str">
            <v/>
          </cell>
          <cell r="C115" t="str">
            <v/>
          </cell>
          <cell r="D115" t="str">
            <v/>
          </cell>
          <cell r="E115">
            <v>43769</v>
          </cell>
          <cell r="F115">
            <v>43773</v>
          </cell>
          <cell r="G115" t="str">
            <v xml:space="preserve"> 2nd Shift</v>
          </cell>
          <cell r="H115">
            <v>43775</v>
          </cell>
        </row>
        <row r="116">
          <cell r="A116" t="str">
            <v>1920913</v>
          </cell>
          <cell r="B116" t="str">
            <v/>
          </cell>
          <cell r="C116" t="str">
            <v/>
          </cell>
          <cell r="D116" t="str">
            <v/>
          </cell>
          <cell r="E116">
            <v>43769</v>
          </cell>
          <cell r="F116">
            <v>43773</v>
          </cell>
          <cell r="G116" t="str">
            <v xml:space="preserve"> 2nd Shift</v>
          </cell>
          <cell r="H116">
            <v>43774</v>
          </cell>
        </row>
        <row r="117">
          <cell r="A117" t="str">
            <v>1920893</v>
          </cell>
          <cell r="B117" t="str">
            <v/>
          </cell>
          <cell r="C117" t="str">
            <v/>
          </cell>
          <cell r="D117" t="str">
            <v/>
          </cell>
          <cell r="E117">
            <v>43769</v>
          </cell>
          <cell r="F117">
            <v>43773</v>
          </cell>
          <cell r="G117" t="str">
            <v xml:space="preserve"> 2nd Shift</v>
          </cell>
          <cell r="H117">
            <v>43774</v>
          </cell>
        </row>
        <row r="118">
          <cell r="A118" t="str">
            <v>1950087</v>
          </cell>
          <cell r="B118" t="str">
            <v/>
          </cell>
          <cell r="C118" t="str">
            <v/>
          </cell>
          <cell r="D118" t="str">
            <v/>
          </cell>
          <cell r="E118">
            <v>43769</v>
          </cell>
          <cell r="F118">
            <v>43773</v>
          </cell>
          <cell r="G118" t="str">
            <v xml:space="preserve"> 2nd Shift</v>
          </cell>
          <cell r="H118">
            <v>43775</v>
          </cell>
        </row>
        <row r="119">
          <cell r="A119" t="str">
            <v>1910392W</v>
          </cell>
          <cell r="B119" t="str">
            <v/>
          </cell>
          <cell r="C119" t="str">
            <v/>
          </cell>
          <cell r="D119" t="str">
            <v/>
          </cell>
          <cell r="E119">
            <v>43769</v>
          </cell>
          <cell r="F119">
            <v>43773</v>
          </cell>
          <cell r="G119" t="str">
            <v xml:space="preserve"> 2nd Shift</v>
          </cell>
          <cell r="H119">
            <v>43775</v>
          </cell>
        </row>
        <row r="120">
          <cell r="A120" t="str">
            <v>1910391W</v>
          </cell>
          <cell r="B120" t="str">
            <v/>
          </cell>
          <cell r="C120" t="str">
            <v/>
          </cell>
          <cell r="D120" t="str">
            <v/>
          </cell>
          <cell r="E120">
            <v>43769</v>
          </cell>
          <cell r="F120">
            <v>43773</v>
          </cell>
          <cell r="G120" t="str">
            <v xml:space="preserve"> 2nd Shift</v>
          </cell>
          <cell r="H120">
            <v>43775</v>
          </cell>
        </row>
        <row r="121">
          <cell r="A121" t="str">
            <v>1910389W</v>
          </cell>
          <cell r="B121" t="str">
            <v/>
          </cell>
          <cell r="C121" t="str">
            <v/>
          </cell>
          <cell r="D121" t="str">
            <v/>
          </cell>
          <cell r="E121">
            <v>43769</v>
          </cell>
          <cell r="F121">
            <v>43773</v>
          </cell>
          <cell r="G121" t="str">
            <v xml:space="preserve"> 2nd Shift</v>
          </cell>
          <cell r="H121">
            <v>43775</v>
          </cell>
        </row>
        <row r="122">
          <cell r="A122" t="str">
            <v>1910404W</v>
          </cell>
          <cell r="B122" t="str">
            <v/>
          </cell>
          <cell r="C122" t="str">
            <v/>
          </cell>
          <cell r="D122" t="str">
            <v/>
          </cell>
          <cell r="E122">
            <v>43769</v>
          </cell>
          <cell r="F122">
            <v>43773</v>
          </cell>
          <cell r="G122" t="str">
            <v xml:space="preserve"> 2nd Shift</v>
          </cell>
          <cell r="H122">
            <v>43775</v>
          </cell>
        </row>
        <row r="123">
          <cell r="A123" t="str">
            <v>1920834</v>
          </cell>
          <cell r="B123" t="str">
            <v/>
          </cell>
          <cell r="C123" t="str">
            <v/>
          </cell>
          <cell r="D123" t="str">
            <v/>
          </cell>
          <cell r="E123">
            <v>43769</v>
          </cell>
          <cell r="F123">
            <v>43774</v>
          </cell>
          <cell r="G123" t="str">
            <v xml:space="preserve"> 1st Shift</v>
          </cell>
          <cell r="H123">
            <v>43774</v>
          </cell>
        </row>
        <row r="124">
          <cell r="A124" t="str">
            <v>1920860</v>
          </cell>
          <cell r="B124" t="str">
            <v/>
          </cell>
          <cell r="C124" t="str">
            <v/>
          </cell>
          <cell r="D124" t="str">
            <v/>
          </cell>
          <cell r="E124">
            <v>43769</v>
          </cell>
          <cell r="F124">
            <v>43774</v>
          </cell>
          <cell r="G124" t="str">
            <v xml:space="preserve"> 1st Shift</v>
          </cell>
          <cell r="H124">
            <v>43774</v>
          </cell>
        </row>
        <row r="125">
          <cell r="A125" t="str">
            <v>1931184</v>
          </cell>
          <cell r="B125" t="str">
            <v/>
          </cell>
          <cell r="C125" t="str">
            <v/>
          </cell>
          <cell r="D125" t="str">
            <v/>
          </cell>
          <cell r="E125">
            <v>43773</v>
          </cell>
          <cell r="F125">
            <v>43774</v>
          </cell>
          <cell r="G125" t="str">
            <v xml:space="preserve"> 1st Shift</v>
          </cell>
          <cell r="H125">
            <v>43776</v>
          </cell>
        </row>
        <row r="126">
          <cell r="A126" t="str">
            <v>1931060</v>
          </cell>
          <cell r="B126" t="str">
            <v/>
          </cell>
          <cell r="C126" t="str">
            <v/>
          </cell>
          <cell r="D126" t="str">
            <v/>
          </cell>
          <cell r="E126">
            <v>43773</v>
          </cell>
          <cell r="F126">
            <v>43774</v>
          </cell>
          <cell r="G126" t="str">
            <v xml:space="preserve"> 1st Shift</v>
          </cell>
          <cell r="H126">
            <v>43776</v>
          </cell>
        </row>
        <row r="127">
          <cell r="A127" t="str">
            <v>1931341</v>
          </cell>
          <cell r="B127" t="str">
            <v/>
          </cell>
          <cell r="C127" t="str">
            <v/>
          </cell>
          <cell r="D127" t="str">
            <v/>
          </cell>
          <cell r="E127">
            <v>43773</v>
          </cell>
          <cell r="F127">
            <v>43774</v>
          </cell>
          <cell r="G127" t="str">
            <v xml:space="preserve"> 2nd Shift</v>
          </cell>
          <cell r="H127">
            <v>43776</v>
          </cell>
        </row>
        <row r="128">
          <cell r="A128" t="str">
            <v>1920797</v>
          </cell>
          <cell r="B128" t="str">
            <v/>
          </cell>
          <cell r="C128" t="str">
            <v/>
          </cell>
          <cell r="D128" t="str">
            <v/>
          </cell>
          <cell r="E128">
            <v>43773</v>
          </cell>
          <cell r="F128">
            <v>43774</v>
          </cell>
          <cell r="G128" t="str">
            <v xml:space="preserve"> 2nd Shift</v>
          </cell>
          <cell r="H128">
            <v>43775</v>
          </cell>
        </row>
        <row r="129">
          <cell r="A129" t="str">
            <v>1931168</v>
          </cell>
          <cell r="B129" t="str">
            <v/>
          </cell>
          <cell r="C129" t="str">
            <v/>
          </cell>
          <cell r="D129" t="str">
            <v/>
          </cell>
          <cell r="E129">
            <v>43773</v>
          </cell>
          <cell r="F129">
            <v>43774</v>
          </cell>
          <cell r="G129" t="str">
            <v xml:space="preserve"> 2nd Shift</v>
          </cell>
          <cell r="H129">
            <v>43776</v>
          </cell>
        </row>
        <row r="130">
          <cell r="A130" t="str">
            <v>1920884</v>
          </cell>
          <cell r="B130" t="str">
            <v>Y</v>
          </cell>
          <cell r="C130" t="str">
            <v>Y</v>
          </cell>
          <cell r="D130" t="str">
            <v>Y</v>
          </cell>
          <cell r="E130">
            <v>43773</v>
          </cell>
          <cell r="F130">
            <v>43774</v>
          </cell>
          <cell r="G130" t="str">
            <v xml:space="preserve"> 2nd Shift</v>
          </cell>
          <cell r="H130">
            <v>43775</v>
          </cell>
        </row>
        <row r="131">
          <cell r="A131" t="str">
            <v>1931284</v>
          </cell>
          <cell r="B131" t="str">
            <v/>
          </cell>
          <cell r="C131" t="str">
            <v/>
          </cell>
          <cell r="D131" t="str">
            <v/>
          </cell>
          <cell r="E131">
            <v>43773</v>
          </cell>
          <cell r="F131">
            <v>43774</v>
          </cell>
          <cell r="G131" t="str">
            <v xml:space="preserve"> 2nd Shift</v>
          </cell>
          <cell r="H131">
            <v>43776</v>
          </cell>
        </row>
        <row r="132">
          <cell r="A132" t="str">
            <v>1940076</v>
          </cell>
          <cell r="B132" t="str">
            <v/>
          </cell>
          <cell r="C132" t="str">
            <v/>
          </cell>
          <cell r="D132" t="str">
            <v/>
          </cell>
          <cell r="E132">
            <v>43773</v>
          </cell>
          <cell r="F132">
            <v>43774</v>
          </cell>
          <cell r="G132" t="str">
            <v xml:space="preserve"> 2nd Shift</v>
          </cell>
          <cell r="H132">
            <v>43775</v>
          </cell>
        </row>
        <row r="133">
          <cell r="A133" t="str">
            <v>1920858</v>
          </cell>
          <cell r="B133" t="str">
            <v/>
          </cell>
          <cell r="C133" t="str">
            <v/>
          </cell>
          <cell r="D133" t="str">
            <v/>
          </cell>
          <cell r="E133">
            <v>43773</v>
          </cell>
          <cell r="F133">
            <v>43774</v>
          </cell>
          <cell r="G133" t="str">
            <v xml:space="preserve"> 2nd Shift</v>
          </cell>
          <cell r="H133">
            <v>43775</v>
          </cell>
        </row>
        <row r="134">
          <cell r="A134" t="str">
            <v>1910403W</v>
          </cell>
          <cell r="B134" t="str">
            <v/>
          </cell>
          <cell r="C134" t="str">
            <v/>
          </cell>
          <cell r="D134" t="str">
            <v/>
          </cell>
          <cell r="E134">
            <v>43773</v>
          </cell>
          <cell r="F134">
            <v>43774</v>
          </cell>
          <cell r="G134" t="str">
            <v xml:space="preserve"> 2nd Shift</v>
          </cell>
          <cell r="H134">
            <v>43776</v>
          </cell>
        </row>
        <row r="135">
          <cell r="A135" t="str">
            <v>1910417W</v>
          </cell>
          <cell r="B135" t="str">
            <v/>
          </cell>
          <cell r="C135" t="str">
            <v/>
          </cell>
          <cell r="D135" t="str">
            <v/>
          </cell>
          <cell r="E135">
            <v>43773</v>
          </cell>
          <cell r="F135">
            <v>43774</v>
          </cell>
          <cell r="G135" t="str">
            <v xml:space="preserve"> 2nd Shift</v>
          </cell>
          <cell r="H135">
            <v>43776</v>
          </cell>
        </row>
        <row r="136">
          <cell r="A136" t="str">
            <v>1910418W</v>
          </cell>
          <cell r="B136" t="str">
            <v/>
          </cell>
          <cell r="C136" t="str">
            <v/>
          </cell>
          <cell r="D136" t="str">
            <v/>
          </cell>
          <cell r="E136">
            <v>43773</v>
          </cell>
          <cell r="F136">
            <v>43774</v>
          </cell>
          <cell r="G136" t="str">
            <v xml:space="preserve"> 2nd Shift</v>
          </cell>
          <cell r="H136">
            <v>43776</v>
          </cell>
        </row>
        <row r="137">
          <cell r="A137" t="str">
            <v>1931190</v>
          </cell>
          <cell r="B137" t="str">
            <v/>
          </cell>
          <cell r="C137" t="str">
            <v/>
          </cell>
          <cell r="D137" t="str">
            <v/>
          </cell>
          <cell r="E137">
            <v>43773</v>
          </cell>
          <cell r="F137">
            <v>43774</v>
          </cell>
          <cell r="G137" t="str">
            <v xml:space="preserve"> 2nd Shift</v>
          </cell>
          <cell r="H137">
            <v>43776</v>
          </cell>
        </row>
        <row r="138">
          <cell r="A138" t="str">
            <v>1931176</v>
          </cell>
          <cell r="B138" t="str">
            <v/>
          </cell>
          <cell r="C138" t="str">
            <v/>
          </cell>
          <cell r="D138" t="str">
            <v/>
          </cell>
          <cell r="E138">
            <v>43773</v>
          </cell>
          <cell r="F138">
            <v>43774</v>
          </cell>
          <cell r="G138" t="str">
            <v xml:space="preserve"> 2nd Shift</v>
          </cell>
          <cell r="H138">
            <v>43776</v>
          </cell>
        </row>
        <row r="139">
          <cell r="A139" t="str">
            <v>1910396</v>
          </cell>
          <cell r="B139" t="str">
            <v/>
          </cell>
          <cell r="C139" t="str">
            <v/>
          </cell>
          <cell r="D139" t="str">
            <v/>
          </cell>
          <cell r="E139">
            <v>43774</v>
          </cell>
          <cell r="F139">
            <v>43775</v>
          </cell>
          <cell r="G139" t="str">
            <v xml:space="preserve"> 1st Shift</v>
          </cell>
          <cell r="H139">
            <v>43780</v>
          </cell>
        </row>
        <row r="140">
          <cell r="A140" t="str">
            <v>1920861</v>
          </cell>
          <cell r="B140" t="str">
            <v/>
          </cell>
          <cell r="C140" t="str">
            <v/>
          </cell>
          <cell r="D140" t="str">
            <v/>
          </cell>
          <cell r="E140">
            <v>43773</v>
          </cell>
          <cell r="F140">
            <v>43775</v>
          </cell>
          <cell r="G140" t="str">
            <v xml:space="preserve"> 1st Shift</v>
          </cell>
          <cell r="H140">
            <v>43775</v>
          </cell>
        </row>
        <row r="141">
          <cell r="A141" t="str">
            <v>1920882</v>
          </cell>
          <cell r="B141" t="str">
            <v>Y</v>
          </cell>
          <cell r="C141" t="str">
            <v>Y</v>
          </cell>
          <cell r="D141" t="str">
            <v>Y</v>
          </cell>
          <cell r="E141">
            <v>43774</v>
          </cell>
          <cell r="F141">
            <v>43775</v>
          </cell>
          <cell r="G141" t="str">
            <v xml:space="preserve"> 2nd Shift</v>
          </cell>
          <cell r="H141">
            <v>43776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>
            <v>43774</v>
          </cell>
          <cell r="F142">
            <v>43775</v>
          </cell>
          <cell r="G142" t="str">
            <v xml:space="preserve"> 2nd Shift</v>
          </cell>
          <cell r="H142">
            <v>43776</v>
          </cell>
        </row>
        <row r="143">
          <cell r="A143" t="str">
            <v>1940077</v>
          </cell>
          <cell r="B143" t="str">
            <v/>
          </cell>
          <cell r="C143" t="str">
            <v/>
          </cell>
          <cell r="D143" t="str">
            <v/>
          </cell>
          <cell r="E143">
            <v>43774</v>
          </cell>
          <cell r="F143">
            <v>43775</v>
          </cell>
          <cell r="G143" t="str">
            <v xml:space="preserve"> 2nd Shift</v>
          </cell>
          <cell r="H143">
            <v>43776</v>
          </cell>
        </row>
        <row r="144">
          <cell r="A144" t="str">
            <v>1910390W</v>
          </cell>
          <cell r="B144" t="str">
            <v/>
          </cell>
          <cell r="C144" t="str">
            <v/>
          </cell>
          <cell r="D144" t="str">
            <v/>
          </cell>
          <cell r="E144">
            <v>43774</v>
          </cell>
          <cell r="F144">
            <v>43775</v>
          </cell>
          <cell r="G144" t="str">
            <v xml:space="preserve"> 2nd Shift</v>
          </cell>
          <cell r="H144">
            <v>43780</v>
          </cell>
        </row>
        <row r="145">
          <cell r="A145" t="str">
            <v>1910400W</v>
          </cell>
          <cell r="B145" t="str">
            <v/>
          </cell>
          <cell r="C145" t="str">
            <v/>
          </cell>
          <cell r="D145" t="str">
            <v/>
          </cell>
          <cell r="E145">
            <v>43774</v>
          </cell>
          <cell r="F145">
            <v>43775</v>
          </cell>
          <cell r="G145" t="str">
            <v xml:space="preserve"> 2nd Shift</v>
          </cell>
          <cell r="H145">
            <v>43780</v>
          </cell>
        </row>
        <row r="146">
          <cell r="A146" t="str">
            <v>1910413W</v>
          </cell>
          <cell r="B146" t="str">
            <v/>
          </cell>
          <cell r="C146" t="str">
            <v/>
          </cell>
          <cell r="D146" t="str">
            <v/>
          </cell>
          <cell r="E146">
            <v>43775</v>
          </cell>
          <cell r="F146">
            <v>43776</v>
          </cell>
          <cell r="G146" t="str">
            <v xml:space="preserve"> 1st Shift</v>
          </cell>
          <cell r="H146">
            <v>43781</v>
          </cell>
        </row>
        <row r="147">
          <cell r="A147" t="str">
            <v>1920916</v>
          </cell>
          <cell r="B147" t="str">
            <v/>
          </cell>
          <cell r="C147" t="str">
            <v/>
          </cell>
          <cell r="D147" t="str">
            <v/>
          </cell>
          <cell r="E147">
            <v>43775</v>
          </cell>
          <cell r="F147">
            <v>43776</v>
          </cell>
          <cell r="G147" t="str">
            <v xml:space="preserve"> 1st Shift</v>
          </cell>
          <cell r="H147">
            <v>43780</v>
          </cell>
        </row>
        <row r="148">
          <cell r="A148" t="str">
            <v>1931317</v>
          </cell>
          <cell r="B148" t="str">
            <v/>
          </cell>
          <cell r="C148" t="str">
            <v/>
          </cell>
          <cell r="D148" t="str">
            <v/>
          </cell>
          <cell r="E148">
            <v>43775</v>
          </cell>
          <cell r="F148">
            <v>43776</v>
          </cell>
          <cell r="G148" t="str">
            <v xml:space="preserve"> 1st Shift</v>
          </cell>
          <cell r="H148">
            <v>43781</v>
          </cell>
        </row>
        <row r="149">
          <cell r="A149" t="str">
            <v>1931318</v>
          </cell>
          <cell r="B149" t="str">
            <v/>
          </cell>
          <cell r="C149" t="str">
            <v/>
          </cell>
          <cell r="D149" t="str">
            <v/>
          </cell>
          <cell r="E149">
            <v>43775</v>
          </cell>
          <cell r="F149">
            <v>43776</v>
          </cell>
          <cell r="G149" t="str">
            <v xml:space="preserve"> 1st Shift</v>
          </cell>
          <cell r="H149">
            <v>43781</v>
          </cell>
        </row>
        <row r="150">
          <cell r="A150" t="str">
            <v>1920922</v>
          </cell>
          <cell r="B150" t="str">
            <v/>
          </cell>
          <cell r="C150" t="str">
            <v/>
          </cell>
          <cell r="D150" t="str">
            <v/>
          </cell>
          <cell r="E150">
            <v>43775</v>
          </cell>
          <cell r="F150">
            <v>43776</v>
          </cell>
          <cell r="G150" t="str">
            <v xml:space="preserve"> 2nd Shift</v>
          </cell>
          <cell r="H150">
            <v>43780</v>
          </cell>
        </row>
        <row r="151">
          <cell r="A151" t="str">
            <v>1920918</v>
          </cell>
          <cell r="B151" t="str">
            <v/>
          </cell>
          <cell r="C151" t="str">
            <v/>
          </cell>
          <cell r="D151" t="str">
            <v/>
          </cell>
          <cell r="E151">
            <v>43775</v>
          </cell>
          <cell r="F151">
            <v>43776</v>
          </cell>
          <cell r="G151" t="str">
            <v xml:space="preserve"> 2nd Shift</v>
          </cell>
          <cell r="H151">
            <v>43780</v>
          </cell>
        </row>
        <row r="152">
          <cell r="A152" t="str">
            <v>1920867</v>
          </cell>
          <cell r="B152" t="str">
            <v/>
          </cell>
          <cell r="C152" t="str">
            <v/>
          </cell>
          <cell r="D152" t="str">
            <v/>
          </cell>
          <cell r="E152">
            <v>43775</v>
          </cell>
          <cell r="F152">
            <v>43776</v>
          </cell>
          <cell r="G152" t="str">
            <v xml:space="preserve"> 2nd Shift</v>
          </cell>
          <cell r="H152">
            <v>43780</v>
          </cell>
        </row>
        <row r="153">
          <cell r="A153" t="str">
            <v>1920866</v>
          </cell>
          <cell r="B153" t="str">
            <v/>
          </cell>
          <cell r="C153" t="str">
            <v/>
          </cell>
          <cell r="D153" t="str">
            <v/>
          </cell>
          <cell r="E153">
            <v>43775</v>
          </cell>
          <cell r="F153">
            <v>43776</v>
          </cell>
          <cell r="G153" t="str">
            <v xml:space="preserve"> 2nd Shift</v>
          </cell>
          <cell r="H153">
            <v>43780</v>
          </cell>
        </row>
        <row r="154">
          <cell r="A154" t="str">
            <v>1910416W</v>
          </cell>
          <cell r="B154" t="str">
            <v/>
          </cell>
          <cell r="C154" t="str">
            <v/>
          </cell>
          <cell r="D154" t="str">
            <v/>
          </cell>
          <cell r="E154">
            <v>43775</v>
          </cell>
          <cell r="F154">
            <v>43776</v>
          </cell>
          <cell r="G154" t="str">
            <v xml:space="preserve"> 2nd Shift</v>
          </cell>
          <cell r="H154">
            <v>43781</v>
          </cell>
        </row>
        <row r="155">
          <cell r="A155" t="str">
            <v>1910415W</v>
          </cell>
          <cell r="B155" t="str">
            <v/>
          </cell>
          <cell r="C155" t="str">
            <v/>
          </cell>
          <cell r="D155" t="str">
            <v/>
          </cell>
          <cell r="E155">
            <v>43775</v>
          </cell>
          <cell r="F155">
            <v>43776</v>
          </cell>
          <cell r="G155" t="str">
            <v xml:space="preserve"> 2nd Shift</v>
          </cell>
          <cell r="H155">
            <v>43781</v>
          </cell>
        </row>
        <row r="156">
          <cell r="A156" t="str">
            <v>1910414W</v>
          </cell>
          <cell r="B156" t="str">
            <v/>
          </cell>
          <cell r="C156" t="str">
            <v/>
          </cell>
          <cell r="D156" t="str">
            <v/>
          </cell>
          <cell r="E156">
            <v>43775</v>
          </cell>
          <cell r="F156">
            <v>43776</v>
          </cell>
          <cell r="G156" t="str">
            <v xml:space="preserve"> 2nd Shift</v>
          </cell>
          <cell r="H156">
            <v>43781</v>
          </cell>
        </row>
        <row r="157">
          <cell r="A157" t="str">
            <v>1910397</v>
          </cell>
          <cell r="B157" t="str">
            <v/>
          </cell>
          <cell r="C157" t="str">
            <v/>
          </cell>
          <cell r="D157" t="str">
            <v/>
          </cell>
          <cell r="E157">
            <v>43775</v>
          </cell>
          <cell r="F157">
            <v>43776</v>
          </cell>
          <cell r="G157" t="str">
            <v xml:space="preserve"> 2nd Shift</v>
          </cell>
          <cell r="H157">
            <v>43781</v>
          </cell>
        </row>
        <row r="158">
          <cell r="A158" t="str">
            <v>1931286</v>
          </cell>
          <cell r="B158" t="str">
            <v/>
          </cell>
          <cell r="C158" t="str">
            <v/>
          </cell>
          <cell r="D158" t="str">
            <v/>
          </cell>
          <cell r="E158">
            <v>43775</v>
          </cell>
          <cell r="F158">
            <v>43776</v>
          </cell>
          <cell r="G158" t="str">
            <v xml:space="preserve"> 2nd Shift</v>
          </cell>
          <cell r="H158">
            <v>43781</v>
          </cell>
        </row>
        <row r="159">
          <cell r="A159" t="str">
            <v>1931219</v>
          </cell>
          <cell r="B159" t="str">
            <v/>
          </cell>
          <cell r="C159" t="str">
            <v/>
          </cell>
          <cell r="D159" t="str">
            <v/>
          </cell>
          <cell r="E159">
            <v>43776</v>
          </cell>
          <cell r="F159">
            <v>43780</v>
          </cell>
          <cell r="G159" t="str">
            <v xml:space="preserve"> 1st Shift</v>
          </cell>
          <cell r="H159">
            <v>43782</v>
          </cell>
        </row>
        <row r="160">
          <cell r="A160" t="str">
            <v>1931223</v>
          </cell>
          <cell r="B160" t="str">
            <v/>
          </cell>
          <cell r="C160" t="str">
            <v/>
          </cell>
          <cell r="D160" t="str">
            <v/>
          </cell>
          <cell r="E160">
            <v>43776</v>
          </cell>
          <cell r="F160">
            <v>43780</v>
          </cell>
          <cell r="G160" t="str">
            <v xml:space="preserve"> 1st Shift</v>
          </cell>
          <cell r="H160">
            <v>43782</v>
          </cell>
        </row>
        <row r="161">
          <cell r="A161" t="str">
            <v>1931222</v>
          </cell>
          <cell r="B161" t="str">
            <v/>
          </cell>
          <cell r="C161" t="str">
            <v/>
          </cell>
          <cell r="D161" t="str">
            <v/>
          </cell>
          <cell r="E161">
            <v>43776</v>
          </cell>
          <cell r="F161">
            <v>43780</v>
          </cell>
          <cell r="G161" t="str">
            <v xml:space="preserve"> 1st Shift</v>
          </cell>
          <cell r="H161">
            <v>43782</v>
          </cell>
        </row>
        <row r="162">
          <cell r="A162" t="str">
            <v>1931226</v>
          </cell>
          <cell r="B162" t="str">
            <v/>
          </cell>
          <cell r="C162" t="str">
            <v/>
          </cell>
          <cell r="D162" t="str">
            <v/>
          </cell>
          <cell r="E162">
            <v>43776</v>
          </cell>
          <cell r="F162">
            <v>43780</v>
          </cell>
          <cell r="G162" t="str">
            <v xml:space="preserve"> 1st Shift</v>
          </cell>
          <cell r="H162">
            <v>43782</v>
          </cell>
        </row>
        <row r="163">
          <cell r="A163" t="str">
            <v>1931234</v>
          </cell>
          <cell r="B163" t="str">
            <v/>
          </cell>
          <cell r="C163" t="str">
            <v/>
          </cell>
          <cell r="D163" t="str">
            <v/>
          </cell>
          <cell r="E163">
            <v>43776</v>
          </cell>
          <cell r="F163">
            <v>43780</v>
          </cell>
          <cell r="G163" t="str">
            <v xml:space="preserve"> 1st Shift</v>
          </cell>
          <cell r="H163">
            <v>43782</v>
          </cell>
        </row>
        <row r="164">
          <cell r="A164" t="str">
            <v>1920873</v>
          </cell>
          <cell r="B164" t="str">
            <v/>
          </cell>
          <cell r="C164" t="str">
            <v/>
          </cell>
          <cell r="D164" t="str">
            <v/>
          </cell>
          <cell r="E164">
            <v>43776</v>
          </cell>
          <cell r="F164">
            <v>43780</v>
          </cell>
          <cell r="G164" t="str">
            <v xml:space="preserve"> 2nd Shift</v>
          </cell>
          <cell r="H164">
            <v>43781</v>
          </cell>
        </row>
        <row r="165">
          <cell r="A165" t="str">
            <v>1920926</v>
          </cell>
          <cell r="B165" t="str">
            <v/>
          </cell>
          <cell r="C165" t="str">
            <v/>
          </cell>
          <cell r="D165" t="str">
            <v/>
          </cell>
          <cell r="E165">
            <v>43776</v>
          </cell>
          <cell r="F165">
            <v>43780</v>
          </cell>
          <cell r="G165" t="str">
            <v xml:space="preserve"> 2nd Shift</v>
          </cell>
          <cell r="H165">
            <v>43781</v>
          </cell>
        </row>
        <row r="166">
          <cell r="A166" t="str">
            <v>1920892</v>
          </cell>
          <cell r="B166" t="str">
            <v/>
          </cell>
          <cell r="C166" t="str">
            <v/>
          </cell>
          <cell r="D166" t="str">
            <v/>
          </cell>
          <cell r="E166">
            <v>43776</v>
          </cell>
          <cell r="F166">
            <v>43780</v>
          </cell>
          <cell r="G166" t="str">
            <v xml:space="preserve"> 2nd Shift</v>
          </cell>
          <cell r="H166">
            <v>43781</v>
          </cell>
        </row>
        <row r="167">
          <cell r="A167" t="str">
            <v>1920901</v>
          </cell>
          <cell r="B167" t="str">
            <v/>
          </cell>
          <cell r="C167" t="str">
            <v/>
          </cell>
          <cell r="D167" t="str">
            <v/>
          </cell>
          <cell r="E167">
            <v>43776</v>
          </cell>
          <cell r="F167">
            <v>43780</v>
          </cell>
          <cell r="G167" t="str">
            <v xml:space="preserve"> 2nd Shift</v>
          </cell>
          <cell r="H167">
            <v>43781</v>
          </cell>
        </row>
        <row r="168">
          <cell r="A168" t="str">
            <v>1920843</v>
          </cell>
          <cell r="B168" t="str">
            <v/>
          </cell>
          <cell r="C168" t="str">
            <v/>
          </cell>
          <cell r="D168" t="str">
            <v/>
          </cell>
          <cell r="E168">
            <v>43776</v>
          </cell>
          <cell r="F168">
            <v>43780</v>
          </cell>
          <cell r="G168" t="str">
            <v xml:space="preserve"> 2nd Shift</v>
          </cell>
          <cell r="H168">
            <v>43781</v>
          </cell>
        </row>
        <row r="169">
          <cell r="A169" t="str">
            <v>1920919</v>
          </cell>
          <cell r="B169" t="str">
            <v/>
          </cell>
          <cell r="C169" t="str">
            <v/>
          </cell>
          <cell r="D169" t="str">
            <v/>
          </cell>
          <cell r="E169">
            <v>43776</v>
          </cell>
          <cell r="F169">
            <v>43780</v>
          </cell>
          <cell r="G169" t="str">
            <v xml:space="preserve"> 2nd Shift</v>
          </cell>
          <cell r="H169">
            <v>43781</v>
          </cell>
        </row>
        <row r="170">
          <cell r="A170" t="str">
            <v>1920822</v>
          </cell>
          <cell r="B170" t="str">
            <v/>
          </cell>
          <cell r="C170" t="str">
            <v/>
          </cell>
          <cell r="D170" t="str">
            <v/>
          </cell>
          <cell r="E170">
            <v>43776</v>
          </cell>
          <cell r="F170">
            <v>43780</v>
          </cell>
          <cell r="G170" t="str">
            <v xml:space="preserve"> 2nd Shift</v>
          </cell>
          <cell r="H170">
            <v>43781</v>
          </cell>
        </row>
        <row r="171">
          <cell r="A171" t="str">
            <v>1920911W</v>
          </cell>
          <cell r="B171" t="str">
            <v/>
          </cell>
          <cell r="C171" t="str">
            <v/>
          </cell>
          <cell r="D171" t="str">
            <v/>
          </cell>
          <cell r="E171">
            <v>43776</v>
          </cell>
          <cell r="F171">
            <v>43780</v>
          </cell>
          <cell r="G171" t="str">
            <v xml:space="preserve"> 2nd Shift</v>
          </cell>
          <cell r="H171">
            <v>43782</v>
          </cell>
        </row>
        <row r="172">
          <cell r="A172" t="str">
            <v>1931233</v>
          </cell>
          <cell r="B172" t="str">
            <v/>
          </cell>
          <cell r="C172" t="str">
            <v/>
          </cell>
          <cell r="D172" t="str">
            <v/>
          </cell>
          <cell r="E172">
            <v>43776</v>
          </cell>
          <cell r="F172">
            <v>43780</v>
          </cell>
          <cell r="G172" t="str">
            <v xml:space="preserve"> 2nd Shift</v>
          </cell>
          <cell r="H172">
            <v>43782</v>
          </cell>
        </row>
        <row r="173">
          <cell r="A173" t="str">
            <v>1931252</v>
          </cell>
          <cell r="B173" t="str">
            <v/>
          </cell>
          <cell r="C173" t="str">
            <v/>
          </cell>
          <cell r="D173" t="str">
            <v/>
          </cell>
          <cell r="E173">
            <v>43776</v>
          </cell>
          <cell r="F173">
            <v>43780</v>
          </cell>
          <cell r="G173" t="str">
            <v xml:space="preserve"> 2nd Shift</v>
          </cell>
          <cell r="H173">
            <v>43782</v>
          </cell>
        </row>
        <row r="174">
          <cell r="A174" t="str">
            <v>1931319</v>
          </cell>
          <cell r="B174" t="str">
            <v/>
          </cell>
          <cell r="C174" t="str">
            <v/>
          </cell>
          <cell r="D174" t="str">
            <v/>
          </cell>
          <cell r="E174">
            <v>43776</v>
          </cell>
          <cell r="F174">
            <v>43780</v>
          </cell>
          <cell r="G174" t="str">
            <v xml:space="preserve"> 2nd Shift</v>
          </cell>
          <cell r="H174">
            <v>43782</v>
          </cell>
        </row>
        <row r="175">
          <cell r="A175" t="str">
            <v>1931231</v>
          </cell>
          <cell r="B175" t="str">
            <v/>
          </cell>
          <cell r="C175" t="str">
            <v/>
          </cell>
          <cell r="D175" t="str">
            <v/>
          </cell>
          <cell r="E175">
            <v>43780</v>
          </cell>
          <cell r="F175">
            <v>43781</v>
          </cell>
          <cell r="G175" t="str">
            <v xml:space="preserve"> 1st Shift</v>
          </cell>
          <cell r="H175">
            <v>43783</v>
          </cell>
        </row>
        <row r="176">
          <cell r="A176" t="str">
            <v>1920838</v>
          </cell>
          <cell r="B176" t="str">
            <v/>
          </cell>
          <cell r="C176" t="str">
            <v/>
          </cell>
          <cell r="D176" t="str">
            <v/>
          </cell>
          <cell r="E176">
            <v>43780</v>
          </cell>
          <cell r="F176">
            <v>43781</v>
          </cell>
          <cell r="G176" t="str">
            <v xml:space="preserve"> 1st Shift</v>
          </cell>
          <cell r="H176">
            <v>43782</v>
          </cell>
        </row>
        <row r="177">
          <cell r="A177" t="str">
            <v>1920905</v>
          </cell>
          <cell r="B177" t="str">
            <v/>
          </cell>
          <cell r="C177" t="str">
            <v/>
          </cell>
          <cell r="D177" t="str">
            <v/>
          </cell>
          <cell r="E177">
            <v>43780</v>
          </cell>
          <cell r="F177">
            <v>43781</v>
          </cell>
          <cell r="G177" t="str">
            <v xml:space="preserve"> 1st Shift</v>
          </cell>
          <cell r="H177">
            <v>43782</v>
          </cell>
        </row>
        <row r="178">
          <cell r="A178" t="str">
            <v>1931251</v>
          </cell>
          <cell r="B178" t="str">
            <v/>
          </cell>
          <cell r="C178" t="str">
            <v/>
          </cell>
          <cell r="D178" t="str">
            <v/>
          </cell>
          <cell r="E178">
            <v>43780</v>
          </cell>
          <cell r="F178">
            <v>43781</v>
          </cell>
          <cell r="G178" t="str">
            <v xml:space="preserve"> 1st Shift</v>
          </cell>
          <cell r="H178">
            <v>43783</v>
          </cell>
        </row>
        <row r="179">
          <cell r="A179" t="str">
            <v>1931253</v>
          </cell>
          <cell r="B179" t="str">
            <v/>
          </cell>
          <cell r="C179" t="str">
            <v/>
          </cell>
          <cell r="D179" t="str">
            <v/>
          </cell>
          <cell r="E179">
            <v>43780</v>
          </cell>
          <cell r="F179">
            <v>43781</v>
          </cell>
          <cell r="G179" t="str">
            <v xml:space="preserve"> 1st Shift</v>
          </cell>
          <cell r="H179">
            <v>43783</v>
          </cell>
        </row>
        <row r="180">
          <cell r="A180" t="str">
            <v>1931254</v>
          </cell>
          <cell r="B180" t="str">
            <v/>
          </cell>
          <cell r="C180" t="str">
            <v/>
          </cell>
          <cell r="D180" t="str">
            <v/>
          </cell>
          <cell r="E180">
            <v>43780</v>
          </cell>
          <cell r="F180">
            <v>43781</v>
          </cell>
          <cell r="G180" t="str">
            <v xml:space="preserve"> 1st Shift</v>
          </cell>
          <cell r="H180">
            <v>43783</v>
          </cell>
        </row>
        <row r="181">
          <cell r="A181" t="str">
            <v>1931256</v>
          </cell>
          <cell r="B181" t="str">
            <v/>
          </cell>
          <cell r="C181" t="str">
            <v/>
          </cell>
          <cell r="D181" t="str">
            <v/>
          </cell>
          <cell r="E181">
            <v>43780</v>
          </cell>
          <cell r="F181">
            <v>43781</v>
          </cell>
          <cell r="G181" t="str">
            <v xml:space="preserve"> 1st Shift</v>
          </cell>
          <cell r="H181">
            <v>43783</v>
          </cell>
        </row>
        <row r="182">
          <cell r="A182" t="str">
            <v>1920896</v>
          </cell>
          <cell r="B182" t="str">
            <v/>
          </cell>
          <cell r="C182" t="str">
            <v/>
          </cell>
          <cell r="D182" t="str">
            <v/>
          </cell>
          <cell r="E182">
            <v>43780</v>
          </cell>
          <cell r="F182">
            <v>43781</v>
          </cell>
          <cell r="G182" t="str">
            <v xml:space="preserve"> 2nd Shift</v>
          </cell>
          <cell r="H182">
            <v>43782</v>
          </cell>
        </row>
        <row r="183">
          <cell r="A183" t="str">
            <v>1910398</v>
          </cell>
          <cell r="B183" t="str">
            <v/>
          </cell>
          <cell r="C183" t="str">
            <v/>
          </cell>
          <cell r="D183" t="str">
            <v/>
          </cell>
          <cell r="E183">
            <v>43780</v>
          </cell>
          <cell r="F183">
            <v>43781</v>
          </cell>
          <cell r="G183" t="str">
            <v xml:space="preserve"> 2nd Shift</v>
          </cell>
          <cell r="H183">
            <v>43783</v>
          </cell>
        </row>
        <row r="184">
          <cell r="A184" t="str">
            <v>1931257</v>
          </cell>
          <cell r="B184" t="str">
            <v/>
          </cell>
          <cell r="C184" t="str">
            <v/>
          </cell>
          <cell r="D184" t="str">
            <v/>
          </cell>
          <cell r="E184">
            <v>43780</v>
          </cell>
          <cell r="F184">
            <v>43781</v>
          </cell>
          <cell r="G184" t="str">
            <v xml:space="preserve"> 2nd Shift</v>
          </cell>
          <cell r="H184">
            <v>43783</v>
          </cell>
        </row>
        <row r="185">
          <cell r="A185" t="str">
            <v>1931259</v>
          </cell>
          <cell r="B185" t="str">
            <v/>
          </cell>
          <cell r="C185" t="str">
            <v/>
          </cell>
          <cell r="D185" t="str">
            <v/>
          </cell>
          <cell r="E185">
            <v>43780</v>
          </cell>
          <cell r="F185">
            <v>43781</v>
          </cell>
          <cell r="G185" t="str">
            <v xml:space="preserve"> 2nd Shift</v>
          </cell>
          <cell r="H185">
            <v>43783</v>
          </cell>
        </row>
        <row r="186">
          <cell r="A186" t="str">
            <v>1920910W</v>
          </cell>
          <cell r="B186" t="str">
            <v/>
          </cell>
          <cell r="C186" t="str">
            <v/>
          </cell>
          <cell r="D186" t="str">
            <v/>
          </cell>
          <cell r="E186">
            <v>43781</v>
          </cell>
          <cell r="F186">
            <v>43782</v>
          </cell>
          <cell r="G186" t="str">
            <v xml:space="preserve"> 1st Shift</v>
          </cell>
          <cell r="H186">
            <v>43787</v>
          </cell>
        </row>
        <row r="187">
          <cell r="A187" t="str">
            <v>1931261</v>
          </cell>
          <cell r="B187" t="str">
            <v/>
          </cell>
          <cell r="C187" t="str">
            <v/>
          </cell>
          <cell r="D187" t="str">
            <v/>
          </cell>
          <cell r="E187">
            <v>43781</v>
          </cell>
          <cell r="F187">
            <v>43782</v>
          </cell>
          <cell r="G187" t="str">
            <v xml:space="preserve"> 1st Shift</v>
          </cell>
          <cell r="H187">
            <v>43787</v>
          </cell>
        </row>
        <row r="188">
          <cell r="A188" t="str">
            <v>1920904</v>
          </cell>
          <cell r="B188" t="str">
            <v/>
          </cell>
          <cell r="C188" t="str">
            <v/>
          </cell>
          <cell r="D188" t="str">
            <v/>
          </cell>
          <cell r="E188">
            <v>43781</v>
          </cell>
          <cell r="F188">
            <v>43782</v>
          </cell>
          <cell r="G188" t="str">
            <v xml:space="preserve"> 1st Shift</v>
          </cell>
          <cell r="H188">
            <v>43783</v>
          </cell>
        </row>
        <row r="189">
          <cell r="A189" t="str">
            <v>1920898</v>
          </cell>
          <cell r="B189" t="str">
            <v/>
          </cell>
          <cell r="C189" t="str">
            <v/>
          </cell>
          <cell r="D189" t="str">
            <v/>
          </cell>
          <cell r="E189">
            <v>43781</v>
          </cell>
          <cell r="F189">
            <v>43782</v>
          </cell>
          <cell r="G189" t="str">
            <v xml:space="preserve"> 1st Shift</v>
          </cell>
          <cell r="H189">
            <v>43783</v>
          </cell>
        </row>
        <row r="190">
          <cell r="A190" t="str">
            <v>1931263</v>
          </cell>
          <cell r="B190" t="str">
            <v/>
          </cell>
          <cell r="C190" t="str">
            <v/>
          </cell>
          <cell r="D190" t="str">
            <v/>
          </cell>
          <cell r="E190">
            <v>43781</v>
          </cell>
          <cell r="F190">
            <v>43782</v>
          </cell>
          <cell r="G190" t="str">
            <v xml:space="preserve"> 1st Shift</v>
          </cell>
          <cell r="H190">
            <v>43787</v>
          </cell>
        </row>
        <row r="191">
          <cell r="A191" t="str">
            <v>1931272</v>
          </cell>
          <cell r="B191" t="str">
            <v/>
          </cell>
          <cell r="C191" t="str">
            <v/>
          </cell>
          <cell r="D191" t="str">
            <v/>
          </cell>
          <cell r="E191">
            <v>43781</v>
          </cell>
          <cell r="F191">
            <v>43782</v>
          </cell>
          <cell r="G191" t="str">
            <v xml:space="preserve"> 1st Shift</v>
          </cell>
          <cell r="H191">
            <v>43787</v>
          </cell>
        </row>
        <row r="192">
          <cell r="A192" t="str">
            <v>1920878</v>
          </cell>
          <cell r="B192" t="str">
            <v/>
          </cell>
          <cell r="C192" t="str">
            <v/>
          </cell>
          <cell r="D192" t="str">
            <v/>
          </cell>
          <cell r="E192">
            <v>43780</v>
          </cell>
          <cell r="F192">
            <v>43782</v>
          </cell>
          <cell r="G192" t="str">
            <v xml:space="preserve"> 1st Shift</v>
          </cell>
          <cell r="H192">
            <v>43782</v>
          </cell>
        </row>
        <row r="193">
          <cell r="A193" t="str">
            <v>1931273</v>
          </cell>
          <cell r="B193" t="str">
            <v/>
          </cell>
          <cell r="C193" t="str">
            <v/>
          </cell>
          <cell r="D193" t="str">
            <v/>
          </cell>
          <cell r="E193">
            <v>43781</v>
          </cell>
          <cell r="F193">
            <v>43782</v>
          </cell>
          <cell r="G193" t="str">
            <v xml:space="preserve"> 1st Shift</v>
          </cell>
          <cell r="H193">
            <v>43787</v>
          </cell>
        </row>
        <row r="194">
          <cell r="A194" t="str">
            <v>1931266</v>
          </cell>
          <cell r="B194" t="str">
            <v/>
          </cell>
          <cell r="C194" t="str">
            <v/>
          </cell>
          <cell r="D194" t="str">
            <v/>
          </cell>
          <cell r="E194">
            <v>43781</v>
          </cell>
          <cell r="F194">
            <v>43782</v>
          </cell>
          <cell r="G194" t="str">
            <v xml:space="preserve"> 1st Shift</v>
          </cell>
          <cell r="H194">
            <v>43787</v>
          </cell>
        </row>
        <row r="195">
          <cell r="A195" t="str">
            <v>1931274</v>
          </cell>
          <cell r="B195" t="str">
            <v/>
          </cell>
          <cell r="C195" t="str">
            <v/>
          </cell>
          <cell r="D195" t="str">
            <v/>
          </cell>
          <cell r="E195">
            <v>43781</v>
          </cell>
          <cell r="F195">
            <v>43782</v>
          </cell>
          <cell r="G195" t="str">
            <v xml:space="preserve"> 1st Shift</v>
          </cell>
          <cell r="H195">
            <v>43787</v>
          </cell>
        </row>
        <row r="196">
          <cell r="A196" t="str">
            <v>1931276</v>
          </cell>
          <cell r="B196" t="str">
            <v/>
          </cell>
          <cell r="C196" t="str">
            <v/>
          </cell>
          <cell r="D196" t="str">
            <v/>
          </cell>
          <cell r="E196">
            <v>43781</v>
          </cell>
          <cell r="F196">
            <v>43782</v>
          </cell>
          <cell r="G196" t="str">
            <v xml:space="preserve"> 1st Shift</v>
          </cell>
          <cell r="H196">
            <v>43787</v>
          </cell>
        </row>
        <row r="197">
          <cell r="A197" t="str">
            <v>1931260</v>
          </cell>
          <cell r="B197" t="str">
            <v/>
          </cell>
          <cell r="C197" t="str">
            <v/>
          </cell>
          <cell r="D197" t="str">
            <v/>
          </cell>
          <cell r="E197">
            <v>43781</v>
          </cell>
          <cell r="F197">
            <v>43782</v>
          </cell>
          <cell r="G197" t="str">
            <v xml:space="preserve"> 2nd Shift</v>
          </cell>
          <cell r="H197">
            <v>43787</v>
          </cell>
        </row>
        <row r="198">
          <cell r="A198" t="str">
            <v>1920906</v>
          </cell>
          <cell r="B198" t="str">
            <v/>
          </cell>
          <cell r="C198" t="str">
            <v/>
          </cell>
          <cell r="D198" t="str">
            <v/>
          </cell>
          <cell r="E198">
            <v>43781</v>
          </cell>
          <cell r="F198">
            <v>43782</v>
          </cell>
          <cell r="G198" t="str">
            <v xml:space="preserve"> 2nd Shift</v>
          </cell>
          <cell r="H198">
            <v>43783</v>
          </cell>
        </row>
        <row r="199">
          <cell r="A199" t="str">
            <v>1931262</v>
          </cell>
          <cell r="B199" t="str">
            <v/>
          </cell>
          <cell r="C199" t="str">
            <v/>
          </cell>
          <cell r="D199" t="str">
            <v/>
          </cell>
          <cell r="E199">
            <v>43781</v>
          </cell>
          <cell r="F199">
            <v>43782</v>
          </cell>
          <cell r="G199" t="str">
            <v xml:space="preserve"> 2nd Shift</v>
          </cell>
          <cell r="H199">
            <v>43787</v>
          </cell>
        </row>
        <row r="200">
          <cell r="A200" t="str">
            <v>1970032</v>
          </cell>
          <cell r="B200" t="str">
            <v/>
          </cell>
          <cell r="C200" t="str">
            <v/>
          </cell>
          <cell r="D200" t="str">
            <v/>
          </cell>
          <cell r="E200">
            <v>43781</v>
          </cell>
          <cell r="F200">
            <v>43782</v>
          </cell>
          <cell r="G200" t="str">
            <v xml:space="preserve"> 2nd Shift</v>
          </cell>
          <cell r="H200">
            <v>43787</v>
          </cell>
        </row>
        <row r="201">
          <cell r="A201" t="str">
            <v>1920930W</v>
          </cell>
          <cell r="B201" t="str">
            <v/>
          </cell>
          <cell r="C201" t="str">
            <v/>
          </cell>
          <cell r="D201" t="str">
            <v/>
          </cell>
          <cell r="E201">
            <v>43781</v>
          </cell>
          <cell r="F201">
            <v>43782</v>
          </cell>
          <cell r="G201" t="str">
            <v xml:space="preserve"> 2nd Shift</v>
          </cell>
          <cell r="H201">
            <v>43787</v>
          </cell>
        </row>
        <row r="202">
          <cell r="A202" t="str">
            <v>1931220</v>
          </cell>
          <cell r="B202" t="str">
            <v/>
          </cell>
          <cell r="C202" t="str">
            <v/>
          </cell>
          <cell r="D202" t="str">
            <v/>
          </cell>
          <cell r="E202">
            <v>43781</v>
          </cell>
          <cell r="F202">
            <v>43782</v>
          </cell>
          <cell r="G202" t="str">
            <v xml:space="preserve"> 2nd Shift</v>
          </cell>
          <cell r="H202">
            <v>43787</v>
          </cell>
        </row>
        <row r="203">
          <cell r="A203" t="str">
            <v>1931267</v>
          </cell>
          <cell r="B203" t="str">
            <v/>
          </cell>
          <cell r="C203" t="str">
            <v/>
          </cell>
          <cell r="D203" t="str">
            <v/>
          </cell>
          <cell r="E203">
            <v>43781</v>
          </cell>
          <cell r="F203">
            <v>43782</v>
          </cell>
          <cell r="G203" t="str">
            <v xml:space="preserve"> 2nd Shift</v>
          </cell>
          <cell r="H203">
            <v>43787</v>
          </cell>
        </row>
        <row r="204">
          <cell r="A204" t="str">
            <v>1931290</v>
          </cell>
          <cell r="B204" t="str">
            <v/>
          </cell>
          <cell r="C204" t="str">
            <v/>
          </cell>
          <cell r="D204" t="str">
            <v/>
          </cell>
          <cell r="E204">
            <v>43782</v>
          </cell>
          <cell r="F204">
            <v>43783</v>
          </cell>
          <cell r="G204" t="str">
            <v xml:space="preserve"> 1st Shift</v>
          </cell>
          <cell r="H204">
            <v>43788</v>
          </cell>
        </row>
        <row r="205">
          <cell r="A205" t="str">
            <v>1931292</v>
          </cell>
          <cell r="B205" t="str">
            <v/>
          </cell>
          <cell r="C205" t="str">
            <v/>
          </cell>
          <cell r="D205" t="str">
            <v/>
          </cell>
          <cell r="E205">
            <v>43782</v>
          </cell>
          <cell r="F205">
            <v>43783</v>
          </cell>
          <cell r="G205" t="str">
            <v xml:space="preserve"> 1st Shift</v>
          </cell>
          <cell r="H205">
            <v>43788</v>
          </cell>
        </row>
        <row r="206">
          <cell r="A206" t="str">
            <v>1931300</v>
          </cell>
          <cell r="B206" t="str">
            <v/>
          </cell>
          <cell r="C206" t="str">
            <v/>
          </cell>
          <cell r="D206" t="str">
            <v/>
          </cell>
          <cell r="E206">
            <v>43782</v>
          </cell>
          <cell r="F206">
            <v>43783</v>
          </cell>
          <cell r="G206" t="str">
            <v xml:space="preserve"> 1st Shift</v>
          </cell>
          <cell r="H206">
            <v>43788</v>
          </cell>
        </row>
        <row r="207">
          <cell r="A207" t="str">
            <v>1931293</v>
          </cell>
          <cell r="B207" t="str">
            <v/>
          </cell>
          <cell r="C207" t="str">
            <v/>
          </cell>
          <cell r="D207" t="str">
            <v/>
          </cell>
          <cell r="E207">
            <v>43782</v>
          </cell>
          <cell r="F207">
            <v>43783</v>
          </cell>
          <cell r="G207" t="str">
            <v xml:space="preserve"> 1st Shift</v>
          </cell>
          <cell r="H207">
            <v>43788</v>
          </cell>
        </row>
        <row r="208">
          <cell r="A208" t="str">
            <v>1931343</v>
          </cell>
          <cell r="B208" t="str">
            <v/>
          </cell>
          <cell r="C208" t="str">
            <v/>
          </cell>
          <cell r="D208" t="str">
            <v/>
          </cell>
          <cell r="E208">
            <v>43782</v>
          </cell>
          <cell r="F208">
            <v>43783</v>
          </cell>
          <cell r="G208" t="str">
            <v xml:space="preserve"> 1st Shift</v>
          </cell>
          <cell r="H208">
            <v>43788</v>
          </cell>
        </row>
        <row r="209">
          <cell r="A209" t="str">
            <v>1920836</v>
          </cell>
          <cell r="B209" t="str">
            <v/>
          </cell>
          <cell r="C209" t="str">
            <v/>
          </cell>
          <cell r="D209" t="str">
            <v/>
          </cell>
          <cell r="E209">
            <v>43781</v>
          </cell>
          <cell r="F209">
            <v>43783</v>
          </cell>
          <cell r="G209" t="str">
            <v xml:space="preserve"> 1st Shift</v>
          </cell>
          <cell r="H209">
            <v>43783</v>
          </cell>
        </row>
        <row r="210">
          <cell r="A210" t="str">
            <v>1920885</v>
          </cell>
          <cell r="B210" t="str">
            <v/>
          </cell>
          <cell r="C210" t="str">
            <v/>
          </cell>
          <cell r="D210" t="str">
            <v/>
          </cell>
          <cell r="E210">
            <v>43782</v>
          </cell>
          <cell r="F210">
            <v>43783</v>
          </cell>
          <cell r="G210" t="str">
            <v xml:space="preserve"> 2nd Shift</v>
          </cell>
          <cell r="H210">
            <v>43787</v>
          </cell>
        </row>
        <row r="211">
          <cell r="A211" t="str">
            <v>1920895</v>
          </cell>
          <cell r="B211" t="str">
            <v/>
          </cell>
          <cell r="C211" t="str">
            <v/>
          </cell>
          <cell r="D211" t="str">
            <v/>
          </cell>
          <cell r="E211">
            <v>43782</v>
          </cell>
          <cell r="F211">
            <v>43783</v>
          </cell>
          <cell r="G211" t="str">
            <v xml:space="preserve"> 2nd Shift</v>
          </cell>
          <cell r="H211">
            <v>43787</v>
          </cell>
        </row>
        <row r="212">
          <cell r="A212" t="str">
            <v>1931268</v>
          </cell>
          <cell r="B212" t="str">
            <v/>
          </cell>
          <cell r="C212" t="str">
            <v/>
          </cell>
          <cell r="D212" t="str">
            <v/>
          </cell>
          <cell r="E212">
            <v>43782</v>
          </cell>
          <cell r="F212">
            <v>43783</v>
          </cell>
          <cell r="G212" t="str">
            <v xml:space="preserve"> 2nd Shift</v>
          </cell>
          <cell r="H212">
            <v>43788</v>
          </cell>
        </row>
        <row r="213">
          <cell r="A213" t="str">
            <v>1931264</v>
          </cell>
          <cell r="B213" t="str">
            <v/>
          </cell>
          <cell r="C213" t="str">
            <v/>
          </cell>
          <cell r="D213" t="str">
            <v/>
          </cell>
          <cell r="E213">
            <v>43782</v>
          </cell>
          <cell r="F213">
            <v>43783</v>
          </cell>
          <cell r="G213" t="str">
            <v xml:space="preserve"> 2nd Shift</v>
          </cell>
          <cell r="H213">
            <v>43788</v>
          </cell>
        </row>
        <row r="214">
          <cell r="A214" t="str">
            <v>1931287</v>
          </cell>
          <cell r="B214" t="str">
            <v/>
          </cell>
          <cell r="C214" t="str">
            <v/>
          </cell>
          <cell r="D214" t="str">
            <v/>
          </cell>
          <cell r="E214">
            <v>43782</v>
          </cell>
          <cell r="F214">
            <v>43783</v>
          </cell>
          <cell r="G214" t="str">
            <v xml:space="preserve"> 2nd Shift</v>
          </cell>
          <cell r="H214">
            <v>43788</v>
          </cell>
        </row>
        <row r="215">
          <cell r="A215" t="str">
            <v>1920889</v>
          </cell>
          <cell r="B215" t="str">
            <v/>
          </cell>
          <cell r="C215" t="str">
            <v/>
          </cell>
          <cell r="D215" t="str">
            <v/>
          </cell>
          <cell r="E215">
            <v>43782</v>
          </cell>
          <cell r="F215">
            <v>43783</v>
          </cell>
          <cell r="G215" t="str">
            <v xml:space="preserve"> 2nd Shift</v>
          </cell>
          <cell r="H215">
            <v>43787</v>
          </cell>
        </row>
        <row r="216">
          <cell r="A216" t="str">
            <v>1910399</v>
          </cell>
          <cell r="B216" t="str">
            <v/>
          </cell>
          <cell r="C216" t="str">
            <v/>
          </cell>
          <cell r="D216" t="str">
            <v/>
          </cell>
          <cell r="E216">
            <v>43783</v>
          </cell>
          <cell r="F216">
            <v>43787</v>
          </cell>
          <cell r="G216" t="str">
            <v xml:space="preserve"> 1st Shift</v>
          </cell>
          <cell r="H216">
            <v>43789</v>
          </cell>
        </row>
        <row r="217">
          <cell r="A217" t="str">
            <v>1920909</v>
          </cell>
          <cell r="B217" t="str">
            <v/>
          </cell>
          <cell r="C217" t="str">
            <v/>
          </cell>
          <cell r="D217" t="str">
            <v/>
          </cell>
          <cell r="E217">
            <v>43783</v>
          </cell>
          <cell r="F217">
            <v>43787</v>
          </cell>
          <cell r="G217" t="str">
            <v xml:space="preserve"> 1st Shift</v>
          </cell>
          <cell r="H217">
            <v>43788</v>
          </cell>
        </row>
        <row r="218">
          <cell r="A218" t="str">
            <v>1931315</v>
          </cell>
          <cell r="B218" t="str">
            <v/>
          </cell>
          <cell r="C218" t="str">
            <v/>
          </cell>
          <cell r="D218" t="str">
            <v/>
          </cell>
          <cell r="E218">
            <v>43783</v>
          </cell>
          <cell r="F218">
            <v>43787</v>
          </cell>
          <cell r="G218" t="str">
            <v xml:space="preserve"> 1st Shift</v>
          </cell>
          <cell r="H218">
            <v>43789</v>
          </cell>
        </row>
        <row r="219">
          <cell r="A219" t="str">
            <v>1931302</v>
          </cell>
          <cell r="B219" t="str">
            <v/>
          </cell>
          <cell r="C219" t="str">
            <v/>
          </cell>
          <cell r="D219" t="str">
            <v/>
          </cell>
          <cell r="E219">
            <v>43783</v>
          </cell>
          <cell r="F219">
            <v>43787</v>
          </cell>
          <cell r="G219" t="str">
            <v xml:space="preserve"> 1st Shift</v>
          </cell>
          <cell r="H219">
            <v>43789</v>
          </cell>
        </row>
        <row r="220">
          <cell r="A220" t="str">
            <v>1920894</v>
          </cell>
          <cell r="B220" t="str">
            <v/>
          </cell>
          <cell r="C220" t="str">
            <v/>
          </cell>
          <cell r="D220" t="str">
            <v/>
          </cell>
          <cell r="E220">
            <v>43783</v>
          </cell>
          <cell r="F220">
            <v>43787</v>
          </cell>
          <cell r="G220" t="str">
            <v xml:space="preserve"> 1st Shift</v>
          </cell>
          <cell r="H220">
            <v>43788</v>
          </cell>
        </row>
        <row r="221">
          <cell r="A221" t="str">
            <v>1931311</v>
          </cell>
          <cell r="B221" t="str">
            <v/>
          </cell>
          <cell r="C221" t="str">
            <v/>
          </cell>
          <cell r="D221" t="str">
            <v/>
          </cell>
          <cell r="E221">
            <v>43783</v>
          </cell>
          <cell r="F221">
            <v>43787</v>
          </cell>
          <cell r="G221" t="str">
            <v xml:space="preserve"> 1st Shift</v>
          </cell>
          <cell r="H221">
            <v>43789</v>
          </cell>
        </row>
        <row r="222">
          <cell r="A222" t="str">
            <v>1931310</v>
          </cell>
          <cell r="B222" t="str">
            <v/>
          </cell>
          <cell r="C222" t="str">
            <v/>
          </cell>
          <cell r="D222" t="str">
            <v/>
          </cell>
          <cell r="E222">
            <v>43783</v>
          </cell>
          <cell r="F222">
            <v>43787</v>
          </cell>
          <cell r="G222" t="str">
            <v xml:space="preserve"> 1st Shift</v>
          </cell>
          <cell r="H222">
            <v>43789</v>
          </cell>
        </row>
        <row r="223">
          <cell r="A223" t="str">
            <v>1920837</v>
          </cell>
          <cell r="B223" t="str">
            <v/>
          </cell>
          <cell r="C223" t="str">
            <v/>
          </cell>
          <cell r="D223" t="str">
            <v/>
          </cell>
          <cell r="E223">
            <v>43782</v>
          </cell>
          <cell r="F223">
            <v>43787</v>
          </cell>
          <cell r="G223" t="str">
            <v xml:space="preserve"> 1st Shift</v>
          </cell>
          <cell r="H223">
            <v>43787</v>
          </cell>
        </row>
        <row r="224">
          <cell r="A224" t="str">
            <v>1931312</v>
          </cell>
          <cell r="B224" t="str">
            <v/>
          </cell>
          <cell r="C224" t="str">
            <v/>
          </cell>
          <cell r="D224" t="str">
            <v/>
          </cell>
          <cell r="E224">
            <v>43783</v>
          </cell>
          <cell r="F224">
            <v>43787</v>
          </cell>
          <cell r="G224" t="str">
            <v xml:space="preserve"> 1st Shift</v>
          </cell>
          <cell r="H224">
            <v>43789</v>
          </cell>
        </row>
        <row r="225">
          <cell r="A225" t="str">
            <v>1931365</v>
          </cell>
          <cell r="B225" t="str">
            <v/>
          </cell>
          <cell r="C225" t="str">
            <v/>
          </cell>
          <cell r="D225" t="str">
            <v/>
          </cell>
          <cell r="E225">
            <v>43783</v>
          </cell>
          <cell r="F225">
            <v>43787</v>
          </cell>
          <cell r="G225" t="str">
            <v xml:space="preserve"> 1st Shift</v>
          </cell>
          <cell r="H225">
            <v>43789</v>
          </cell>
        </row>
        <row r="226">
          <cell r="A226" t="str">
            <v>1920813</v>
          </cell>
          <cell r="B226" t="str">
            <v/>
          </cell>
          <cell r="C226" t="str">
            <v/>
          </cell>
          <cell r="D226" t="str">
            <v/>
          </cell>
          <cell r="E226">
            <v>43782</v>
          </cell>
          <cell r="F226">
            <v>43787</v>
          </cell>
          <cell r="G226" t="str">
            <v xml:space="preserve"> 1st Shift</v>
          </cell>
          <cell r="H226">
            <v>43787</v>
          </cell>
        </row>
        <row r="227">
          <cell r="A227" t="str">
            <v>1931298</v>
          </cell>
          <cell r="B227" t="str">
            <v/>
          </cell>
          <cell r="C227" t="str">
            <v/>
          </cell>
          <cell r="D227" t="str">
            <v/>
          </cell>
          <cell r="E227">
            <v>43783</v>
          </cell>
          <cell r="F227">
            <v>43787</v>
          </cell>
          <cell r="G227" t="str">
            <v xml:space="preserve"> 2nd Shift</v>
          </cell>
          <cell r="H227">
            <v>43789</v>
          </cell>
        </row>
        <row r="228">
          <cell r="A228" t="str">
            <v>1931297</v>
          </cell>
          <cell r="B228" t="str">
            <v/>
          </cell>
          <cell r="C228" t="str">
            <v/>
          </cell>
          <cell r="D228" t="str">
            <v/>
          </cell>
          <cell r="E228">
            <v>43783</v>
          </cell>
          <cell r="F228">
            <v>43787</v>
          </cell>
          <cell r="G228" t="str">
            <v xml:space="preserve"> 2nd Shift</v>
          </cell>
          <cell r="H228">
            <v>43789</v>
          </cell>
        </row>
        <row r="229">
          <cell r="A229" t="str">
            <v>1931295</v>
          </cell>
          <cell r="B229" t="str">
            <v/>
          </cell>
          <cell r="C229" t="str">
            <v/>
          </cell>
          <cell r="D229" t="str">
            <v/>
          </cell>
          <cell r="E229">
            <v>43783</v>
          </cell>
          <cell r="F229">
            <v>43787</v>
          </cell>
          <cell r="G229" t="str">
            <v xml:space="preserve"> 2nd Shift</v>
          </cell>
          <cell r="H229">
            <v>43789</v>
          </cell>
        </row>
        <row r="230">
          <cell r="A230" t="str">
            <v>1931306</v>
          </cell>
          <cell r="B230" t="str">
            <v/>
          </cell>
          <cell r="C230" t="str">
            <v/>
          </cell>
          <cell r="D230" t="str">
            <v/>
          </cell>
          <cell r="E230">
            <v>43783</v>
          </cell>
          <cell r="F230">
            <v>43787</v>
          </cell>
          <cell r="G230" t="str">
            <v xml:space="preserve"> 2nd Shift</v>
          </cell>
          <cell r="H230">
            <v>43789</v>
          </cell>
        </row>
        <row r="231">
          <cell r="A231" t="str">
            <v>1931314</v>
          </cell>
          <cell r="B231" t="str">
            <v/>
          </cell>
          <cell r="C231" t="str">
            <v/>
          </cell>
          <cell r="D231" t="str">
            <v/>
          </cell>
          <cell r="E231">
            <v>43783</v>
          </cell>
          <cell r="F231">
            <v>43787</v>
          </cell>
          <cell r="G231" t="str">
            <v xml:space="preserve"> 2nd Shift</v>
          </cell>
          <cell r="H231">
            <v>43789</v>
          </cell>
        </row>
        <row r="232">
          <cell r="A232" t="str">
            <v>1910402</v>
          </cell>
          <cell r="B232" t="str">
            <v/>
          </cell>
          <cell r="C232" t="str">
            <v/>
          </cell>
          <cell r="D232" t="str">
            <v/>
          </cell>
          <cell r="E232">
            <v>43787</v>
          </cell>
          <cell r="F232">
            <v>43788</v>
          </cell>
          <cell r="G232" t="str">
            <v xml:space="preserve"> 1st Shift</v>
          </cell>
          <cell r="H232">
            <v>43790</v>
          </cell>
        </row>
        <row r="233">
          <cell r="A233" t="str">
            <v>1910407</v>
          </cell>
          <cell r="B233" t="str">
            <v/>
          </cell>
          <cell r="C233" t="str">
            <v/>
          </cell>
          <cell r="D233" t="str">
            <v/>
          </cell>
          <cell r="E233">
            <v>43787</v>
          </cell>
          <cell r="F233">
            <v>43788</v>
          </cell>
          <cell r="G233" t="str">
            <v xml:space="preserve"> 1st Shift</v>
          </cell>
          <cell r="H233">
            <v>43790</v>
          </cell>
        </row>
        <row r="234">
          <cell r="A234" t="str">
            <v>1920914</v>
          </cell>
          <cell r="B234" t="str">
            <v/>
          </cell>
          <cell r="C234" t="str">
            <v/>
          </cell>
          <cell r="D234" t="str">
            <v/>
          </cell>
          <cell r="E234">
            <v>43787</v>
          </cell>
          <cell r="F234">
            <v>43788</v>
          </cell>
          <cell r="G234" t="str">
            <v xml:space="preserve"> 1st Shift</v>
          </cell>
          <cell r="H234">
            <v>43789</v>
          </cell>
        </row>
        <row r="235">
          <cell r="A235" t="str">
            <v>1931334</v>
          </cell>
          <cell r="B235" t="str">
            <v/>
          </cell>
          <cell r="C235" t="str">
            <v/>
          </cell>
          <cell r="D235" t="str">
            <v/>
          </cell>
          <cell r="E235">
            <v>43787</v>
          </cell>
          <cell r="F235">
            <v>43788</v>
          </cell>
          <cell r="G235" t="str">
            <v xml:space="preserve"> 1st Shift</v>
          </cell>
          <cell r="H235">
            <v>43790</v>
          </cell>
        </row>
        <row r="236">
          <cell r="A236" t="str">
            <v>1931330</v>
          </cell>
          <cell r="B236" t="str">
            <v/>
          </cell>
          <cell r="C236" t="str">
            <v/>
          </cell>
          <cell r="D236" t="str">
            <v/>
          </cell>
          <cell r="E236">
            <v>43787</v>
          </cell>
          <cell r="F236">
            <v>43788</v>
          </cell>
          <cell r="G236" t="str">
            <v xml:space="preserve"> 1st Shift</v>
          </cell>
          <cell r="H236">
            <v>43790</v>
          </cell>
        </row>
        <row r="237">
          <cell r="A237" t="str">
            <v>1931333</v>
          </cell>
          <cell r="B237" t="str">
            <v/>
          </cell>
          <cell r="C237" t="str">
            <v/>
          </cell>
          <cell r="D237" t="str">
            <v/>
          </cell>
          <cell r="E237">
            <v>43787</v>
          </cell>
          <cell r="F237">
            <v>43788</v>
          </cell>
          <cell r="G237" t="str">
            <v xml:space="preserve"> 1st Shift</v>
          </cell>
          <cell r="H237">
            <v>43790</v>
          </cell>
        </row>
        <row r="238">
          <cell r="A238" t="str">
            <v>1931326</v>
          </cell>
          <cell r="B238" t="str">
            <v/>
          </cell>
          <cell r="C238" t="str">
            <v/>
          </cell>
          <cell r="D238" t="str">
            <v/>
          </cell>
          <cell r="E238">
            <v>43787</v>
          </cell>
          <cell r="F238">
            <v>43788</v>
          </cell>
          <cell r="G238" t="str">
            <v xml:space="preserve"> 1st Shift</v>
          </cell>
          <cell r="H238">
            <v>43790</v>
          </cell>
        </row>
        <row r="239">
          <cell r="A239" t="str">
            <v>1931338</v>
          </cell>
          <cell r="B239" t="str">
            <v/>
          </cell>
          <cell r="C239" t="str">
            <v/>
          </cell>
          <cell r="D239" t="str">
            <v/>
          </cell>
          <cell r="E239">
            <v>43787</v>
          </cell>
          <cell r="F239">
            <v>43788</v>
          </cell>
          <cell r="G239" t="str">
            <v xml:space="preserve"> 1st Shift</v>
          </cell>
          <cell r="H239">
            <v>43790</v>
          </cell>
        </row>
        <row r="240">
          <cell r="A240" t="str">
            <v>1931328</v>
          </cell>
          <cell r="B240" t="str">
            <v/>
          </cell>
          <cell r="C240" t="str">
            <v/>
          </cell>
          <cell r="D240" t="str">
            <v/>
          </cell>
          <cell r="E240">
            <v>43787</v>
          </cell>
          <cell r="F240">
            <v>43788</v>
          </cell>
          <cell r="G240" t="str">
            <v xml:space="preserve"> 1st Shift</v>
          </cell>
          <cell r="H240">
            <v>43790</v>
          </cell>
        </row>
        <row r="241">
          <cell r="A241" t="str">
            <v>1931329</v>
          </cell>
          <cell r="B241" t="str">
            <v/>
          </cell>
          <cell r="C241" t="str">
            <v/>
          </cell>
          <cell r="D241" t="str">
            <v/>
          </cell>
          <cell r="E241">
            <v>43787</v>
          </cell>
          <cell r="F241">
            <v>43788</v>
          </cell>
          <cell r="G241" t="str">
            <v xml:space="preserve"> 1st Shift</v>
          </cell>
          <cell r="H241">
            <v>43790</v>
          </cell>
        </row>
        <row r="242">
          <cell r="A242" t="str">
            <v>1920900</v>
          </cell>
          <cell r="B242" t="str">
            <v/>
          </cell>
          <cell r="C242" t="str">
            <v/>
          </cell>
          <cell r="D242" t="str">
            <v/>
          </cell>
          <cell r="E242">
            <v>43783</v>
          </cell>
          <cell r="F242">
            <v>43788</v>
          </cell>
          <cell r="G242" t="str">
            <v xml:space="preserve"> 1st Shift</v>
          </cell>
          <cell r="H242">
            <v>43788</v>
          </cell>
        </row>
        <row r="243">
          <cell r="A243" t="str">
            <v>1910395</v>
          </cell>
          <cell r="B243" t="str">
            <v/>
          </cell>
          <cell r="C243" t="str">
            <v/>
          </cell>
          <cell r="D243" t="str">
            <v/>
          </cell>
          <cell r="E243">
            <v>43787</v>
          </cell>
          <cell r="F243">
            <v>43788</v>
          </cell>
          <cell r="G243" t="str">
            <v xml:space="preserve"> 2nd Shift</v>
          </cell>
          <cell r="H243">
            <v>43789</v>
          </cell>
        </row>
        <row r="244">
          <cell r="A244" t="str">
            <v>1931309</v>
          </cell>
          <cell r="B244" t="str">
            <v/>
          </cell>
          <cell r="C244" t="str">
            <v/>
          </cell>
          <cell r="D244" t="str">
            <v/>
          </cell>
          <cell r="E244">
            <v>43787</v>
          </cell>
          <cell r="F244">
            <v>43788</v>
          </cell>
          <cell r="G244" t="str">
            <v xml:space="preserve"> 2nd Shift</v>
          </cell>
          <cell r="H244">
            <v>43790</v>
          </cell>
        </row>
        <row r="245">
          <cell r="A245" t="str">
            <v>1931308</v>
          </cell>
          <cell r="B245" t="str">
            <v/>
          </cell>
          <cell r="C245" t="str">
            <v/>
          </cell>
          <cell r="D245" t="str">
            <v/>
          </cell>
          <cell r="E245">
            <v>43787</v>
          </cell>
          <cell r="F245">
            <v>43788</v>
          </cell>
          <cell r="G245" t="str">
            <v xml:space="preserve"> 2nd Shift</v>
          </cell>
          <cell r="H245">
            <v>43790</v>
          </cell>
        </row>
        <row r="246">
          <cell r="A246" t="str">
            <v>1931327</v>
          </cell>
          <cell r="B246" t="str">
            <v/>
          </cell>
          <cell r="C246" t="str">
            <v/>
          </cell>
          <cell r="D246" t="str">
            <v/>
          </cell>
          <cell r="E246">
            <v>43787</v>
          </cell>
          <cell r="F246">
            <v>43788</v>
          </cell>
          <cell r="G246" t="str">
            <v xml:space="preserve"> 2nd Shift</v>
          </cell>
          <cell r="H246">
            <v>43790</v>
          </cell>
        </row>
        <row r="247">
          <cell r="A247" t="str">
            <v>1910387</v>
          </cell>
          <cell r="B247" t="str">
            <v/>
          </cell>
          <cell r="C247" t="str">
            <v/>
          </cell>
          <cell r="D247" t="str">
            <v/>
          </cell>
          <cell r="E247">
            <v>43787</v>
          </cell>
          <cell r="F247">
            <v>43788</v>
          </cell>
          <cell r="G247" t="str">
            <v xml:space="preserve"> 2nd Shift</v>
          </cell>
          <cell r="H247">
            <v>43790</v>
          </cell>
        </row>
        <row r="248">
          <cell r="A248" t="str">
            <v>1931331</v>
          </cell>
          <cell r="B248" t="str">
            <v/>
          </cell>
          <cell r="C248" t="str">
            <v/>
          </cell>
          <cell r="D248" t="str">
            <v/>
          </cell>
          <cell r="E248">
            <v>43787</v>
          </cell>
          <cell r="F248">
            <v>43788</v>
          </cell>
          <cell r="G248" t="str">
            <v xml:space="preserve"> 2nd Shift</v>
          </cell>
          <cell r="H248">
            <v>43790</v>
          </cell>
        </row>
        <row r="249">
          <cell r="A249" t="str">
            <v>1910412</v>
          </cell>
          <cell r="B249" t="str">
            <v/>
          </cell>
          <cell r="C249" t="str">
            <v/>
          </cell>
          <cell r="D249" t="str">
            <v/>
          </cell>
          <cell r="E249">
            <v>43787</v>
          </cell>
          <cell r="F249">
            <v>43788</v>
          </cell>
          <cell r="G249" t="str">
            <v xml:space="preserve"> 2nd Shift</v>
          </cell>
          <cell r="H249">
            <v>43789</v>
          </cell>
        </row>
        <row r="250">
          <cell r="A250" t="str">
            <v>1910408</v>
          </cell>
          <cell r="B250" t="str">
            <v/>
          </cell>
          <cell r="C250" t="str">
            <v/>
          </cell>
          <cell r="D250" t="str">
            <v/>
          </cell>
          <cell r="E250">
            <v>43787</v>
          </cell>
          <cell r="F250">
            <v>43788</v>
          </cell>
          <cell r="G250" t="str">
            <v xml:space="preserve"> 2nd Shift</v>
          </cell>
          <cell r="H250">
            <v>43790</v>
          </cell>
        </row>
        <row r="251">
          <cell r="A251" t="str">
            <v>1910406</v>
          </cell>
          <cell r="B251" t="str">
            <v/>
          </cell>
          <cell r="C251" t="str">
            <v/>
          </cell>
          <cell r="D251" t="str">
            <v/>
          </cell>
          <cell r="E251">
            <v>43787</v>
          </cell>
          <cell r="F251">
            <v>43788</v>
          </cell>
          <cell r="G251" t="str">
            <v xml:space="preserve"> 2nd Shift</v>
          </cell>
          <cell r="H251">
            <v>43790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>
            <v>43787</v>
          </cell>
          <cell r="F252">
            <v>43788</v>
          </cell>
          <cell r="G252" t="str">
            <v xml:space="preserve"> 2nd Shift</v>
          </cell>
          <cell r="H252">
            <v>43790</v>
          </cell>
        </row>
        <row r="253">
          <cell r="A253" t="str">
            <v>1920897</v>
          </cell>
          <cell r="B253" t="str">
            <v/>
          </cell>
          <cell r="C253" t="str">
            <v/>
          </cell>
          <cell r="D253" t="str">
            <v/>
          </cell>
          <cell r="E253">
            <v>43788</v>
          </cell>
          <cell r="F253">
            <v>43789</v>
          </cell>
          <cell r="G253" t="str">
            <v xml:space="preserve"> 1st Shift</v>
          </cell>
          <cell r="H253">
            <v>43790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>
            <v>43788</v>
          </cell>
          <cell r="F254">
            <v>43789</v>
          </cell>
          <cell r="G254" t="str">
            <v xml:space="preserve"> 1st Shift</v>
          </cell>
          <cell r="H254">
            <v>43790</v>
          </cell>
        </row>
        <row r="255">
          <cell r="A255" t="str">
            <v>1931342</v>
          </cell>
          <cell r="B255" t="str">
            <v/>
          </cell>
          <cell r="C255" t="str">
            <v/>
          </cell>
          <cell r="D255" t="str">
            <v/>
          </cell>
          <cell r="E255">
            <v>43788</v>
          </cell>
          <cell r="F255">
            <v>43789</v>
          </cell>
          <cell r="G255" t="str">
            <v xml:space="preserve"> 1st Shift</v>
          </cell>
          <cell r="H255">
            <v>43794</v>
          </cell>
        </row>
        <row r="256">
          <cell r="A256" t="str">
            <v>1931367</v>
          </cell>
          <cell r="B256" t="str">
            <v/>
          </cell>
          <cell r="C256" t="str">
            <v/>
          </cell>
          <cell r="D256" t="str">
            <v/>
          </cell>
          <cell r="E256">
            <v>43788</v>
          </cell>
          <cell r="F256">
            <v>43789</v>
          </cell>
          <cell r="G256" t="str">
            <v xml:space="preserve"> 1st Shift</v>
          </cell>
          <cell r="H256">
            <v>43794</v>
          </cell>
        </row>
        <row r="257">
          <cell r="A257" t="str">
            <v>1931369</v>
          </cell>
          <cell r="B257" t="str">
            <v/>
          </cell>
          <cell r="C257" t="str">
            <v/>
          </cell>
          <cell r="D257" t="str">
            <v/>
          </cell>
          <cell r="E257">
            <v>43789</v>
          </cell>
          <cell r="F257">
            <v>43790</v>
          </cell>
          <cell r="G257" t="str">
            <v xml:space="preserve"> 1st Shift</v>
          </cell>
          <cell r="H257">
            <v>43795</v>
          </cell>
        </row>
        <row r="258">
          <cell r="A258" t="str">
            <v>1931366</v>
          </cell>
          <cell r="B258" t="str">
            <v/>
          </cell>
          <cell r="C258" t="str">
            <v/>
          </cell>
          <cell r="D258" t="str">
            <v/>
          </cell>
          <cell r="E258">
            <v>43789</v>
          </cell>
          <cell r="F258">
            <v>43790</v>
          </cell>
          <cell r="G258" t="str">
            <v xml:space="preserve"> 1st Shift</v>
          </cell>
          <cell r="H258">
            <v>43795</v>
          </cell>
        </row>
        <row r="259">
          <cell r="A259" t="str">
            <v>1931368</v>
          </cell>
          <cell r="B259" t="str">
            <v/>
          </cell>
          <cell r="C259" t="str">
            <v/>
          </cell>
          <cell r="D259" t="str">
            <v/>
          </cell>
          <cell r="E259">
            <v>43789</v>
          </cell>
          <cell r="F259">
            <v>43790</v>
          </cell>
          <cell r="G259" t="str">
            <v xml:space="preserve"> 2nd Shift</v>
          </cell>
          <cell r="H259">
            <v>43795</v>
          </cell>
        </row>
        <row r="260">
          <cell r="A260" t="str">
            <v>1910405W</v>
          </cell>
          <cell r="B260" t="str">
            <v/>
          </cell>
          <cell r="C260" t="str">
            <v/>
          </cell>
          <cell r="D260" t="str">
            <v/>
          </cell>
          <cell r="E260">
            <v>43789</v>
          </cell>
          <cell r="F260">
            <v>43790</v>
          </cell>
          <cell r="G260" t="str">
            <v xml:space="preserve"> 2nd Shift</v>
          </cell>
          <cell r="H260">
            <v>43795</v>
          </cell>
        </row>
        <row r="261">
          <cell r="A261" t="str">
            <v>1931335</v>
          </cell>
          <cell r="B261" t="str">
            <v/>
          </cell>
          <cell r="C261" t="str">
            <v/>
          </cell>
          <cell r="D261" t="str">
            <v/>
          </cell>
          <cell r="E261">
            <v>43790</v>
          </cell>
          <cell r="F261">
            <v>43794</v>
          </cell>
          <cell r="G261" t="str">
            <v xml:space="preserve"> 1st Shift</v>
          </cell>
          <cell r="H261">
            <v>43796</v>
          </cell>
        </row>
        <row r="262">
          <cell r="A262" t="str">
            <v>1931324</v>
          </cell>
          <cell r="B262" t="str">
            <v/>
          </cell>
          <cell r="C262" t="str">
            <v/>
          </cell>
          <cell r="D262" t="str">
            <v/>
          </cell>
          <cell r="E262">
            <v>43790</v>
          </cell>
          <cell r="F262">
            <v>43794</v>
          </cell>
          <cell r="G262" t="str">
            <v xml:space="preserve"> 1st Shift</v>
          </cell>
          <cell r="H262">
            <v>43796</v>
          </cell>
        </row>
        <row r="263">
          <cell r="A263" t="str">
            <v>1931323</v>
          </cell>
          <cell r="B263" t="str">
            <v/>
          </cell>
          <cell r="C263" t="str">
            <v/>
          </cell>
          <cell r="D263" t="str">
            <v/>
          </cell>
          <cell r="E263">
            <v>43790</v>
          </cell>
          <cell r="F263">
            <v>43794</v>
          </cell>
          <cell r="G263" t="str">
            <v xml:space="preserve"> 1st Shift</v>
          </cell>
          <cell r="H263">
            <v>43796</v>
          </cell>
        </row>
        <row r="264">
          <cell r="A264" t="str">
            <v>1931322</v>
          </cell>
          <cell r="B264" t="str">
            <v/>
          </cell>
          <cell r="C264" t="str">
            <v/>
          </cell>
          <cell r="D264" t="str">
            <v/>
          </cell>
          <cell r="E264">
            <v>43790</v>
          </cell>
          <cell r="F264">
            <v>43794</v>
          </cell>
          <cell r="G264" t="str">
            <v xml:space="preserve"> 1st Shift</v>
          </cell>
          <cell r="H264">
            <v>43796</v>
          </cell>
        </row>
        <row r="265">
          <cell r="A265" t="str">
            <v>1931370</v>
          </cell>
          <cell r="B265" t="str">
            <v/>
          </cell>
          <cell r="C265" t="str">
            <v/>
          </cell>
          <cell r="D265" t="str">
            <v/>
          </cell>
          <cell r="E265">
            <v>43790</v>
          </cell>
          <cell r="F265">
            <v>43794</v>
          </cell>
          <cell r="G265" t="str">
            <v xml:space="preserve"> 2nd Shift</v>
          </cell>
          <cell r="H265">
            <v>43796</v>
          </cell>
        </row>
        <row r="266">
          <cell r="A266" t="str">
            <v>1931336</v>
          </cell>
          <cell r="B266" t="str">
            <v/>
          </cell>
          <cell r="C266" t="str">
            <v/>
          </cell>
          <cell r="D266" t="str">
            <v/>
          </cell>
          <cell r="E266">
            <v>43790</v>
          </cell>
          <cell r="F266">
            <v>43794</v>
          </cell>
          <cell r="G266" t="str">
            <v xml:space="preserve"> 2nd Shift</v>
          </cell>
          <cell r="H266">
            <v>43796</v>
          </cell>
        </row>
        <row r="267">
          <cell r="A267" t="str">
            <v>1931345</v>
          </cell>
          <cell r="B267" t="str">
            <v/>
          </cell>
          <cell r="C267" t="str">
            <v/>
          </cell>
          <cell r="D267" t="str">
            <v/>
          </cell>
          <cell r="E267">
            <v>43794</v>
          </cell>
          <cell r="F267">
            <v>43795</v>
          </cell>
          <cell r="G267" t="str">
            <v xml:space="preserve"> 1st Shift</v>
          </cell>
          <cell r="H267">
            <v>43801</v>
          </cell>
        </row>
        <row r="268">
          <cell r="A268" t="str">
            <v>1931346</v>
          </cell>
          <cell r="B268" t="str">
            <v/>
          </cell>
          <cell r="C268" t="str">
            <v/>
          </cell>
          <cell r="D268" t="str">
            <v/>
          </cell>
          <cell r="E268">
            <v>43794</v>
          </cell>
          <cell r="F268">
            <v>43795</v>
          </cell>
          <cell r="G268" t="str">
            <v xml:space="preserve"> 1st Shift</v>
          </cell>
          <cell r="H268">
            <v>43801</v>
          </cell>
        </row>
        <row r="269">
          <cell r="A269" t="str">
            <v>1931347</v>
          </cell>
          <cell r="B269" t="str">
            <v/>
          </cell>
          <cell r="C269" t="str">
            <v/>
          </cell>
          <cell r="D269" t="str">
            <v/>
          </cell>
          <cell r="E269">
            <v>43794</v>
          </cell>
          <cell r="F269">
            <v>43795</v>
          </cell>
          <cell r="G269" t="str">
            <v xml:space="preserve"> 1st Shift</v>
          </cell>
          <cell r="H269">
            <v>43801</v>
          </cell>
        </row>
        <row r="270">
          <cell r="A270" t="str">
            <v>1931348</v>
          </cell>
          <cell r="B270" t="str">
            <v/>
          </cell>
          <cell r="C270" t="str">
            <v/>
          </cell>
          <cell r="D270" t="str">
            <v/>
          </cell>
          <cell r="E270">
            <v>43794</v>
          </cell>
          <cell r="F270">
            <v>43795</v>
          </cell>
          <cell r="G270" t="str">
            <v xml:space="preserve"> 1st Shift</v>
          </cell>
          <cell r="H270">
            <v>43801</v>
          </cell>
        </row>
        <row r="271">
          <cell r="A271" t="str">
            <v>1931358</v>
          </cell>
          <cell r="B271" t="str">
            <v/>
          </cell>
          <cell r="C271" t="str">
            <v/>
          </cell>
          <cell r="D271" t="str">
            <v/>
          </cell>
          <cell r="E271">
            <v>43794</v>
          </cell>
          <cell r="F271">
            <v>43795</v>
          </cell>
          <cell r="G271" t="str">
            <v xml:space="preserve"> 1st Shift</v>
          </cell>
          <cell r="H271">
            <v>43801</v>
          </cell>
        </row>
        <row r="272">
          <cell r="A272" t="str">
            <v>1931354</v>
          </cell>
          <cell r="B272" t="str">
            <v/>
          </cell>
          <cell r="C272" t="str">
            <v/>
          </cell>
          <cell r="D272" t="str">
            <v/>
          </cell>
          <cell r="E272">
            <v>43794</v>
          </cell>
          <cell r="F272">
            <v>43795</v>
          </cell>
          <cell r="G272" t="str">
            <v xml:space="preserve"> 1st Shift</v>
          </cell>
          <cell r="H272">
            <v>43801</v>
          </cell>
        </row>
        <row r="273">
          <cell r="A273" t="str">
            <v>1931344</v>
          </cell>
          <cell r="B273" t="str">
            <v/>
          </cell>
          <cell r="C273" t="str">
            <v/>
          </cell>
          <cell r="D273" t="str">
            <v/>
          </cell>
          <cell r="E273">
            <v>43794</v>
          </cell>
          <cell r="F273">
            <v>43795</v>
          </cell>
          <cell r="G273" t="str">
            <v xml:space="preserve"> 2nd Shift</v>
          </cell>
          <cell r="H273">
            <v>43801</v>
          </cell>
        </row>
        <row r="274">
          <cell r="A274" t="str">
            <v>1931321</v>
          </cell>
          <cell r="B274" t="str">
            <v/>
          </cell>
          <cell r="C274" t="str">
            <v/>
          </cell>
          <cell r="D274" t="str">
            <v/>
          </cell>
          <cell r="E274">
            <v>43794</v>
          </cell>
          <cell r="F274">
            <v>43795</v>
          </cell>
          <cell r="G274" t="str">
            <v xml:space="preserve"> 2nd Shift</v>
          </cell>
          <cell r="H274">
            <v>43801</v>
          </cell>
        </row>
        <row r="275">
          <cell r="A275" t="str">
            <v>1920903W</v>
          </cell>
          <cell r="B275" t="str">
            <v/>
          </cell>
          <cell r="C275" t="str">
            <v/>
          </cell>
          <cell r="D275" t="str">
            <v/>
          </cell>
          <cell r="E275">
            <v>43794</v>
          </cell>
          <cell r="F275">
            <v>43795</v>
          </cell>
          <cell r="G275" t="str">
            <v xml:space="preserve"> 2nd Shift</v>
          </cell>
          <cell r="H275">
            <v>43801</v>
          </cell>
        </row>
        <row r="276">
          <cell r="A276" t="str">
            <v>1970034</v>
          </cell>
          <cell r="B276" t="str">
            <v/>
          </cell>
          <cell r="C276" t="str">
            <v/>
          </cell>
          <cell r="D276" t="str">
            <v/>
          </cell>
          <cell r="E276">
            <v>43794</v>
          </cell>
          <cell r="F276">
            <v>43795</v>
          </cell>
          <cell r="G276" t="str">
            <v xml:space="preserve"> 2nd Shift</v>
          </cell>
          <cell r="H276">
            <v>43801</v>
          </cell>
        </row>
        <row r="277">
          <cell r="A277" t="str">
            <v>1931355</v>
          </cell>
          <cell r="B277" t="str">
            <v/>
          </cell>
          <cell r="C277" t="str">
            <v/>
          </cell>
          <cell r="D277" t="str">
            <v/>
          </cell>
          <cell r="E277">
            <v>43794</v>
          </cell>
          <cell r="F277">
            <v>43795</v>
          </cell>
          <cell r="G277" t="str">
            <v xml:space="preserve"> 2nd Shift</v>
          </cell>
          <cell r="H277">
            <v>43801</v>
          </cell>
        </row>
        <row r="278">
          <cell r="A278" t="str">
            <v>1931356</v>
          </cell>
          <cell r="B278" t="str">
            <v/>
          </cell>
          <cell r="C278" t="str">
            <v/>
          </cell>
          <cell r="D278" t="str">
            <v/>
          </cell>
          <cell r="E278">
            <v>43794</v>
          </cell>
          <cell r="F278">
            <v>43795</v>
          </cell>
          <cell r="G278" t="str">
            <v xml:space="preserve"> 2nd Shift</v>
          </cell>
          <cell r="H278">
            <v>43801</v>
          </cell>
        </row>
        <row r="279">
          <cell r="A279" t="str">
            <v>1910409W</v>
          </cell>
          <cell r="B279" t="str">
            <v/>
          </cell>
          <cell r="C279" t="str">
            <v/>
          </cell>
          <cell r="D279" t="str">
            <v/>
          </cell>
          <cell r="E279">
            <v>43795</v>
          </cell>
          <cell r="F279">
            <v>43796</v>
          </cell>
          <cell r="G279" t="str">
            <v xml:space="preserve"> 1st Shift</v>
          </cell>
          <cell r="H279">
            <v>43802</v>
          </cell>
        </row>
        <row r="280">
          <cell r="A280" t="str">
            <v>1931353</v>
          </cell>
          <cell r="B280" t="str">
            <v/>
          </cell>
          <cell r="C280" t="str">
            <v/>
          </cell>
          <cell r="D280" t="str">
            <v/>
          </cell>
          <cell r="E280">
            <v>43795</v>
          </cell>
          <cell r="F280">
            <v>43796</v>
          </cell>
          <cell r="G280" t="str">
            <v xml:space="preserve"> 1st Shift</v>
          </cell>
          <cell r="H280">
            <v>43802</v>
          </cell>
        </row>
        <row r="281">
          <cell r="A281" t="str">
            <v>1931350</v>
          </cell>
          <cell r="B281" t="str">
            <v/>
          </cell>
          <cell r="C281" t="str">
            <v/>
          </cell>
          <cell r="D281" t="str">
            <v/>
          </cell>
          <cell r="E281">
            <v>43795</v>
          </cell>
          <cell r="F281">
            <v>43796</v>
          </cell>
          <cell r="G281" t="str">
            <v xml:space="preserve"> 1st Shift</v>
          </cell>
          <cell r="H281">
            <v>43802</v>
          </cell>
        </row>
        <row r="282">
          <cell r="A282" t="str">
            <v>1931359</v>
          </cell>
          <cell r="B282" t="str">
            <v/>
          </cell>
          <cell r="C282" t="str">
            <v/>
          </cell>
          <cell r="D282" t="str">
            <v/>
          </cell>
          <cell r="E282">
            <v>43795</v>
          </cell>
          <cell r="F282">
            <v>43796</v>
          </cell>
          <cell r="G282" t="str">
            <v xml:space="preserve"> 1st Shift</v>
          </cell>
          <cell r="H282">
            <v>43802</v>
          </cell>
        </row>
        <row r="283">
          <cell r="A283" t="str">
            <v>1931364</v>
          </cell>
          <cell r="B283" t="str">
            <v/>
          </cell>
          <cell r="C283" t="str">
            <v/>
          </cell>
          <cell r="D283" t="str">
            <v/>
          </cell>
          <cell r="E283">
            <v>43795</v>
          </cell>
          <cell r="F283">
            <v>43796</v>
          </cell>
          <cell r="G283" t="str">
            <v xml:space="preserve"> 1st Shift</v>
          </cell>
          <cell r="H283">
            <v>43802</v>
          </cell>
        </row>
        <row r="284">
          <cell r="A284" t="str">
            <v>1931351</v>
          </cell>
          <cell r="B284" t="str">
            <v/>
          </cell>
          <cell r="C284" t="str">
            <v/>
          </cell>
          <cell r="D284" t="str">
            <v/>
          </cell>
          <cell r="E284">
            <v>43795</v>
          </cell>
          <cell r="F284">
            <v>43796</v>
          </cell>
          <cell r="G284" t="str">
            <v xml:space="preserve"> 1st Shift</v>
          </cell>
          <cell r="H284">
            <v>43802</v>
          </cell>
        </row>
        <row r="285">
          <cell r="A285" t="str">
            <v>1931363</v>
          </cell>
          <cell r="B285" t="str">
            <v/>
          </cell>
          <cell r="C285" t="str">
            <v/>
          </cell>
          <cell r="D285" t="str">
            <v/>
          </cell>
          <cell r="E285">
            <v>43795</v>
          </cell>
          <cell r="F285">
            <v>43796</v>
          </cell>
          <cell r="G285" t="str">
            <v xml:space="preserve"> 1st Shift</v>
          </cell>
          <cell r="H285">
            <v>43802</v>
          </cell>
        </row>
        <row r="286">
          <cell r="A286" t="str">
            <v>1910401</v>
          </cell>
          <cell r="B286" t="str">
            <v/>
          </cell>
          <cell r="C286" t="str">
            <v/>
          </cell>
          <cell r="D286" t="str">
            <v/>
          </cell>
          <cell r="E286">
            <v>43795</v>
          </cell>
          <cell r="F286">
            <v>43796</v>
          </cell>
          <cell r="G286" t="str">
            <v xml:space="preserve"> 2nd Shift</v>
          </cell>
          <cell r="H286">
            <v>43801</v>
          </cell>
        </row>
        <row r="287">
          <cell r="A287" t="str">
            <v>1920877</v>
          </cell>
          <cell r="B287" t="str">
            <v/>
          </cell>
          <cell r="C287" t="str">
            <v/>
          </cell>
          <cell r="D287" t="str">
            <v/>
          </cell>
          <cell r="E287">
            <v>43795</v>
          </cell>
          <cell r="F287">
            <v>43796</v>
          </cell>
          <cell r="G287" t="str">
            <v xml:space="preserve"> 2nd Shift</v>
          </cell>
          <cell r="H287">
            <v>43801</v>
          </cell>
        </row>
        <row r="288">
          <cell r="A288" t="str">
            <v>1920846</v>
          </cell>
          <cell r="B288" t="str">
            <v/>
          </cell>
          <cell r="C288" t="str">
            <v/>
          </cell>
          <cell r="D288" t="str">
            <v/>
          </cell>
          <cell r="E288">
            <v>43795</v>
          </cell>
          <cell r="F288">
            <v>43796</v>
          </cell>
          <cell r="G288" t="str">
            <v xml:space="preserve"> 2nd Shift</v>
          </cell>
          <cell r="H288">
            <v>43801</v>
          </cell>
        </row>
        <row r="289">
          <cell r="A289" t="str">
            <v>1950091</v>
          </cell>
          <cell r="B289" t="str">
            <v/>
          </cell>
          <cell r="C289" t="str">
            <v/>
          </cell>
          <cell r="D289" t="str">
            <v/>
          </cell>
          <cell r="E289">
            <v>43795</v>
          </cell>
          <cell r="F289">
            <v>43796</v>
          </cell>
          <cell r="G289" t="str">
            <v xml:space="preserve"> 2nd Shift</v>
          </cell>
          <cell r="H289">
            <v>43801</v>
          </cell>
        </row>
        <row r="290">
          <cell r="A290" t="str">
            <v>1931360</v>
          </cell>
          <cell r="B290" t="str">
            <v/>
          </cell>
          <cell r="C290" t="str">
            <v/>
          </cell>
          <cell r="D290" t="str">
            <v/>
          </cell>
          <cell r="E290">
            <v>43795</v>
          </cell>
          <cell r="F290">
            <v>43796</v>
          </cell>
          <cell r="G290" t="str">
            <v xml:space="preserve"> 2nd Shift</v>
          </cell>
          <cell r="H290">
            <v>43802</v>
          </cell>
        </row>
        <row r="291">
          <cell r="A291" t="str">
            <v>1931361</v>
          </cell>
          <cell r="B291" t="str">
            <v/>
          </cell>
          <cell r="C291" t="str">
            <v/>
          </cell>
          <cell r="D291" t="str">
            <v/>
          </cell>
          <cell r="E291">
            <v>43795</v>
          </cell>
          <cell r="F291">
            <v>43796</v>
          </cell>
          <cell r="G291" t="str">
            <v xml:space="preserve"> 2nd Shift</v>
          </cell>
          <cell r="H291">
            <v>43802</v>
          </cell>
        </row>
        <row r="292">
          <cell r="A292" t="str">
            <v>1931362</v>
          </cell>
          <cell r="B292" t="str">
            <v/>
          </cell>
          <cell r="C292" t="str">
            <v/>
          </cell>
          <cell r="D292" t="str">
            <v/>
          </cell>
          <cell r="E292">
            <v>43795</v>
          </cell>
          <cell r="F292">
            <v>43796</v>
          </cell>
          <cell r="G292" t="str">
            <v xml:space="preserve"> 2nd Shift</v>
          </cell>
          <cell r="H292">
            <v>43802</v>
          </cell>
        </row>
        <row r="293">
          <cell r="A293" t="str">
            <v>1920888</v>
          </cell>
          <cell r="B293" t="str">
            <v/>
          </cell>
          <cell r="C293" t="str">
            <v/>
          </cell>
          <cell r="D293" t="str">
            <v/>
          </cell>
          <cell r="E293">
            <v>43795</v>
          </cell>
          <cell r="F293">
            <v>43796</v>
          </cell>
          <cell r="G293" t="str">
            <v xml:space="preserve"> 2nd Shift</v>
          </cell>
          <cell r="H293">
            <v>43801</v>
          </cell>
        </row>
        <row r="294">
          <cell r="A294" t="str">
            <v>1931352</v>
          </cell>
          <cell r="B294" t="str">
            <v/>
          </cell>
          <cell r="C294" t="str">
            <v/>
          </cell>
          <cell r="D294" t="str">
            <v/>
          </cell>
          <cell r="E294">
            <v>43795</v>
          </cell>
          <cell r="F294">
            <v>43796</v>
          </cell>
          <cell r="G294" t="str">
            <v xml:space="preserve"> 2nd Shift</v>
          </cell>
          <cell r="H294">
            <v>43802</v>
          </cell>
        </row>
        <row r="295">
          <cell r="A295" t="str">
            <v>1931349</v>
          </cell>
          <cell r="B295" t="str">
            <v/>
          </cell>
          <cell r="C295" t="str">
            <v/>
          </cell>
          <cell r="D295" t="str">
            <v/>
          </cell>
          <cell r="E295">
            <v>43796</v>
          </cell>
          <cell r="F295">
            <v>43801</v>
          </cell>
          <cell r="G295" t="str">
            <v xml:space="preserve"> 1st Shift</v>
          </cell>
          <cell r="H295">
            <v>43803</v>
          </cell>
        </row>
        <row r="296">
          <cell r="A296" t="str">
            <v>1931371</v>
          </cell>
          <cell r="B296" t="str">
            <v/>
          </cell>
          <cell r="C296" t="str">
            <v/>
          </cell>
          <cell r="D296" t="str">
            <v/>
          </cell>
          <cell r="E296">
            <v>43796</v>
          </cell>
          <cell r="F296">
            <v>43801</v>
          </cell>
          <cell r="G296" t="str">
            <v xml:space="preserve"> 1st Shift</v>
          </cell>
          <cell r="H296">
            <v>43803</v>
          </cell>
        </row>
        <row r="297">
          <cell r="A297" t="str">
            <v>1931372</v>
          </cell>
          <cell r="B297" t="str">
            <v/>
          </cell>
          <cell r="C297" t="str">
            <v/>
          </cell>
          <cell r="D297" t="str">
            <v/>
          </cell>
          <cell r="E297">
            <v>43796</v>
          </cell>
          <cell r="F297">
            <v>43801</v>
          </cell>
          <cell r="G297" t="str">
            <v xml:space="preserve"> 1st Shift</v>
          </cell>
          <cell r="H297">
            <v>43803</v>
          </cell>
        </row>
        <row r="298">
          <cell r="A298" t="str">
            <v>1931373</v>
          </cell>
          <cell r="B298" t="str">
            <v/>
          </cell>
          <cell r="C298" t="str">
            <v/>
          </cell>
          <cell r="D298" t="str">
            <v/>
          </cell>
          <cell r="E298">
            <v>43796</v>
          </cell>
          <cell r="F298">
            <v>43801</v>
          </cell>
          <cell r="G298" t="str">
            <v xml:space="preserve"> 1st Shift</v>
          </cell>
          <cell r="H298">
            <v>43803</v>
          </cell>
        </row>
        <row r="299">
          <cell r="A299" t="str">
            <v>1931375</v>
          </cell>
          <cell r="B299" t="str">
            <v/>
          </cell>
          <cell r="C299" t="str">
            <v/>
          </cell>
          <cell r="D299" t="str">
            <v/>
          </cell>
          <cell r="E299">
            <v>43796</v>
          </cell>
          <cell r="F299">
            <v>43801</v>
          </cell>
          <cell r="G299" t="str">
            <v xml:space="preserve"> 1st Shift</v>
          </cell>
          <cell r="H299">
            <v>43803</v>
          </cell>
        </row>
        <row r="300">
          <cell r="A300" t="str">
            <v>1931376</v>
          </cell>
          <cell r="B300" t="str">
            <v/>
          </cell>
          <cell r="C300" t="str">
            <v/>
          </cell>
          <cell r="D300" t="str">
            <v/>
          </cell>
          <cell r="E300">
            <v>43796</v>
          </cell>
          <cell r="F300">
            <v>43801</v>
          </cell>
          <cell r="G300" t="str">
            <v xml:space="preserve"> 1st Shift</v>
          </cell>
          <cell r="H300">
            <v>43803</v>
          </cell>
        </row>
        <row r="301">
          <cell r="A301" t="str">
            <v>1931377</v>
          </cell>
          <cell r="B301" t="str">
            <v/>
          </cell>
          <cell r="C301" t="str">
            <v/>
          </cell>
          <cell r="D301" t="str">
            <v/>
          </cell>
          <cell r="E301">
            <v>43796</v>
          </cell>
          <cell r="F301">
            <v>43801</v>
          </cell>
          <cell r="G301" t="str">
            <v xml:space="preserve"> 1st Shift</v>
          </cell>
          <cell r="H301">
            <v>43803</v>
          </cell>
        </row>
        <row r="302">
          <cell r="A302" t="str">
            <v>1920880</v>
          </cell>
          <cell r="B302" t="str">
            <v/>
          </cell>
          <cell r="C302" t="str">
            <v/>
          </cell>
          <cell r="D302" t="str">
            <v/>
          </cell>
          <cell r="E302">
            <v>43795</v>
          </cell>
          <cell r="F302">
            <v>43801</v>
          </cell>
          <cell r="G302" t="str">
            <v xml:space="preserve"> 1st Shift</v>
          </cell>
          <cell r="H302">
            <v>43801</v>
          </cell>
        </row>
        <row r="303">
          <cell r="A303" t="str">
            <v>1920899</v>
          </cell>
          <cell r="B303" t="str">
            <v/>
          </cell>
          <cell r="C303" t="str">
            <v/>
          </cell>
          <cell r="D303" t="str">
            <v/>
          </cell>
          <cell r="E303">
            <v>43795</v>
          </cell>
          <cell r="F303">
            <v>43801</v>
          </cell>
          <cell r="G303" t="str">
            <v xml:space="preserve"> 1st Shift</v>
          </cell>
          <cell r="H303">
            <v>43801</v>
          </cell>
        </row>
        <row r="304">
          <cell r="A304" t="str">
            <v>1931357</v>
          </cell>
          <cell r="B304" t="str">
            <v/>
          </cell>
          <cell r="C304" t="str">
            <v/>
          </cell>
          <cell r="D304" t="str">
            <v/>
          </cell>
          <cell r="E304">
            <v>43796</v>
          </cell>
          <cell r="F304">
            <v>43801</v>
          </cell>
          <cell r="G304" t="str">
            <v xml:space="preserve"> 2nd Shift</v>
          </cell>
          <cell r="H304">
            <v>43803</v>
          </cell>
        </row>
        <row r="305">
          <cell r="A305" t="str">
            <v>1920890</v>
          </cell>
          <cell r="B305" t="str">
            <v/>
          </cell>
          <cell r="C305" t="str">
            <v/>
          </cell>
          <cell r="D305" t="str">
            <v/>
          </cell>
          <cell r="E305">
            <v>43796</v>
          </cell>
          <cell r="F305">
            <v>43801</v>
          </cell>
          <cell r="G305" t="str">
            <v xml:space="preserve"> 2nd Shift</v>
          </cell>
          <cell r="H305">
            <v>43802</v>
          </cell>
        </row>
        <row r="306">
          <cell r="A306" t="str">
            <v>1920891</v>
          </cell>
          <cell r="B306" t="str">
            <v/>
          </cell>
          <cell r="C306" t="str">
            <v/>
          </cell>
          <cell r="D306" t="str">
            <v/>
          </cell>
          <cell r="E306">
            <v>43796</v>
          </cell>
          <cell r="F306">
            <v>43801</v>
          </cell>
          <cell r="G306" t="str">
            <v xml:space="preserve"> 2nd Shift</v>
          </cell>
          <cell r="H306">
            <v>43802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>
            <v>43801</v>
          </cell>
          <cell r="F307">
            <v>43802</v>
          </cell>
          <cell r="G307" t="str">
            <v xml:space="preserve"> 1st Shift</v>
          </cell>
          <cell r="H307">
            <v>43804</v>
          </cell>
        </row>
        <row r="308">
          <cell r="A308" t="str">
            <v>1950090</v>
          </cell>
          <cell r="B308" t="str">
            <v/>
          </cell>
          <cell r="C308" t="str">
            <v/>
          </cell>
          <cell r="D308" t="str">
            <v/>
          </cell>
          <cell r="E308">
            <v>43801</v>
          </cell>
          <cell r="F308">
            <v>43802</v>
          </cell>
          <cell r="G308" t="str">
            <v xml:space="preserve"> 2nd Shift</v>
          </cell>
          <cell r="H308">
            <v>43803</v>
          </cell>
        </row>
        <row r="309">
          <cell r="A309" t="str">
            <v>1931378</v>
          </cell>
          <cell r="B309" t="str">
            <v/>
          </cell>
          <cell r="C309" t="str">
            <v/>
          </cell>
          <cell r="D309" t="str">
            <v/>
          </cell>
          <cell r="E309">
            <v>43801</v>
          </cell>
          <cell r="F309">
            <v>43802</v>
          </cell>
          <cell r="G309" t="str">
            <v xml:space="preserve"> 2nd Shift</v>
          </cell>
          <cell r="H309">
            <v>43804</v>
          </cell>
        </row>
        <row r="310">
          <cell r="A310" t="str">
            <v>1931379</v>
          </cell>
          <cell r="B310" t="str">
            <v/>
          </cell>
          <cell r="C310" t="str">
            <v/>
          </cell>
          <cell r="D310" t="str">
            <v/>
          </cell>
          <cell r="E310">
            <v>43801</v>
          </cell>
          <cell r="F310">
            <v>43802</v>
          </cell>
          <cell r="G310" t="str">
            <v xml:space="preserve"> 2nd Shift</v>
          </cell>
          <cell r="H310">
            <v>43804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>
            <v>43801</v>
          </cell>
          <cell r="F311">
            <v>43802</v>
          </cell>
          <cell r="G311" t="str">
            <v xml:space="preserve"> 2nd Shift</v>
          </cell>
          <cell r="H311">
            <v>43804</v>
          </cell>
        </row>
        <row r="312">
          <cell r="A312" t="str">
            <v>1920907</v>
          </cell>
          <cell r="B312" t="str">
            <v/>
          </cell>
          <cell r="C312" t="str">
            <v/>
          </cell>
          <cell r="D312" t="str">
            <v/>
          </cell>
          <cell r="E312">
            <v>43801</v>
          </cell>
          <cell r="F312">
            <v>43802</v>
          </cell>
          <cell r="G312" t="str">
            <v xml:space="preserve"> 2nd Shift</v>
          </cell>
          <cell r="H312">
            <v>43803</v>
          </cell>
        </row>
        <row r="313">
          <cell r="A313" t="str">
            <v>1931380</v>
          </cell>
          <cell r="B313" t="str">
            <v/>
          </cell>
          <cell r="C313" t="str">
            <v/>
          </cell>
          <cell r="D313" t="str">
            <v/>
          </cell>
          <cell r="E313">
            <v>43801</v>
          </cell>
          <cell r="F313">
            <v>43802</v>
          </cell>
          <cell r="G313" t="str">
            <v xml:space="preserve"> 2nd Shift</v>
          </cell>
          <cell r="H313">
            <v>43804</v>
          </cell>
        </row>
        <row r="314">
          <cell r="A314" t="str">
            <v>1931398</v>
          </cell>
          <cell r="B314" t="str">
            <v/>
          </cell>
          <cell r="C314" t="str">
            <v/>
          </cell>
          <cell r="D314" t="str">
            <v/>
          </cell>
          <cell r="E314">
            <v>43801</v>
          </cell>
          <cell r="F314">
            <v>43802</v>
          </cell>
          <cell r="G314" t="str">
            <v xml:space="preserve"> 2nd Shift</v>
          </cell>
          <cell r="H314">
            <v>43804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>
            <v>43802</v>
          </cell>
          <cell r="F315">
            <v>43803</v>
          </cell>
          <cell r="G315" t="str">
            <v xml:space="preserve"> 1st Shift</v>
          </cell>
          <cell r="H315">
            <v>43808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>
            <v>43802</v>
          </cell>
          <cell r="F316">
            <v>43803</v>
          </cell>
          <cell r="G316" t="str">
            <v xml:space="preserve"> 1st Shift</v>
          </cell>
          <cell r="H316">
            <v>43808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>
            <v>43802</v>
          </cell>
          <cell r="F317">
            <v>43803</v>
          </cell>
          <cell r="G317" t="str">
            <v xml:space="preserve"> 1st Shift</v>
          </cell>
          <cell r="H317">
            <v>43808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>
            <v>43802</v>
          </cell>
          <cell r="F318">
            <v>43803</v>
          </cell>
          <cell r="G318" t="str">
            <v xml:space="preserve"> 1st Shift</v>
          </cell>
          <cell r="H318">
            <v>43808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>
            <v>43802</v>
          </cell>
          <cell r="F319">
            <v>43803</v>
          </cell>
          <cell r="G319" t="str">
            <v xml:space="preserve"> 1st Shift</v>
          </cell>
          <cell r="H319">
            <v>43808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>
            <v>43802</v>
          </cell>
          <cell r="F320">
            <v>43803</v>
          </cell>
          <cell r="G320" t="str">
            <v xml:space="preserve"> 1st Shift</v>
          </cell>
          <cell r="H320">
            <v>43808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>
            <v>43802</v>
          </cell>
          <cell r="F321">
            <v>43803</v>
          </cell>
          <cell r="G321" t="str">
            <v xml:space="preserve"> 1st Shift</v>
          </cell>
          <cell r="H321">
            <v>43808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>
            <v>43802</v>
          </cell>
          <cell r="F322">
            <v>43803</v>
          </cell>
          <cell r="G322" t="str">
            <v xml:space="preserve"> 1st Shift</v>
          </cell>
          <cell r="H322">
            <v>43808</v>
          </cell>
        </row>
        <row r="323">
          <cell r="A323" t="str">
            <v>1931399</v>
          </cell>
          <cell r="B323" t="str">
            <v/>
          </cell>
          <cell r="C323" t="str">
            <v/>
          </cell>
          <cell r="D323" t="str">
            <v/>
          </cell>
          <cell r="E323">
            <v>43802</v>
          </cell>
          <cell r="F323">
            <v>43803</v>
          </cell>
          <cell r="G323" t="str">
            <v xml:space="preserve"> 2nd Shift</v>
          </cell>
          <cell r="H323">
            <v>43808</v>
          </cell>
        </row>
        <row r="324">
          <cell r="A324" t="str">
            <v>1931386</v>
          </cell>
          <cell r="B324" t="str">
            <v/>
          </cell>
          <cell r="C324" t="str">
            <v/>
          </cell>
          <cell r="D324" t="str">
            <v/>
          </cell>
          <cell r="E324">
            <v>43802</v>
          </cell>
          <cell r="F324">
            <v>43803</v>
          </cell>
          <cell r="G324" t="str">
            <v xml:space="preserve"> 2nd Shift</v>
          </cell>
          <cell r="H324">
            <v>43808</v>
          </cell>
        </row>
        <row r="325">
          <cell r="A325" t="str">
            <v>1931401</v>
          </cell>
          <cell r="B325" t="str">
            <v/>
          </cell>
          <cell r="C325" t="str">
            <v/>
          </cell>
          <cell r="D325" t="str">
            <v/>
          </cell>
          <cell r="E325">
            <v>43802</v>
          </cell>
          <cell r="F325">
            <v>43803</v>
          </cell>
          <cell r="G325" t="str">
            <v xml:space="preserve"> 2nd Shift</v>
          </cell>
          <cell r="H325">
            <v>43808</v>
          </cell>
        </row>
        <row r="326">
          <cell r="A326" t="str">
            <v>1931402</v>
          </cell>
          <cell r="B326" t="str">
            <v/>
          </cell>
          <cell r="C326" t="str">
            <v/>
          </cell>
          <cell r="D326" t="str">
            <v/>
          </cell>
          <cell r="E326">
            <v>43802</v>
          </cell>
          <cell r="F326">
            <v>43803</v>
          </cell>
          <cell r="G326" t="str">
            <v xml:space="preserve"> 2nd Shift</v>
          </cell>
          <cell r="H326">
            <v>43808</v>
          </cell>
        </row>
        <row r="327">
          <cell r="A327" t="str">
            <v>1931394</v>
          </cell>
          <cell r="B327" t="str">
            <v/>
          </cell>
          <cell r="C327" t="str">
            <v/>
          </cell>
          <cell r="D327" t="str">
            <v/>
          </cell>
          <cell r="E327">
            <v>43802</v>
          </cell>
          <cell r="F327">
            <v>43803</v>
          </cell>
          <cell r="G327" t="str">
            <v xml:space="preserve"> 2nd Shift</v>
          </cell>
          <cell r="H327">
            <v>43808</v>
          </cell>
        </row>
        <row r="328">
          <cell r="A328" t="str">
            <v>1920902</v>
          </cell>
          <cell r="B328" t="str">
            <v/>
          </cell>
          <cell r="C328" t="str">
            <v/>
          </cell>
          <cell r="D328" t="str">
            <v/>
          </cell>
          <cell r="E328">
            <v>43802</v>
          </cell>
          <cell r="F328">
            <v>43803</v>
          </cell>
          <cell r="G328" t="str">
            <v xml:space="preserve"> 2nd Shift</v>
          </cell>
          <cell r="H328">
            <v>43804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>
            <v>43802</v>
          </cell>
          <cell r="F329">
            <v>43803</v>
          </cell>
          <cell r="G329" t="str">
            <v xml:space="preserve"> 2nd Shift</v>
          </cell>
          <cell r="H329">
            <v>43808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>
            <v>43802</v>
          </cell>
          <cell r="F330">
            <v>43803</v>
          </cell>
          <cell r="G330" t="str">
            <v xml:space="preserve"> 2nd Shift</v>
          </cell>
          <cell r="H330">
            <v>43808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>
            <v>43803</v>
          </cell>
          <cell r="F331">
            <v>43804</v>
          </cell>
          <cell r="G331" t="str">
            <v xml:space="preserve"> 1st Shift</v>
          </cell>
          <cell r="H331">
            <v>43809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>
            <v>43803</v>
          </cell>
          <cell r="F332">
            <v>43804</v>
          </cell>
          <cell r="G332" t="str">
            <v xml:space="preserve"> 1st Shift</v>
          </cell>
          <cell r="H332">
            <v>43809</v>
          </cell>
        </row>
        <row r="333">
          <cell r="A333" t="str">
            <v>1931396</v>
          </cell>
          <cell r="B333" t="str">
            <v/>
          </cell>
          <cell r="C333" t="str">
            <v/>
          </cell>
          <cell r="D333" t="str">
            <v/>
          </cell>
          <cell r="E333">
            <v>43803</v>
          </cell>
          <cell r="F333">
            <v>43804</v>
          </cell>
          <cell r="G333" t="str">
            <v xml:space="preserve"> 2nd Shift</v>
          </cell>
          <cell r="H333">
            <v>43809</v>
          </cell>
        </row>
        <row r="334">
          <cell r="A334" t="str">
            <v>1931384</v>
          </cell>
          <cell r="B334" t="str">
            <v/>
          </cell>
          <cell r="C334" t="str">
            <v/>
          </cell>
          <cell r="D334" t="str">
            <v/>
          </cell>
          <cell r="E334">
            <v>43803</v>
          </cell>
          <cell r="F334">
            <v>43804</v>
          </cell>
          <cell r="G334" t="str">
            <v xml:space="preserve"> 2nd Shift</v>
          </cell>
          <cell r="H334">
            <v>43809</v>
          </cell>
        </row>
        <row r="335">
          <cell r="A335" t="str">
            <v>1931388</v>
          </cell>
          <cell r="B335" t="str">
            <v/>
          </cell>
          <cell r="C335" t="str">
            <v/>
          </cell>
          <cell r="D335" t="str">
            <v/>
          </cell>
          <cell r="E335">
            <v>43803</v>
          </cell>
          <cell r="F335">
            <v>43804</v>
          </cell>
          <cell r="G335" t="str">
            <v xml:space="preserve"> 2nd Shift</v>
          </cell>
          <cell r="H335">
            <v>43809</v>
          </cell>
        </row>
        <row r="336">
          <cell r="A336" t="str">
            <v>1910411</v>
          </cell>
          <cell r="B336" t="str">
            <v/>
          </cell>
          <cell r="C336" t="str">
            <v/>
          </cell>
          <cell r="D336" t="str">
            <v/>
          </cell>
          <cell r="E336">
            <v>43803</v>
          </cell>
          <cell r="F336">
            <v>43804</v>
          </cell>
          <cell r="G336" t="str">
            <v xml:space="preserve"> 2nd Shift</v>
          </cell>
          <cell r="H336">
            <v>43808</v>
          </cell>
        </row>
        <row r="337">
          <cell r="A337" t="str">
            <v>1920923</v>
          </cell>
          <cell r="B337" t="str">
            <v/>
          </cell>
          <cell r="C337" t="str">
            <v/>
          </cell>
          <cell r="D337" t="str">
            <v/>
          </cell>
          <cell r="E337">
            <v>43803</v>
          </cell>
          <cell r="F337">
            <v>43804</v>
          </cell>
          <cell r="G337" t="str">
            <v xml:space="preserve"> 2nd Shift</v>
          </cell>
          <cell r="H337">
            <v>43808</v>
          </cell>
        </row>
        <row r="338">
          <cell r="A338" t="str">
            <v>1931408</v>
          </cell>
          <cell r="B338" t="str">
            <v/>
          </cell>
          <cell r="C338" t="str">
            <v/>
          </cell>
          <cell r="D338" t="str">
            <v/>
          </cell>
          <cell r="E338">
            <v>43803</v>
          </cell>
          <cell r="F338">
            <v>43804</v>
          </cell>
          <cell r="G338" t="str">
            <v xml:space="preserve"> 2nd Shift</v>
          </cell>
          <cell r="H338">
            <v>43809</v>
          </cell>
        </row>
        <row r="339">
          <cell r="A339" t="str">
            <v>1931404</v>
          </cell>
          <cell r="B339" t="str">
            <v/>
          </cell>
          <cell r="C339" t="str">
            <v/>
          </cell>
          <cell r="D339" t="str">
            <v/>
          </cell>
          <cell r="E339">
            <v>43803</v>
          </cell>
          <cell r="F339">
            <v>43804</v>
          </cell>
          <cell r="G339" t="str">
            <v xml:space="preserve"> 2nd Shift</v>
          </cell>
          <cell r="H339">
            <v>43809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>
            <v>43803</v>
          </cell>
          <cell r="F340">
            <v>43808</v>
          </cell>
          <cell r="G340" t="str">
            <v xml:space="preserve"> 1st Shift</v>
          </cell>
          <cell r="H340">
            <v>43808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>
            <v>43804</v>
          </cell>
          <cell r="F341">
            <v>43808</v>
          </cell>
          <cell r="G341" t="str">
            <v xml:space="preserve"> 2nd Shift</v>
          </cell>
          <cell r="H341">
            <v>43809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>
            <v>43804</v>
          </cell>
          <cell r="F342">
            <v>43808</v>
          </cell>
          <cell r="G342" t="str">
            <v xml:space="preserve"> 2nd Shift</v>
          </cell>
          <cell r="H342">
            <v>43810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>
            <v>43804</v>
          </cell>
          <cell r="F343">
            <v>43808</v>
          </cell>
          <cell r="G343" t="str">
            <v xml:space="preserve"> 2nd Shift</v>
          </cell>
          <cell r="H343">
            <v>43810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>
            <v>43804</v>
          </cell>
          <cell r="F344">
            <v>43808</v>
          </cell>
          <cell r="G344" t="str">
            <v xml:space="preserve"> 2nd Shift</v>
          </cell>
          <cell r="H344">
            <v>43810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>
            <v>43809</v>
          </cell>
          <cell r="F345">
            <v>43810</v>
          </cell>
          <cell r="G345" t="str">
            <v xml:space="preserve"> 2nd Shift</v>
          </cell>
          <cell r="H345">
            <v>43811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>
            <v>43809</v>
          </cell>
          <cell r="F346">
            <v>43811</v>
          </cell>
          <cell r="G346" t="str">
            <v xml:space="preserve"> 1st Shift</v>
          </cell>
          <cell r="H346">
            <v>43811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>
            <v>43809</v>
          </cell>
          <cell r="F347">
            <v>43811</v>
          </cell>
          <cell r="G347" t="str">
            <v xml:space="preserve"> 1st Shift</v>
          </cell>
          <cell r="H347">
            <v>43811</v>
          </cell>
        </row>
        <row r="348">
          <cell r="A348" t="str">
            <v>1940086</v>
          </cell>
          <cell r="B348" t="str">
            <v/>
          </cell>
          <cell r="C348" t="str">
            <v/>
          </cell>
          <cell r="D348" t="str">
            <v/>
          </cell>
          <cell r="E348">
            <v>43811</v>
          </cell>
          <cell r="F348">
            <v>43815</v>
          </cell>
          <cell r="G348" t="str">
            <v xml:space="preserve"> 2nd Shift</v>
          </cell>
          <cell r="H348">
            <v>43816</v>
          </cell>
        </row>
        <row r="349">
          <cell r="A349" t="str">
            <v>1920928</v>
          </cell>
          <cell r="B349" t="str">
            <v/>
          </cell>
          <cell r="C349" t="str">
            <v/>
          </cell>
          <cell r="D349" t="str">
            <v/>
          </cell>
          <cell r="E349">
            <v>43811</v>
          </cell>
          <cell r="F349">
            <v>43815</v>
          </cell>
          <cell r="G349" t="str">
            <v xml:space="preserve"> 2nd Shift</v>
          </cell>
          <cell r="H349">
            <v>43816</v>
          </cell>
        </row>
        <row r="350">
          <cell r="A350" t="str">
            <v>1920925</v>
          </cell>
          <cell r="B350" t="str">
            <v/>
          </cell>
          <cell r="C350" t="str">
            <v/>
          </cell>
          <cell r="D350" t="str">
            <v/>
          </cell>
          <cell r="E350">
            <v>43811</v>
          </cell>
          <cell r="F350">
            <v>43815</v>
          </cell>
          <cell r="G350" t="str">
            <v xml:space="preserve"> 2nd Shift</v>
          </cell>
          <cell r="H350">
            <v>43816</v>
          </cell>
        </row>
        <row r="351">
          <cell r="A351" t="str">
            <v>LOT</v>
          </cell>
          <cell r="B351" t="str">
            <v>Racks</v>
          </cell>
          <cell r="C351" t="str">
            <v>Parts Prep</v>
          </cell>
          <cell r="D351" t="str">
            <v>Ready</v>
          </cell>
          <cell r="E351" t="str">
            <v>Request</v>
          </cell>
          <cell r="F351" t="str">
            <v xml:space="preserve">   In Parts Prep by</v>
          </cell>
          <cell r="H351" t="str">
            <v>Run Date/Time</v>
          </cell>
        </row>
        <row r="352">
          <cell r="A352" t="str">
            <v>1920876</v>
          </cell>
          <cell r="B352" t="str">
            <v/>
          </cell>
          <cell r="C352" t="str">
            <v/>
          </cell>
          <cell r="D352" t="str">
            <v/>
          </cell>
          <cell r="H352">
            <v>43767</v>
          </cell>
        </row>
        <row r="353">
          <cell r="A353" t="str">
            <v>1920868</v>
          </cell>
          <cell r="B353" t="str">
            <v/>
          </cell>
          <cell r="C353" t="str">
            <v/>
          </cell>
          <cell r="D353" t="str">
            <v/>
          </cell>
          <cell r="H353">
            <v>43767</v>
          </cell>
        </row>
        <row r="354">
          <cell r="A354" t="str">
            <v>1910418</v>
          </cell>
          <cell r="B354" t="str">
            <v/>
          </cell>
          <cell r="C354" t="str">
            <v/>
          </cell>
          <cell r="D354" t="str">
            <v/>
          </cell>
          <cell r="H354">
            <v>43781</v>
          </cell>
        </row>
        <row r="355">
          <cell r="A355" t="str">
            <v>1910392</v>
          </cell>
          <cell r="B355" t="str">
            <v/>
          </cell>
          <cell r="C355" t="str">
            <v/>
          </cell>
          <cell r="D355" t="str">
            <v/>
          </cell>
          <cell r="H355">
            <v>43780</v>
          </cell>
        </row>
        <row r="356">
          <cell r="A356" t="str">
            <v>1910391</v>
          </cell>
          <cell r="B356" t="str">
            <v/>
          </cell>
          <cell r="C356" t="str">
            <v/>
          </cell>
          <cell r="D356" t="str">
            <v/>
          </cell>
          <cell r="H356">
            <v>43780</v>
          </cell>
        </row>
        <row r="357">
          <cell r="A357" t="str">
            <v>1920903</v>
          </cell>
          <cell r="B357" t="str">
            <v/>
          </cell>
          <cell r="C357" t="str">
            <v/>
          </cell>
          <cell r="D357" t="str">
            <v/>
          </cell>
          <cell r="H357">
            <v>43803</v>
          </cell>
        </row>
        <row r="358">
          <cell r="A358" t="str">
            <v>1910389</v>
          </cell>
          <cell r="B358" t="str">
            <v/>
          </cell>
          <cell r="C358" t="str">
            <v/>
          </cell>
          <cell r="D358" t="str">
            <v/>
          </cell>
          <cell r="H358">
            <v>43780</v>
          </cell>
        </row>
        <row r="359">
          <cell r="A359" t="str">
            <v>1910413</v>
          </cell>
          <cell r="B359" t="str">
            <v/>
          </cell>
          <cell r="C359" t="str">
            <v/>
          </cell>
          <cell r="D359" t="str">
            <v/>
          </cell>
          <cell r="H359">
            <v>43782</v>
          </cell>
        </row>
        <row r="360">
          <cell r="A360" t="str">
            <v>1910405</v>
          </cell>
          <cell r="B360" t="str">
            <v/>
          </cell>
          <cell r="C360" t="str">
            <v/>
          </cell>
          <cell r="D360" t="str">
            <v/>
          </cell>
          <cell r="H360">
            <v>43796</v>
          </cell>
        </row>
        <row r="361">
          <cell r="A361" t="str">
            <v>1920869</v>
          </cell>
          <cell r="B361" t="str">
            <v/>
          </cell>
          <cell r="C361" t="str">
            <v/>
          </cell>
          <cell r="D361" t="str">
            <v/>
          </cell>
          <cell r="H361">
            <v>43767</v>
          </cell>
        </row>
        <row r="362">
          <cell r="A362" t="str">
            <v>1920930</v>
          </cell>
          <cell r="B362" t="str">
            <v/>
          </cell>
          <cell r="C362" t="str">
            <v/>
          </cell>
          <cell r="D362" t="str">
            <v/>
          </cell>
          <cell r="H362">
            <v>43788</v>
          </cell>
        </row>
        <row r="363">
          <cell r="A363" t="str">
            <v>1910390</v>
          </cell>
          <cell r="B363" t="str">
            <v/>
          </cell>
          <cell r="C363" t="str">
            <v/>
          </cell>
          <cell r="D363" t="str">
            <v/>
          </cell>
          <cell r="H363">
            <v>43781</v>
          </cell>
        </row>
        <row r="364">
          <cell r="A364" t="str">
            <v>1920910</v>
          </cell>
          <cell r="B364" t="str">
            <v/>
          </cell>
          <cell r="C364" t="str">
            <v/>
          </cell>
          <cell r="D364" t="str">
            <v/>
          </cell>
          <cell r="H364">
            <v>43788</v>
          </cell>
        </row>
        <row r="365">
          <cell r="A365" t="str">
            <v>1910416</v>
          </cell>
          <cell r="B365" t="str">
            <v/>
          </cell>
          <cell r="C365" t="str">
            <v/>
          </cell>
          <cell r="D365" t="str">
            <v/>
          </cell>
          <cell r="H365">
            <v>43782</v>
          </cell>
        </row>
        <row r="366">
          <cell r="A366" t="str">
            <v>1910404</v>
          </cell>
          <cell r="B366" t="str">
            <v/>
          </cell>
          <cell r="C366" t="str">
            <v/>
          </cell>
          <cell r="D366" t="str">
            <v/>
          </cell>
          <cell r="H366">
            <v>43780</v>
          </cell>
        </row>
        <row r="367">
          <cell r="A367" t="str">
            <v>1920911</v>
          </cell>
          <cell r="B367" t="str">
            <v/>
          </cell>
          <cell r="C367" t="str">
            <v/>
          </cell>
          <cell r="D367" t="str">
            <v/>
          </cell>
          <cell r="H367">
            <v>43787</v>
          </cell>
        </row>
        <row r="368">
          <cell r="A368" t="str">
            <v>1910415</v>
          </cell>
          <cell r="B368" t="str">
            <v/>
          </cell>
          <cell r="C368" t="str">
            <v/>
          </cell>
          <cell r="D368" t="str">
            <v/>
          </cell>
          <cell r="H368">
            <v>43782</v>
          </cell>
        </row>
        <row r="369">
          <cell r="A369" t="str">
            <v>1910403</v>
          </cell>
          <cell r="B369" t="str">
            <v/>
          </cell>
          <cell r="C369" t="str">
            <v/>
          </cell>
          <cell r="D369" t="str">
            <v/>
          </cell>
          <cell r="H369">
            <v>43780</v>
          </cell>
        </row>
        <row r="370">
          <cell r="A370" t="str">
            <v>1910409</v>
          </cell>
          <cell r="B370" t="str">
            <v/>
          </cell>
          <cell r="C370" t="str">
            <v/>
          </cell>
          <cell r="D370" t="str">
            <v/>
          </cell>
          <cell r="H370">
            <v>43808</v>
          </cell>
        </row>
        <row r="371">
          <cell r="A371" t="str">
            <v>1910400</v>
          </cell>
          <cell r="B371" t="str">
            <v/>
          </cell>
          <cell r="C371" t="str">
            <v/>
          </cell>
          <cell r="D371" t="str">
            <v/>
          </cell>
          <cell r="H371">
            <v>43781</v>
          </cell>
        </row>
        <row r="372">
          <cell r="A372" t="str">
            <v>1910388</v>
          </cell>
          <cell r="B372" t="str">
            <v/>
          </cell>
          <cell r="C372" t="str">
            <v/>
          </cell>
          <cell r="D372" t="str">
            <v/>
          </cell>
          <cell r="H372">
            <v>43767</v>
          </cell>
        </row>
        <row r="373">
          <cell r="A373" t="str">
            <v>1910393</v>
          </cell>
          <cell r="B373" t="str">
            <v/>
          </cell>
          <cell r="C373" t="str">
            <v/>
          </cell>
          <cell r="D373" t="str">
            <v/>
          </cell>
          <cell r="H373">
            <v>43767</v>
          </cell>
        </row>
        <row r="374">
          <cell r="A374" t="str">
            <v>1910414</v>
          </cell>
          <cell r="B374" t="str">
            <v/>
          </cell>
          <cell r="C374" t="str">
            <v/>
          </cell>
          <cell r="D374" t="str">
            <v/>
          </cell>
          <cell r="H374">
            <v>43782</v>
          </cell>
        </row>
        <row r="375">
          <cell r="A375" t="str">
            <v>1910417</v>
          </cell>
          <cell r="B375" t="str">
            <v/>
          </cell>
          <cell r="C375" t="str">
            <v/>
          </cell>
          <cell r="D375" t="str">
            <v/>
          </cell>
          <cell r="H375">
            <v>43780</v>
          </cell>
        </row>
        <row r="376">
          <cell r="A376" t="str">
            <v>1910394</v>
          </cell>
          <cell r="B376" t="str">
            <v/>
          </cell>
          <cell r="C376" t="str">
            <v/>
          </cell>
          <cell r="D376" t="str">
            <v/>
          </cell>
          <cell r="H376">
            <v>43767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Data"/>
      <sheetName val="Release Report"/>
    </sheetNames>
    <sheetDataSet>
      <sheetData sheetId="0">
        <row r="1">
          <cell r="A1" t="str">
            <v>0020307</v>
          </cell>
          <cell r="B1">
            <v>9113</v>
          </cell>
          <cell r="C1">
            <v>99</v>
          </cell>
          <cell r="D1" t="str">
            <v>B20545</v>
          </cell>
          <cell r="E1" t="str">
            <v>A1</v>
          </cell>
        </row>
        <row r="2">
          <cell r="A2" t="str">
            <v>0120177</v>
          </cell>
          <cell r="B2">
            <v>774</v>
          </cell>
          <cell r="C2">
            <v>3</v>
          </cell>
          <cell r="D2" t="str">
            <v>B21241</v>
          </cell>
          <cell r="E2" t="str">
            <v>A1</v>
          </cell>
        </row>
        <row r="3">
          <cell r="A3" t="str">
            <v>0120332</v>
          </cell>
          <cell r="B3">
            <v>780</v>
          </cell>
          <cell r="C3">
            <v>9</v>
          </cell>
          <cell r="D3" t="str">
            <v>B21280</v>
          </cell>
          <cell r="E3" t="str">
            <v>A1</v>
          </cell>
        </row>
        <row r="4">
          <cell r="A4" t="str">
            <v>0120782</v>
          </cell>
          <cell r="B4">
            <v>774</v>
          </cell>
          <cell r="C4">
            <v>42</v>
          </cell>
          <cell r="D4" t="str">
            <v>B21546</v>
          </cell>
          <cell r="E4" t="str">
            <v>A1</v>
          </cell>
        </row>
        <row r="5">
          <cell r="A5" t="str">
            <v>0120965</v>
          </cell>
          <cell r="B5">
            <v>774</v>
          </cell>
          <cell r="C5">
            <v>47</v>
          </cell>
          <cell r="D5" t="str">
            <v>B21600</v>
          </cell>
          <cell r="E5" t="str">
            <v>A1</v>
          </cell>
        </row>
        <row r="6">
          <cell r="A6" t="str">
            <v>0220267</v>
          </cell>
          <cell r="B6">
            <v>137</v>
          </cell>
          <cell r="C6">
            <v>3</v>
          </cell>
          <cell r="D6" t="str">
            <v>B22093</v>
          </cell>
          <cell r="E6" t="str">
            <v>A1</v>
          </cell>
        </row>
        <row r="7">
          <cell r="A7" t="str">
            <v>0220346</v>
          </cell>
          <cell r="B7">
            <v>506</v>
          </cell>
          <cell r="C7">
            <v>5</v>
          </cell>
          <cell r="D7" t="str">
            <v>B22125</v>
          </cell>
          <cell r="E7" t="str">
            <v>A1</v>
          </cell>
        </row>
        <row r="8">
          <cell r="A8" t="str">
            <v>0220504</v>
          </cell>
          <cell r="B8">
            <v>208</v>
          </cell>
          <cell r="C8">
            <v>25</v>
          </cell>
          <cell r="D8" t="str">
            <v>B22217</v>
          </cell>
          <cell r="E8" t="str">
            <v>A1</v>
          </cell>
        </row>
        <row r="9">
          <cell r="A9" t="str">
            <v>0220505</v>
          </cell>
          <cell r="B9">
            <v>209</v>
          </cell>
          <cell r="C9">
            <v>15</v>
          </cell>
          <cell r="D9" t="str">
            <v>B22217</v>
          </cell>
          <cell r="E9" t="str">
            <v>A1</v>
          </cell>
        </row>
        <row r="10">
          <cell r="A10" t="str">
            <v>0220917</v>
          </cell>
          <cell r="B10">
            <v>206</v>
          </cell>
          <cell r="C10">
            <v>22</v>
          </cell>
          <cell r="D10" t="str">
            <v>B22351</v>
          </cell>
          <cell r="E10" t="str">
            <v>A1</v>
          </cell>
        </row>
        <row r="11">
          <cell r="A11" t="str">
            <v>0221002</v>
          </cell>
          <cell r="B11">
            <v>135</v>
          </cell>
          <cell r="C11">
            <v>3</v>
          </cell>
          <cell r="D11" t="str">
            <v>B22333</v>
          </cell>
          <cell r="E11" t="str">
            <v>A1</v>
          </cell>
        </row>
        <row r="12">
          <cell r="A12" t="str">
            <v>0221030</v>
          </cell>
          <cell r="B12">
            <v>138</v>
          </cell>
          <cell r="C12">
            <v>6</v>
          </cell>
          <cell r="D12" t="str">
            <v>B22343</v>
          </cell>
          <cell r="E12" t="str">
            <v>A1</v>
          </cell>
        </row>
        <row r="13">
          <cell r="A13" t="str">
            <v>0221035</v>
          </cell>
          <cell r="B13">
            <v>280</v>
          </cell>
          <cell r="C13">
            <v>5</v>
          </cell>
          <cell r="D13" t="str">
            <v>B22343</v>
          </cell>
          <cell r="E13" t="str">
            <v>A1</v>
          </cell>
        </row>
        <row r="14">
          <cell r="A14" t="str">
            <v>0221037</v>
          </cell>
          <cell r="B14">
            <v>282</v>
          </cell>
          <cell r="C14">
            <v>71</v>
          </cell>
          <cell r="D14" t="str">
            <v>B22345</v>
          </cell>
          <cell r="E14" t="str">
            <v>A1</v>
          </cell>
        </row>
        <row r="15">
          <cell r="A15" t="str">
            <v>0221204</v>
          </cell>
          <cell r="B15">
            <v>135</v>
          </cell>
          <cell r="C15">
            <v>22</v>
          </cell>
          <cell r="D15" t="str">
            <v>B22393</v>
          </cell>
          <cell r="E15" t="str">
            <v>A1</v>
          </cell>
        </row>
        <row r="16">
          <cell r="A16" t="str">
            <v>0221227</v>
          </cell>
          <cell r="B16">
            <v>755</v>
          </cell>
          <cell r="C16">
            <v>25</v>
          </cell>
          <cell r="D16" t="str">
            <v>B22405</v>
          </cell>
          <cell r="E16" t="str">
            <v>A1</v>
          </cell>
        </row>
        <row r="17">
          <cell r="A17" t="str">
            <v>0221230</v>
          </cell>
          <cell r="B17">
            <v>133</v>
          </cell>
          <cell r="C17">
            <v>11</v>
          </cell>
          <cell r="D17" t="str">
            <v>B22393</v>
          </cell>
          <cell r="E17" t="str">
            <v>A1</v>
          </cell>
        </row>
        <row r="18">
          <cell r="A18" t="str">
            <v>0221256</v>
          </cell>
          <cell r="B18">
            <v>7190</v>
          </cell>
          <cell r="C18">
            <v>29</v>
          </cell>
          <cell r="D18" t="str">
            <v>B22398</v>
          </cell>
          <cell r="E18" t="str">
            <v>A1</v>
          </cell>
        </row>
        <row r="19">
          <cell r="A19" t="str">
            <v>0221260</v>
          </cell>
          <cell r="B19">
            <v>280</v>
          </cell>
          <cell r="C19">
            <v>1</v>
          </cell>
          <cell r="D19" t="str">
            <v>B22423</v>
          </cell>
          <cell r="E19" t="str">
            <v>A1</v>
          </cell>
        </row>
        <row r="20">
          <cell r="A20" t="str">
            <v>0221263</v>
          </cell>
          <cell r="B20">
            <v>744</v>
          </cell>
          <cell r="C20">
            <v>32</v>
          </cell>
          <cell r="D20" t="str">
            <v>B22402</v>
          </cell>
          <cell r="E20" t="str">
            <v>A1</v>
          </cell>
        </row>
        <row r="21">
          <cell r="A21" t="str">
            <v>0221290</v>
          </cell>
          <cell r="B21">
            <v>757</v>
          </cell>
          <cell r="C21">
            <v>22</v>
          </cell>
          <cell r="D21" t="str">
            <v>B22407</v>
          </cell>
          <cell r="E21" t="str">
            <v>A1</v>
          </cell>
        </row>
        <row r="22">
          <cell r="A22" t="str">
            <v>0221294</v>
          </cell>
          <cell r="B22">
            <v>279</v>
          </cell>
          <cell r="C22">
            <v>4</v>
          </cell>
          <cell r="D22" t="str">
            <v>B22423</v>
          </cell>
          <cell r="E22" t="str">
            <v>A1</v>
          </cell>
        </row>
        <row r="23">
          <cell r="A23" t="str">
            <v>0230523</v>
          </cell>
          <cell r="B23">
            <v>167</v>
          </cell>
          <cell r="C23">
            <v>48</v>
          </cell>
          <cell r="D23" t="str">
            <v>B22388</v>
          </cell>
          <cell r="E23" t="str">
            <v>A1</v>
          </cell>
        </row>
        <row r="24">
          <cell r="A24" t="str">
            <v>0310033</v>
          </cell>
          <cell r="B24">
            <v>827</v>
          </cell>
          <cell r="C24">
            <v>40</v>
          </cell>
          <cell r="D24" t="str">
            <v>B22421</v>
          </cell>
          <cell r="E24" t="str">
            <v>A1</v>
          </cell>
        </row>
        <row r="25">
          <cell r="A25" t="str">
            <v>0310065</v>
          </cell>
          <cell r="B25">
            <v>825</v>
          </cell>
          <cell r="C25">
            <v>40</v>
          </cell>
          <cell r="D25" t="str">
            <v>B22485</v>
          </cell>
          <cell r="E25" t="str">
            <v>A1</v>
          </cell>
        </row>
        <row r="26">
          <cell r="A26" t="str">
            <v>0320026</v>
          </cell>
          <cell r="B26">
            <v>134</v>
          </cell>
          <cell r="C26">
            <v>17</v>
          </cell>
          <cell r="D26" t="str">
            <v>B22441</v>
          </cell>
          <cell r="E26" t="str">
            <v>A1</v>
          </cell>
        </row>
        <row r="27">
          <cell r="A27" t="str">
            <v>0320027</v>
          </cell>
          <cell r="B27">
            <v>136</v>
          </cell>
          <cell r="C27">
            <v>20</v>
          </cell>
          <cell r="D27" t="str">
            <v>B22441</v>
          </cell>
          <cell r="E27" t="str">
            <v>A1</v>
          </cell>
        </row>
        <row r="28">
          <cell r="A28" t="str">
            <v>0320028</v>
          </cell>
          <cell r="B28">
            <v>138</v>
          </cell>
          <cell r="C28">
            <v>22</v>
          </cell>
          <cell r="D28" t="str">
            <v>B22441</v>
          </cell>
          <cell r="E28" t="str">
            <v>A1</v>
          </cell>
        </row>
        <row r="29">
          <cell r="A29" t="str">
            <v>0320030</v>
          </cell>
          <cell r="B29">
            <v>279</v>
          </cell>
          <cell r="C29">
            <v>44</v>
          </cell>
          <cell r="D29" t="str">
            <v>B22441</v>
          </cell>
          <cell r="E29" t="str">
            <v>A1</v>
          </cell>
        </row>
        <row r="30">
          <cell r="A30" t="str">
            <v>0320031</v>
          </cell>
          <cell r="B30">
            <v>283</v>
          </cell>
          <cell r="C30">
            <v>8</v>
          </cell>
          <cell r="D30" t="str">
            <v>B22441</v>
          </cell>
          <cell r="E30" t="str">
            <v>A1</v>
          </cell>
        </row>
        <row r="31">
          <cell r="A31" t="str">
            <v>0320032</v>
          </cell>
          <cell r="B31">
            <v>284</v>
          </cell>
          <cell r="C31">
            <v>24</v>
          </cell>
          <cell r="D31" t="str">
            <v>B22441</v>
          </cell>
          <cell r="E31" t="str">
            <v>A1</v>
          </cell>
        </row>
        <row r="32">
          <cell r="A32" t="str">
            <v>0320033</v>
          </cell>
          <cell r="B32">
            <v>281</v>
          </cell>
          <cell r="C32">
            <v>46</v>
          </cell>
          <cell r="D32" t="str">
            <v>B22441</v>
          </cell>
          <cell r="E32" t="str">
            <v>A1</v>
          </cell>
        </row>
        <row r="33">
          <cell r="A33" t="str">
            <v>0320036</v>
          </cell>
          <cell r="B33">
            <v>280</v>
          </cell>
          <cell r="C33">
            <v>39</v>
          </cell>
          <cell r="D33" t="str">
            <v>B22456</v>
          </cell>
          <cell r="E33" t="str">
            <v>A1</v>
          </cell>
        </row>
        <row r="34">
          <cell r="A34" t="str">
            <v>0320050</v>
          </cell>
          <cell r="B34">
            <v>405</v>
          </cell>
          <cell r="C34">
            <v>32</v>
          </cell>
          <cell r="D34" t="str">
            <v>B22447</v>
          </cell>
          <cell r="E34" t="str">
            <v>A1</v>
          </cell>
        </row>
        <row r="35">
          <cell r="A35" t="str">
            <v>0320053</v>
          </cell>
          <cell r="B35">
            <v>139</v>
          </cell>
          <cell r="C35">
            <v>8</v>
          </cell>
          <cell r="D35" t="str">
            <v>B22441</v>
          </cell>
          <cell r="E35" t="str">
            <v>A1</v>
          </cell>
        </row>
        <row r="36">
          <cell r="A36" t="str">
            <v>0320059</v>
          </cell>
          <cell r="B36">
            <v>756</v>
          </cell>
          <cell r="C36">
            <v>27</v>
          </cell>
          <cell r="D36" t="str">
            <v>B22417</v>
          </cell>
          <cell r="E36" t="str">
            <v>A1</v>
          </cell>
        </row>
        <row r="37">
          <cell r="A37" t="str">
            <v>0320068</v>
          </cell>
          <cell r="B37">
            <v>299</v>
          </cell>
          <cell r="C37">
            <v>273</v>
          </cell>
          <cell r="D37" t="str">
            <v>B22453</v>
          </cell>
          <cell r="E37" t="str">
            <v>A1</v>
          </cell>
        </row>
        <row r="38">
          <cell r="A38" t="str">
            <v>0320079</v>
          </cell>
          <cell r="B38">
            <v>753</v>
          </cell>
          <cell r="C38">
            <v>30</v>
          </cell>
          <cell r="D38" t="str">
            <v>B22421</v>
          </cell>
          <cell r="E38" t="str">
            <v>A1</v>
          </cell>
        </row>
        <row r="39">
          <cell r="A39" t="str">
            <v>0320080</v>
          </cell>
          <cell r="B39">
            <v>504</v>
          </cell>
          <cell r="C39">
            <v>30</v>
          </cell>
          <cell r="D39" t="str">
            <v>B22452</v>
          </cell>
          <cell r="E39" t="str">
            <v>A1</v>
          </cell>
        </row>
        <row r="40">
          <cell r="A40" t="str">
            <v>0320102</v>
          </cell>
          <cell r="B40">
            <v>134</v>
          </cell>
          <cell r="C40">
            <v>22</v>
          </cell>
          <cell r="D40" t="str">
            <v>B22464</v>
          </cell>
          <cell r="E40" t="str">
            <v>A1</v>
          </cell>
        </row>
        <row r="41">
          <cell r="A41" t="str">
            <v>0320103</v>
          </cell>
          <cell r="B41">
            <v>139</v>
          </cell>
          <cell r="C41">
            <v>22</v>
          </cell>
          <cell r="D41" t="str">
            <v>B22456</v>
          </cell>
          <cell r="E41" t="str">
            <v>A1</v>
          </cell>
        </row>
        <row r="42">
          <cell r="A42" t="str">
            <v>0320104</v>
          </cell>
          <cell r="B42">
            <v>305</v>
          </cell>
          <cell r="C42">
            <v>13</v>
          </cell>
          <cell r="D42" t="str">
            <v>B22457</v>
          </cell>
          <cell r="E42" t="str">
            <v>A1</v>
          </cell>
        </row>
        <row r="43">
          <cell r="A43" t="str">
            <v>0320106</v>
          </cell>
          <cell r="B43">
            <v>283</v>
          </cell>
          <cell r="C43">
            <v>44</v>
          </cell>
          <cell r="D43" t="str">
            <v>B22464</v>
          </cell>
          <cell r="E43" t="str">
            <v>A1</v>
          </cell>
        </row>
        <row r="44">
          <cell r="A44" t="str">
            <v>0320107</v>
          </cell>
          <cell r="B44">
            <v>284</v>
          </cell>
          <cell r="C44">
            <v>44</v>
          </cell>
          <cell r="D44" t="str">
            <v>B22464</v>
          </cell>
          <cell r="E44" t="str">
            <v>A1</v>
          </cell>
        </row>
        <row r="45">
          <cell r="A45" t="str">
            <v>0320108</v>
          </cell>
          <cell r="B45">
            <v>279</v>
          </cell>
          <cell r="C45">
            <v>88</v>
          </cell>
          <cell r="D45" t="str">
            <v>B22456</v>
          </cell>
          <cell r="E45" t="str">
            <v>A1</v>
          </cell>
        </row>
        <row r="46">
          <cell r="A46" t="str">
            <v>0320109</v>
          </cell>
          <cell r="B46">
            <v>281</v>
          </cell>
          <cell r="C46">
            <v>88</v>
          </cell>
          <cell r="D46" t="str">
            <v>B22464</v>
          </cell>
          <cell r="E46" t="str">
            <v>A1</v>
          </cell>
        </row>
        <row r="47">
          <cell r="A47" t="str">
            <v>0320111</v>
          </cell>
          <cell r="B47">
            <v>280</v>
          </cell>
          <cell r="C47">
            <v>132</v>
          </cell>
          <cell r="D47" t="str">
            <v>B22464</v>
          </cell>
          <cell r="E47" t="str">
            <v>A1</v>
          </cell>
        </row>
        <row r="48">
          <cell r="A48" t="str">
            <v>0320112</v>
          </cell>
          <cell r="B48">
            <v>285</v>
          </cell>
          <cell r="C48">
            <v>119</v>
          </cell>
          <cell r="D48" t="str">
            <v>B22456</v>
          </cell>
          <cell r="E48" t="str">
            <v>A1</v>
          </cell>
        </row>
        <row r="49">
          <cell r="A49" t="str">
            <v>0320137</v>
          </cell>
          <cell r="B49">
            <v>134</v>
          </cell>
          <cell r="C49">
            <v>22</v>
          </cell>
          <cell r="D49" t="str">
            <v>B22464</v>
          </cell>
          <cell r="E49" t="str">
            <v>A1</v>
          </cell>
        </row>
        <row r="50">
          <cell r="A50" t="str">
            <v>0320152</v>
          </cell>
          <cell r="B50">
            <v>754</v>
          </cell>
          <cell r="C50">
            <v>54</v>
          </cell>
          <cell r="D50" t="str">
            <v>B22474</v>
          </cell>
          <cell r="E50" t="str">
            <v>A1</v>
          </cell>
        </row>
        <row r="51">
          <cell r="A51" t="str">
            <v>0320169</v>
          </cell>
          <cell r="B51">
            <v>303</v>
          </cell>
          <cell r="C51">
            <v>30</v>
          </cell>
          <cell r="D51" t="str">
            <v>B22457</v>
          </cell>
          <cell r="E51" t="str">
            <v>A1</v>
          </cell>
        </row>
        <row r="52">
          <cell r="A52" t="str">
            <v>0320173</v>
          </cell>
          <cell r="B52">
            <v>724</v>
          </cell>
          <cell r="C52">
            <v>53</v>
          </cell>
          <cell r="D52" t="str">
            <v>B22475</v>
          </cell>
          <cell r="E52" t="str">
            <v>A1</v>
          </cell>
        </row>
        <row r="53">
          <cell r="A53" t="str">
            <v>0320174</v>
          </cell>
          <cell r="B53">
            <v>8906</v>
          </cell>
          <cell r="C53">
            <v>44</v>
          </cell>
          <cell r="D53" t="str">
            <v>B22479</v>
          </cell>
          <cell r="E53" t="str">
            <v>A1</v>
          </cell>
        </row>
        <row r="54">
          <cell r="A54" t="str">
            <v>0320178</v>
          </cell>
          <cell r="B54">
            <v>162</v>
          </cell>
          <cell r="C54">
            <v>17</v>
          </cell>
          <cell r="D54" t="str">
            <v>B22468</v>
          </cell>
          <cell r="E54" t="str">
            <v>A1</v>
          </cell>
        </row>
        <row r="55">
          <cell r="A55" t="str">
            <v>0320180</v>
          </cell>
          <cell r="B55">
            <v>303</v>
          </cell>
          <cell r="C55">
            <v>60</v>
          </cell>
          <cell r="D55" t="str">
            <v>B22459</v>
          </cell>
          <cell r="E55" t="str">
            <v>A1</v>
          </cell>
        </row>
        <row r="56">
          <cell r="A56" t="str">
            <v>0320182</v>
          </cell>
          <cell r="B56">
            <v>134</v>
          </cell>
          <cell r="C56">
            <v>37</v>
          </cell>
          <cell r="D56" t="str">
            <v>B22464</v>
          </cell>
          <cell r="E56" t="str">
            <v>A1</v>
          </cell>
        </row>
        <row r="57">
          <cell r="A57" t="str">
            <v>0320197</v>
          </cell>
          <cell r="B57">
            <v>151</v>
          </cell>
          <cell r="C57">
            <v>48</v>
          </cell>
          <cell r="D57" t="str">
            <v>B22466</v>
          </cell>
          <cell r="E57" t="str">
            <v>A1</v>
          </cell>
        </row>
        <row r="58">
          <cell r="A58" t="str">
            <v>0320203</v>
          </cell>
          <cell r="B58">
            <v>6146</v>
          </cell>
          <cell r="C58">
            <v>24</v>
          </cell>
          <cell r="E58" t="str">
            <v>A1</v>
          </cell>
        </row>
        <row r="59">
          <cell r="A59" t="str">
            <v>0320205</v>
          </cell>
          <cell r="B59">
            <v>303</v>
          </cell>
          <cell r="C59">
            <v>120</v>
          </cell>
          <cell r="D59" t="str">
            <v>B22467</v>
          </cell>
          <cell r="E59" t="str">
            <v>A1</v>
          </cell>
        </row>
        <row r="60">
          <cell r="A60" t="str">
            <v>0320296</v>
          </cell>
          <cell r="B60">
            <v>6146</v>
          </cell>
          <cell r="C60">
            <v>40</v>
          </cell>
          <cell r="E60" t="str">
            <v>A1</v>
          </cell>
        </row>
        <row r="61">
          <cell r="A61" t="str">
            <v>0330067</v>
          </cell>
          <cell r="B61">
            <v>1124</v>
          </cell>
          <cell r="C61">
            <v>40</v>
          </cell>
          <cell r="E61" t="str">
            <v>A1</v>
          </cell>
        </row>
        <row r="62">
          <cell r="A62" t="str">
            <v>9910061</v>
          </cell>
          <cell r="B62">
            <v>7118</v>
          </cell>
          <cell r="C62">
            <v>19</v>
          </cell>
          <cell r="E62" t="str">
            <v>A1</v>
          </cell>
        </row>
        <row r="63">
          <cell r="A63" t="str">
            <v>0220586</v>
          </cell>
          <cell r="B63">
            <v>291</v>
          </cell>
          <cell r="C63">
            <v>12</v>
          </cell>
          <cell r="D63" t="str">
            <v>B22255</v>
          </cell>
          <cell r="E63" t="str">
            <v>A2</v>
          </cell>
        </row>
        <row r="64">
          <cell r="A64" t="str">
            <v>0220834</v>
          </cell>
          <cell r="B64">
            <v>755</v>
          </cell>
          <cell r="C64">
            <v>20</v>
          </cell>
          <cell r="D64" t="str">
            <v>B22309</v>
          </cell>
          <cell r="E64" t="str">
            <v>A2</v>
          </cell>
        </row>
        <row r="65">
          <cell r="A65" t="str">
            <v>0220959</v>
          </cell>
          <cell r="B65">
            <v>729</v>
          </cell>
          <cell r="C65">
            <v>42</v>
          </cell>
          <cell r="D65" t="str">
            <v>B22372</v>
          </cell>
          <cell r="E65" t="str">
            <v>A2</v>
          </cell>
        </row>
        <row r="66">
          <cell r="A66" t="str">
            <v>0220964</v>
          </cell>
          <cell r="B66">
            <v>744</v>
          </cell>
          <cell r="C66">
            <v>22</v>
          </cell>
          <cell r="D66" t="str">
            <v>B22364</v>
          </cell>
          <cell r="E66" t="str">
            <v>A2</v>
          </cell>
        </row>
        <row r="67">
          <cell r="A67" t="str">
            <v>0221038</v>
          </cell>
          <cell r="B67">
            <v>1539</v>
          </cell>
          <cell r="C67">
            <v>2</v>
          </cell>
          <cell r="D67" t="str">
            <v>B22386</v>
          </cell>
          <cell r="E67" t="str">
            <v>A2</v>
          </cell>
        </row>
        <row r="68">
          <cell r="A68" t="str">
            <v>0221085</v>
          </cell>
          <cell r="B68">
            <v>766</v>
          </cell>
          <cell r="C68">
            <v>300</v>
          </cell>
          <cell r="D68" t="str">
            <v>B22383</v>
          </cell>
          <cell r="E68" t="str">
            <v>A2</v>
          </cell>
        </row>
        <row r="69">
          <cell r="A69" t="str">
            <v>0221221</v>
          </cell>
          <cell r="B69">
            <v>753</v>
          </cell>
          <cell r="C69">
            <v>5</v>
          </cell>
          <cell r="D69" t="str">
            <v>B22375</v>
          </cell>
          <cell r="E69" t="str">
            <v>A2</v>
          </cell>
        </row>
        <row r="70">
          <cell r="A70" t="str">
            <v>0221233</v>
          </cell>
          <cell r="B70">
            <v>163</v>
          </cell>
          <cell r="C70">
            <v>26</v>
          </cell>
          <cell r="D70" t="str">
            <v>B22429</v>
          </cell>
          <cell r="E70" t="str">
            <v>A2</v>
          </cell>
        </row>
        <row r="71">
          <cell r="A71" t="str">
            <v>0221299</v>
          </cell>
          <cell r="B71">
            <v>7246</v>
          </cell>
          <cell r="C71">
            <v>41</v>
          </cell>
          <cell r="D71" t="str">
            <v>B22407</v>
          </cell>
          <cell r="E71" t="str">
            <v>A2</v>
          </cell>
        </row>
        <row r="72">
          <cell r="A72" t="str">
            <v>0310019</v>
          </cell>
          <cell r="B72">
            <v>828</v>
          </cell>
          <cell r="C72">
            <v>71</v>
          </cell>
          <cell r="D72" t="str">
            <v>B22421</v>
          </cell>
          <cell r="E72" t="str">
            <v>A2</v>
          </cell>
        </row>
        <row r="73">
          <cell r="A73" t="str">
            <v>0320007</v>
          </cell>
          <cell r="B73">
            <v>510</v>
          </cell>
          <cell r="C73">
            <v>39</v>
          </cell>
          <cell r="D73" t="str">
            <v>B22452</v>
          </cell>
          <cell r="E73" t="str">
            <v>A2</v>
          </cell>
        </row>
        <row r="74">
          <cell r="A74" t="str">
            <v>0320014</v>
          </cell>
          <cell r="B74">
            <v>141</v>
          </cell>
          <cell r="C74">
            <v>29</v>
          </cell>
          <cell r="D74" t="str">
            <v>B22449</v>
          </cell>
          <cell r="E74" t="str">
            <v>A2</v>
          </cell>
        </row>
        <row r="75">
          <cell r="A75" t="str">
            <v>0320038</v>
          </cell>
          <cell r="B75">
            <v>407</v>
          </cell>
          <cell r="C75">
            <v>140</v>
          </cell>
          <cell r="D75" t="str">
            <v>B22446</v>
          </cell>
          <cell r="E75" t="str">
            <v>A2</v>
          </cell>
        </row>
        <row r="76">
          <cell r="A76" t="str">
            <v>0320042</v>
          </cell>
          <cell r="B76">
            <v>7208</v>
          </cell>
          <cell r="C76">
            <v>150</v>
          </cell>
          <cell r="D76" t="str">
            <v>B22438</v>
          </cell>
          <cell r="E76" t="str">
            <v>A2</v>
          </cell>
        </row>
        <row r="77">
          <cell r="A77" t="str">
            <v>0320045</v>
          </cell>
          <cell r="B77">
            <v>717</v>
          </cell>
          <cell r="C77">
            <v>37</v>
          </cell>
          <cell r="D77" t="str">
            <v>B22441</v>
          </cell>
          <cell r="E77" t="str">
            <v>A2</v>
          </cell>
        </row>
        <row r="78">
          <cell r="A78" t="str">
            <v>0320061</v>
          </cell>
          <cell r="B78">
            <v>155</v>
          </cell>
          <cell r="C78">
            <v>22</v>
          </cell>
          <cell r="D78" t="str">
            <v>B22452</v>
          </cell>
          <cell r="E78" t="str">
            <v>A2</v>
          </cell>
        </row>
        <row r="79">
          <cell r="A79" t="str">
            <v>0320067</v>
          </cell>
          <cell r="B79">
            <v>405</v>
          </cell>
          <cell r="C79">
            <v>540</v>
          </cell>
          <cell r="D79" t="str">
            <v>B22454</v>
          </cell>
          <cell r="E79" t="str">
            <v>A2</v>
          </cell>
        </row>
        <row r="80">
          <cell r="A80" t="str">
            <v>0320082</v>
          </cell>
          <cell r="B80">
            <v>750</v>
          </cell>
          <cell r="C80">
            <v>53</v>
          </cell>
          <cell r="D80" t="str">
            <v>B22474</v>
          </cell>
          <cell r="E80" t="str">
            <v>A2</v>
          </cell>
        </row>
        <row r="81">
          <cell r="A81" t="str">
            <v>0320086</v>
          </cell>
          <cell r="B81">
            <v>4067</v>
          </cell>
          <cell r="C81">
            <v>504</v>
          </cell>
          <cell r="D81" t="str">
            <v>B22462</v>
          </cell>
          <cell r="E81" t="str">
            <v>A2</v>
          </cell>
        </row>
        <row r="82">
          <cell r="A82" t="str">
            <v>0320110</v>
          </cell>
          <cell r="B82">
            <v>154</v>
          </cell>
          <cell r="C82">
            <v>96</v>
          </cell>
          <cell r="D82" t="str">
            <v>B22452</v>
          </cell>
          <cell r="E82" t="str">
            <v>A2</v>
          </cell>
        </row>
        <row r="83">
          <cell r="A83" t="str">
            <v>0320119</v>
          </cell>
          <cell r="B83">
            <v>143</v>
          </cell>
          <cell r="C83">
            <v>243</v>
          </cell>
          <cell r="D83" t="str">
            <v>B22467</v>
          </cell>
          <cell r="E83" t="str">
            <v>A2</v>
          </cell>
        </row>
        <row r="84">
          <cell r="A84" t="str">
            <v>0320139</v>
          </cell>
          <cell r="B84">
            <v>164</v>
          </cell>
          <cell r="C84">
            <v>40</v>
          </cell>
          <cell r="D84" t="str">
            <v>B22502</v>
          </cell>
          <cell r="E84" t="str">
            <v>A2</v>
          </cell>
        </row>
        <row r="85">
          <cell r="A85" t="str">
            <v>0320140</v>
          </cell>
          <cell r="B85">
            <v>299</v>
          </cell>
          <cell r="C85">
            <v>196</v>
          </cell>
          <cell r="D85" t="str">
            <v>B22499</v>
          </cell>
          <cell r="E85" t="str">
            <v>A2</v>
          </cell>
        </row>
        <row r="86">
          <cell r="A86" t="str">
            <v>0320143</v>
          </cell>
          <cell r="B86">
            <v>723</v>
          </cell>
          <cell r="C86">
            <v>604</v>
          </cell>
          <cell r="D86" t="str">
            <v>B22476</v>
          </cell>
          <cell r="E86" t="str">
            <v>A2</v>
          </cell>
        </row>
        <row r="87">
          <cell r="A87" t="str">
            <v>0320168</v>
          </cell>
          <cell r="B87">
            <v>151</v>
          </cell>
          <cell r="C87">
            <v>15</v>
          </cell>
          <cell r="D87" t="str">
            <v>B22453</v>
          </cell>
          <cell r="E87" t="str">
            <v>A2</v>
          </cell>
        </row>
        <row r="88">
          <cell r="A88" t="str">
            <v>0320171</v>
          </cell>
          <cell r="B88">
            <v>153</v>
          </cell>
          <cell r="C88">
            <v>112</v>
          </cell>
          <cell r="D88" t="str">
            <v>B22460</v>
          </cell>
          <cell r="E88" t="str">
            <v>A2</v>
          </cell>
        </row>
        <row r="89">
          <cell r="A89" t="str">
            <v>0320176</v>
          </cell>
          <cell r="B89">
            <v>754</v>
          </cell>
          <cell r="C89">
            <v>50</v>
          </cell>
          <cell r="D89" t="str">
            <v>B22482</v>
          </cell>
          <cell r="E89" t="str">
            <v>A2</v>
          </cell>
        </row>
        <row r="90">
          <cell r="A90" t="str">
            <v>0320184</v>
          </cell>
          <cell r="B90">
            <v>290</v>
          </cell>
          <cell r="C90">
            <v>98</v>
          </cell>
          <cell r="D90" t="str">
            <v>B22497</v>
          </cell>
          <cell r="E90" t="str">
            <v>A2</v>
          </cell>
        </row>
        <row r="91">
          <cell r="A91" t="str">
            <v>0320186</v>
          </cell>
          <cell r="B91">
            <v>1539</v>
          </cell>
          <cell r="C91">
            <v>128</v>
          </cell>
          <cell r="D91" t="str">
            <v>B22465</v>
          </cell>
          <cell r="E91" t="str">
            <v>A2</v>
          </cell>
        </row>
        <row r="92">
          <cell r="A92" t="str">
            <v>0320192</v>
          </cell>
          <cell r="B92">
            <v>142</v>
          </cell>
          <cell r="C92">
            <v>720</v>
          </cell>
          <cell r="D92" t="str">
            <v>B22497</v>
          </cell>
          <cell r="E92" t="str">
            <v>A2</v>
          </cell>
        </row>
        <row r="93">
          <cell r="A93" t="str">
            <v>0320193</v>
          </cell>
          <cell r="B93">
            <v>297</v>
          </cell>
          <cell r="C93">
            <v>375</v>
          </cell>
          <cell r="D93" t="str">
            <v>B22502</v>
          </cell>
          <cell r="E93" t="str">
            <v>A2</v>
          </cell>
        </row>
        <row r="94">
          <cell r="A94" t="str">
            <v>0320228</v>
          </cell>
          <cell r="B94">
            <v>154</v>
          </cell>
          <cell r="C94">
            <v>48</v>
          </cell>
          <cell r="D94" t="str">
            <v>B22504</v>
          </cell>
          <cell r="E94" t="str">
            <v>A2</v>
          </cell>
        </row>
        <row r="95">
          <cell r="A95" t="str">
            <v>0320261</v>
          </cell>
          <cell r="B95">
            <v>155</v>
          </cell>
          <cell r="C95">
            <v>42</v>
          </cell>
          <cell r="D95" t="str">
            <v>B22502</v>
          </cell>
          <cell r="E95" t="str">
            <v>A2</v>
          </cell>
        </row>
        <row r="96">
          <cell r="A96" t="str">
            <v>0120965</v>
          </cell>
          <cell r="B96">
            <v>774</v>
          </cell>
          <cell r="C96">
            <v>2</v>
          </cell>
          <cell r="D96" t="str">
            <v>B21600</v>
          </cell>
          <cell r="E96" t="str">
            <v>AAA</v>
          </cell>
        </row>
        <row r="97">
          <cell r="A97" t="str">
            <v>0210247</v>
          </cell>
          <cell r="B97">
            <v>7136</v>
          </cell>
          <cell r="C97">
            <v>1</v>
          </cell>
          <cell r="D97" t="str">
            <v>B22284</v>
          </cell>
          <cell r="E97" t="str">
            <v>AAA</v>
          </cell>
        </row>
        <row r="98">
          <cell r="A98" t="str">
            <v>0220195</v>
          </cell>
          <cell r="B98">
            <v>5840</v>
          </cell>
          <cell r="C98">
            <v>4</v>
          </cell>
          <cell r="D98" t="str">
            <v>B22070</v>
          </cell>
          <cell r="E98" t="str">
            <v>AAA</v>
          </cell>
        </row>
        <row r="99">
          <cell r="A99" t="str">
            <v>0220634</v>
          </cell>
          <cell r="B99">
            <v>5840</v>
          </cell>
          <cell r="C99">
            <v>26</v>
          </cell>
          <cell r="D99" t="str">
            <v>B22231</v>
          </cell>
          <cell r="E99" t="str">
            <v>AAA</v>
          </cell>
        </row>
        <row r="100">
          <cell r="A100" t="str">
            <v>0221012</v>
          </cell>
          <cell r="B100">
            <v>726</v>
          </cell>
          <cell r="C100">
            <v>2</v>
          </cell>
          <cell r="D100" t="str">
            <v>B22363</v>
          </cell>
          <cell r="E100" t="str">
            <v>AAA</v>
          </cell>
        </row>
        <row r="101">
          <cell r="A101" t="str">
            <v>0221209</v>
          </cell>
          <cell r="B101">
            <v>7246</v>
          </cell>
          <cell r="C101">
            <v>1</v>
          </cell>
          <cell r="D101" t="str">
            <v>B22375</v>
          </cell>
          <cell r="E101" t="str">
            <v>AAA</v>
          </cell>
        </row>
        <row r="102">
          <cell r="A102" t="str">
            <v>0230271</v>
          </cell>
          <cell r="B102">
            <v>2685</v>
          </cell>
          <cell r="C102">
            <v>1</v>
          </cell>
          <cell r="D102" t="str">
            <v>B22228</v>
          </cell>
          <cell r="E102" t="str">
            <v>AAA</v>
          </cell>
        </row>
        <row r="103">
          <cell r="A103" t="str">
            <v>0230495</v>
          </cell>
          <cell r="B103">
            <v>2691</v>
          </cell>
          <cell r="C103">
            <v>1</v>
          </cell>
          <cell r="D103" t="str">
            <v>B22369</v>
          </cell>
          <cell r="E103" t="str">
            <v>AAA</v>
          </cell>
        </row>
        <row r="104">
          <cell r="A104" t="str">
            <v>0320040</v>
          </cell>
          <cell r="B104">
            <v>4067</v>
          </cell>
          <cell r="C104">
            <v>1</v>
          </cell>
          <cell r="D104" t="str">
            <v>B22452</v>
          </cell>
          <cell r="E104" t="str">
            <v>AAA</v>
          </cell>
        </row>
        <row r="105">
          <cell r="A105" t="str">
            <v>9920352</v>
          </cell>
          <cell r="B105">
            <v>134</v>
          </cell>
          <cell r="C105">
            <v>7</v>
          </cell>
          <cell r="E105" t="str">
            <v>AAA</v>
          </cell>
        </row>
        <row r="106">
          <cell r="A106" t="str">
            <v>9920404</v>
          </cell>
          <cell r="B106">
            <v>138</v>
          </cell>
          <cell r="C106">
            <v>5</v>
          </cell>
          <cell r="D106" t="str">
            <v>B20120</v>
          </cell>
          <cell r="E106" t="str">
            <v>AAA</v>
          </cell>
        </row>
        <row r="107">
          <cell r="A107" t="str">
            <v>9920437</v>
          </cell>
          <cell r="B107">
            <v>139</v>
          </cell>
          <cell r="C107">
            <v>4</v>
          </cell>
          <cell r="E107" t="str">
            <v>AAA</v>
          </cell>
        </row>
        <row r="108">
          <cell r="A108" t="str">
            <v>9920497</v>
          </cell>
          <cell r="B108">
            <v>138</v>
          </cell>
          <cell r="C108">
            <v>1</v>
          </cell>
          <cell r="E108" t="str">
            <v>AAA</v>
          </cell>
        </row>
        <row r="109">
          <cell r="A109" t="str">
            <v>9920547</v>
          </cell>
          <cell r="B109">
            <v>138</v>
          </cell>
          <cell r="C109">
            <v>3</v>
          </cell>
          <cell r="E109" t="str">
            <v>AAA</v>
          </cell>
        </row>
        <row r="110">
          <cell r="A110" t="str">
            <v>9920645</v>
          </cell>
          <cell r="B110">
            <v>135</v>
          </cell>
          <cell r="C110">
            <v>5</v>
          </cell>
          <cell r="E110" t="str">
            <v>AAA</v>
          </cell>
        </row>
        <row r="111">
          <cell r="A111" t="str">
            <v>9920647</v>
          </cell>
          <cell r="B111">
            <v>139</v>
          </cell>
          <cell r="C111">
            <v>22</v>
          </cell>
          <cell r="E111" t="str">
            <v>AAA</v>
          </cell>
        </row>
        <row r="112">
          <cell r="A112" t="str">
            <v>9920738</v>
          </cell>
          <cell r="B112">
            <v>137</v>
          </cell>
          <cell r="C112">
            <v>7</v>
          </cell>
          <cell r="E112" t="str">
            <v>AAA</v>
          </cell>
        </row>
        <row r="113">
          <cell r="A113" t="str">
            <v>9920843</v>
          </cell>
          <cell r="B113">
            <v>134</v>
          </cell>
          <cell r="C113">
            <v>1</v>
          </cell>
          <cell r="E113" t="str">
            <v>AAA</v>
          </cell>
        </row>
        <row r="114">
          <cell r="A114" t="str">
            <v>0120002</v>
          </cell>
          <cell r="B114">
            <v>776</v>
          </cell>
          <cell r="C114">
            <v>23</v>
          </cell>
          <cell r="D114" t="str">
            <v>B21088</v>
          </cell>
          <cell r="E114" t="str">
            <v>B1</v>
          </cell>
        </row>
        <row r="115">
          <cell r="A115" t="str">
            <v>0120003</v>
          </cell>
          <cell r="B115">
            <v>777</v>
          </cell>
          <cell r="C115">
            <v>9</v>
          </cell>
          <cell r="D115" t="str">
            <v>B21091</v>
          </cell>
          <cell r="E115" t="str">
            <v>B1</v>
          </cell>
        </row>
        <row r="116">
          <cell r="A116" t="str">
            <v>0130065</v>
          </cell>
          <cell r="B116">
            <v>8783</v>
          </cell>
          <cell r="C116">
            <v>10</v>
          </cell>
          <cell r="D116" t="str">
            <v>B21194</v>
          </cell>
          <cell r="E116" t="str">
            <v>B1</v>
          </cell>
        </row>
        <row r="117">
          <cell r="A117" t="str">
            <v>0220642</v>
          </cell>
          <cell r="B117">
            <v>503</v>
          </cell>
          <cell r="C117">
            <v>3</v>
          </cell>
          <cell r="D117" t="str">
            <v>B22261</v>
          </cell>
          <cell r="E117" t="str">
            <v>B1</v>
          </cell>
        </row>
        <row r="118">
          <cell r="A118" t="str">
            <v>0220701</v>
          </cell>
          <cell r="B118">
            <v>507</v>
          </cell>
          <cell r="C118">
            <v>2</v>
          </cell>
          <cell r="D118" t="str">
            <v>B22265</v>
          </cell>
          <cell r="E118" t="str">
            <v>B1</v>
          </cell>
        </row>
        <row r="119">
          <cell r="A119" t="str">
            <v>0220974</v>
          </cell>
          <cell r="B119">
            <v>758</v>
          </cell>
          <cell r="C119">
            <v>22</v>
          </cell>
          <cell r="D119" t="str">
            <v>B22354</v>
          </cell>
          <cell r="E119" t="str">
            <v>B1</v>
          </cell>
        </row>
        <row r="120">
          <cell r="A120" t="str">
            <v>0220976</v>
          </cell>
          <cell r="B120">
            <v>502</v>
          </cell>
          <cell r="C120">
            <v>7</v>
          </cell>
          <cell r="D120" t="str">
            <v>B22339</v>
          </cell>
          <cell r="E120" t="str">
            <v>B1</v>
          </cell>
        </row>
        <row r="121">
          <cell r="A121" t="str">
            <v>0221044</v>
          </cell>
          <cell r="B121">
            <v>766</v>
          </cell>
          <cell r="C121">
            <v>21</v>
          </cell>
          <cell r="D121" t="str">
            <v>B22337</v>
          </cell>
          <cell r="E121" t="str">
            <v>B1</v>
          </cell>
        </row>
        <row r="122">
          <cell r="A122" t="str">
            <v>0221224</v>
          </cell>
          <cell r="B122">
            <v>505</v>
          </cell>
          <cell r="C122">
            <v>6</v>
          </cell>
          <cell r="D122" t="str">
            <v>B22393</v>
          </cell>
          <cell r="E122" t="str">
            <v>B1</v>
          </cell>
        </row>
        <row r="123">
          <cell r="A123" t="str">
            <v>0221225</v>
          </cell>
          <cell r="B123">
            <v>508</v>
          </cell>
          <cell r="C123">
            <v>5</v>
          </cell>
          <cell r="D123" t="str">
            <v>B22396</v>
          </cell>
          <cell r="E123" t="str">
            <v>B1</v>
          </cell>
        </row>
        <row r="124">
          <cell r="A124" t="str">
            <v>0221259</v>
          </cell>
          <cell r="B124">
            <v>290</v>
          </cell>
          <cell r="C124">
            <v>6</v>
          </cell>
          <cell r="D124" t="str">
            <v>B22425</v>
          </cell>
          <cell r="E124" t="str">
            <v>B1</v>
          </cell>
        </row>
        <row r="125">
          <cell r="A125" t="str">
            <v>0221283</v>
          </cell>
          <cell r="B125">
            <v>680</v>
          </cell>
          <cell r="C125">
            <v>44</v>
          </cell>
          <cell r="D125" t="str">
            <v>B22424</v>
          </cell>
          <cell r="E125" t="str">
            <v>B1</v>
          </cell>
        </row>
        <row r="126">
          <cell r="A126" t="str">
            <v>0230529</v>
          </cell>
          <cell r="B126">
            <v>165</v>
          </cell>
          <cell r="C126">
            <v>18</v>
          </cell>
          <cell r="D126" t="str">
            <v>B22390</v>
          </cell>
          <cell r="E126" t="str">
            <v>B1</v>
          </cell>
        </row>
        <row r="127">
          <cell r="A127" t="str">
            <v>0310008</v>
          </cell>
          <cell r="B127">
            <v>825</v>
          </cell>
          <cell r="C127">
            <v>33</v>
          </cell>
          <cell r="D127" t="str">
            <v>B22410</v>
          </cell>
          <cell r="E127" t="str">
            <v>B1</v>
          </cell>
        </row>
        <row r="128">
          <cell r="A128" t="str">
            <v>0310066</v>
          </cell>
          <cell r="B128">
            <v>827</v>
          </cell>
          <cell r="C128">
            <v>40</v>
          </cell>
          <cell r="D128" t="str">
            <v>B22486</v>
          </cell>
          <cell r="E128" t="str">
            <v>B1</v>
          </cell>
        </row>
        <row r="129">
          <cell r="A129" t="str">
            <v>0320018</v>
          </cell>
          <cell r="B129">
            <v>149</v>
          </cell>
          <cell r="C129">
            <v>1</v>
          </cell>
          <cell r="D129" t="str">
            <v>B22451</v>
          </cell>
          <cell r="E129" t="str">
            <v>B1</v>
          </cell>
        </row>
        <row r="130">
          <cell r="A130" t="str">
            <v>0320035</v>
          </cell>
          <cell r="B130">
            <v>163</v>
          </cell>
          <cell r="C130">
            <v>92</v>
          </cell>
          <cell r="D130" t="str">
            <v>B22443</v>
          </cell>
          <cell r="E130" t="str">
            <v>B1</v>
          </cell>
        </row>
        <row r="131">
          <cell r="A131" t="str">
            <v>0320044</v>
          </cell>
          <cell r="B131">
            <v>7246</v>
          </cell>
          <cell r="C131">
            <v>200</v>
          </cell>
          <cell r="D131" t="str">
            <v>B22471</v>
          </cell>
          <cell r="E131" t="str">
            <v>B1</v>
          </cell>
        </row>
        <row r="132">
          <cell r="A132" t="str">
            <v>0320046</v>
          </cell>
          <cell r="B132">
            <v>142</v>
          </cell>
          <cell r="C132">
            <v>553</v>
          </cell>
          <cell r="D132" t="str">
            <v>B22458</v>
          </cell>
          <cell r="E132" t="str">
            <v>B1</v>
          </cell>
        </row>
        <row r="133">
          <cell r="A133" t="str">
            <v>0320048</v>
          </cell>
          <cell r="B133">
            <v>775</v>
          </cell>
          <cell r="C133">
            <v>43</v>
          </cell>
          <cell r="D133" t="str">
            <v>B22419</v>
          </cell>
          <cell r="E133" t="str">
            <v>B1</v>
          </cell>
        </row>
        <row r="134">
          <cell r="A134" t="str">
            <v>0320088</v>
          </cell>
          <cell r="B134">
            <v>772</v>
          </cell>
          <cell r="C134">
            <v>180</v>
          </cell>
          <cell r="D134" t="str">
            <v>B22419</v>
          </cell>
          <cell r="E134" t="str">
            <v>B1</v>
          </cell>
        </row>
        <row r="135">
          <cell r="A135" t="str">
            <v>0320090</v>
          </cell>
          <cell r="B135">
            <v>141</v>
          </cell>
          <cell r="C135">
            <v>180</v>
          </cell>
          <cell r="D135" t="str">
            <v>B22453</v>
          </cell>
          <cell r="E135" t="str">
            <v>B1</v>
          </cell>
        </row>
        <row r="136">
          <cell r="A136" t="str">
            <v>0320099</v>
          </cell>
          <cell r="B136">
            <v>8807</v>
          </cell>
          <cell r="C136">
            <v>46</v>
          </cell>
          <cell r="D136" t="str">
            <v>B22471</v>
          </cell>
          <cell r="E136" t="str">
            <v>B1</v>
          </cell>
        </row>
        <row r="137">
          <cell r="A137" t="str">
            <v>0320100</v>
          </cell>
          <cell r="B137">
            <v>506</v>
          </cell>
          <cell r="C137">
            <v>10</v>
          </cell>
          <cell r="D137" t="str">
            <v>B22455</v>
          </cell>
          <cell r="E137" t="str">
            <v>B1</v>
          </cell>
        </row>
        <row r="138">
          <cell r="A138" t="str">
            <v>0320114</v>
          </cell>
          <cell r="B138">
            <v>406</v>
          </cell>
          <cell r="C138">
            <v>1080</v>
          </cell>
          <cell r="D138" t="str">
            <v>B22460</v>
          </cell>
          <cell r="E138" t="str">
            <v>B1</v>
          </cell>
        </row>
        <row r="139">
          <cell r="A139" t="str">
            <v>0320116</v>
          </cell>
          <cell r="B139">
            <v>732</v>
          </cell>
          <cell r="C139">
            <v>64</v>
          </cell>
          <cell r="D139" t="str">
            <v>B22452</v>
          </cell>
          <cell r="E139" t="str">
            <v>B1</v>
          </cell>
        </row>
        <row r="140">
          <cell r="A140" t="str">
            <v>0320140</v>
          </cell>
          <cell r="B140">
            <v>299</v>
          </cell>
          <cell r="C140">
            <v>196</v>
          </cell>
          <cell r="D140" t="str">
            <v>B22499</v>
          </cell>
          <cell r="E140" t="str">
            <v>B1</v>
          </cell>
        </row>
        <row r="141">
          <cell r="A141" t="str">
            <v>0320151</v>
          </cell>
          <cell r="B141">
            <v>752</v>
          </cell>
          <cell r="C141">
            <v>5</v>
          </cell>
          <cell r="D141" t="str">
            <v>B22475</v>
          </cell>
          <cell r="E141" t="str">
            <v>B1</v>
          </cell>
        </row>
        <row r="142">
          <cell r="A142" t="str">
            <v>0320154</v>
          </cell>
          <cell r="B142">
            <v>291</v>
          </cell>
          <cell r="C142">
            <v>18</v>
          </cell>
          <cell r="D142" t="str">
            <v>B22466</v>
          </cell>
          <cell r="E142" t="str">
            <v>B1</v>
          </cell>
        </row>
        <row r="143">
          <cell r="A143" t="str">
            <v>0320155</v>
          </cell>
          <cell r="B143">
            <v>150</v>
          </cell>
          <cell r="C143">
            <v>4</v>
          </cell>
          <cell r="D143" t="str">
            <v>B22453</v>
          </cell>
          <cell r="E143" t="str">
            <v>B1</v>
          </cell>
        </row>
        <row r="144">
          <cell r="A144" t="str">
            <v>0320161</v>
          </cell>
          <cell r="B144">
            <v>716</v>
          </cell>
          <cell r="C144">
            <v>512</v>
          </cell>
          <cell r="D144" t="str">
            <v>B22477</v>
          </cell>
          <cell r="E144" t="str">
            <v>B1</v>
          </cell>
        </row>
        <row r="145">
          <cell r="A145" t="str">
            <v>0320179</v>
          </cell>
          <cell r="B145">
            <v>305</v>
          </cell>
          <cell r="C145">
            <v>30</v>
          </cell>
          <cell r="D145" t="str">
            <v>B22459</v>
          </cell>
          <cell r="E145" t="str">
            <v>B1</v>
          </cell>
        </row>
        <row r="146">
          <cell r="A146" t="str">
            <v>0320181</v>
          </cell>
          <cell r="B146">
            <v>155</v>
          </cell>
          <cell r="C146">
            <v>42</v>
          </cell>
          <cell r="D146" t="str">
            <v>B22466</v>
          </cell>
          <cell r="E146" t="str">
            <v>B1</v>
          </cell>
        </row>
        <row r="147">
          <cell r="A147" t="str">
            <v>0320183</v>
          </cell>
          <cell r="B147">
            <v>1540</v>
          </cell>
          <cell r="C147">
            <v>6</v>
          </cell>
          <cell r="D147" t="str">
            <v>B22465</v>
          </cell>
          <cell r="E147" t="str">
            <v>B1</v>
          </cell>
        </row>
        <row r="148">
          <cell r="A148" t="str">
            <v>0320189</v>
          </cell>
          <cell r="B148">
            <v>737</v>
          </cell>
          <cell r="C148">
            <v>176</v>
          </cell>
          <cell r="D148" t="str">
            <v>B22483</v>
          </cell>
          <cell r="E148" t="str">
            <v>B1</v>
          </cell>
        </row>
        <row r="149">
          <cell r="A149" t="str">
            <v>0320198</v>
          </cell>
          <cell r="B149">
            <v>149</v>
          </cell>
          <cell r="C149">
            <v>99</v>
          </cell>
          <cell r="D149" t="str">
            <v>B22458</v>
          </cell>
          <cell r="E149" t="str">
            <v>B1</v>
          </cell>
        </row>
        <row r="150">
          <cell r="A150" t="str">
            <v>0320219</v>
          </cell>
          <cell r="B150">
            <v>8807</v>
          </cell>
          <cell r="C150">
            <v>128</v>
          </cell>
          <cell r="D150" t="str">
            <v>B22482</v>
          </cell>
          <cell r="E150" t="str">
            <v>B1</v>
          </cell>
        </row>
        <row r="151">
          <cell r="A151" t="str">
            <v>0320234</v>
          </cell>
          <cell r="B151">
            <v>724</v>
          </cell>
          <cell r="C151">
            <v>88</v>
          </cell>
          <cell r="D151" t="str">
            <v>B22484</v>
          </cell>
          <cell r="E151" t="str">
            <v>B1</v>
          </cell>
        </row>
        <row r="152">
          <cell r="A152" t="str">
            <v>0320235</v>
          </cell>
          <cell r="B152">
            <v>773</v>
          </cell>
          <cell r="C152">
            <v>116</v>
          </cell>
          <cell r="D152" t="str">
            <v>B22481</v>
          </cell>
          <cell r="E152" t="str">
            <v>B1</v>
          </cell>
        </row>
        <row r="153">
          <cell r="A153" t="str">
            <v>0320244</v>
          </cell>
          <cell r="B153">
            <v>384</v>
          </cell>
          <cell r="C153">
            <v>99</v>
          </cell>
          <cell r="D153" t="str">
            <v>B22481</v>
          </cell>
          <cell r="E153" t="str">
            <v>B1</v>
          </cell>
        </row>
        <row r="154">
          <cell r="A154" t="str">
            <v>0320257</v>
          </cell>
          <cell r="B154">
            <v>384</v>
          </cell>
          <cell r="C154">
            <v>100</v>
          </cell>
          <cell r="D154" t="str">
            <v>B22486</v>
          </cell>
          <cell r="E154" t="str">
            <v>B1</v>
          </cell>
        </row>
        <row r="155">
          <cell r="A155" t="str">
            <v>0320269</v>
          </cell>
          <cell r="B155">
            <v>773</v>
          </cell>
          <cell r="C155">
            <v>116</v>
          </cell>
          <cell r="D155" t="str">
            <v>B22486</v>
          </cell>
          <cell r="E155" t="str">
            <v>B1</v>
          </cell>
        </row>
        <row r="156">
          <cell r="A156" t="str">
            <v>0320341</v>
          </cell>
          <cell r="B156">
            <v>198</v>
          </cell>
          <cell r="C156">
            <v>41</v>
          </cell>
          <cell r="E156" t="str">
            <v>B1</v>
          </cell>
        </row>
        <row r="157">
          <cell r="A157" t="str">
            <v>0221058</v>
          </cell>
          <cell r="B157">
            <v>303</v>
          </cell>
          <cell r="C157">
            <v>10</v>
          </cell>
          <cell r="D157" t="str">
            <v>B22347</v>
          </cell>
          <cell r="E157" t="str">
            <v>B2</v>
          </cell>
        </row>
        <row r="158">
          <cell r="A158" t="str">
            <v>0221075</v>
          </cell>
          <cell r="B158">
            <v>504</v>
          </cell>
          <cell r="C158">
            <v>3</v>
          </cell>
          <cell r="D158" t="str">
            <v>B22341</v>
          </cell>
          <cell r="E158" t="str">
            <v>B2</v>
          </cell>
        </row>
        <row r="159">
          <cell r="A159" t="str">
            <v>0221241</v>
          </cell>
          <cell r="B159">
            <v>726</v>
          </cell>
          <cell r="C159">
            <v>48</v>
          </cell>
          <cell r="D159" t="str">
            <v>B22409</v>
          </cell>
          <cell r="E159" t="str">
            <v>B2</v>
          </cell>
        </row>
        <row r="160">
          <cell r="A160" t="str">
            <v>0221291</v>
          </cell>
          <cell r="B160">
            <v>502</v>
          </cell>
          <cell r="C160">
            <v>50</v>
          </cell>
          <cell r="D160" t="str">
            <v>B22428</v>
          </cell>
          <cell r="E160" t="str">
            <v>B2</v>
          </cell>
        </row>
        <row r="161">
          <cell r="A161" t="str">
            <v>0250006</v>
          </cell>
          <cell r="B161">
            <v>707</v>
          </cell>
          <cell r="C161">
            <v>1</v>
          </cell>
          <cell r="D161" t="str">
            <v>B22312</v>
          </cell>
          <cell r="E161" t="str">
            <v>B2</v>
          </cell>
        </row>
        <row r="162">
          <cell r="A162" t="str">
            <v>0310025</v>
          </cell>
          <cell r="B162">
            <v>827</v>
          </cell>
          <cell r="C162">
            <v>40</v>
          </cell>
          <cell r="E162" t="str">
            <v>B2</v>
          </cell>
        </row>
        <row r="163">
          <cell r="A163" t="str">
            <v>0310027</v>
          </cell>
          <cell r="B163">
            <v>829</v>
          </cell>
          <cell r="C163">
            <v>117</v>
          </cell>
          <cell r="D163" t="str">
            <v>B22421</v>
          </cell>
          <cell r="E163" t="str">
            <v>B2</v>
          </cell>
        </row>
        <row r="164">
          <cell r="A164" t="str">
            <v>0320008</v>
          </cell>
          <cell r="B164">
            <v>501</v>
          </cell>
          <cell r="C164">
            <v>159</v>
          </cell>
          <cell r="D164" t="str">
            <v>B22455</v>
          </cell>
          <cell r="E164" t="str">
            <v>B2</v>
          </cell>
        </row>
        <row r="165">
          <cell r="A165" t="str">
            <v>0320062</v>
          </cell>
          <cell r="B165">
            <v>154</v>
          </cell>
          <cell r="C165">
            <v>9</v>
          </cell>
          <cell r="D165" t="str">
            <v>B22454</v>
          </cell>
          <cell r="E165" t="str">
            <v>B2</v>
          </cell>
        </row>
        <row r="166">
          <cell r="A166" t="str">
            <v>0320064</v>
          </cell>
          <cell r="B166">
            <v>1539</v>
          </cell>
          <cell r="C166">
            <v>17</v>
          </cell>
          <cell r="D166" t="str">
            <v>B22446</v>
          </cell>
          <cell r="E166" t="str">
            <v>B2</v>
          </cell>
        </row>
        <row r="167">
          <cell r="A167" t="str">
            <v>0320066</v>
          </cell>
          <cell r="B167">
            <v>297</v>
          </cell>
          <cell r="C167">
            <v>231</v>
          </cell>
          <cell r="D167" t="str">
            <v>B22461</v>
          </cell>
          <cell r="E167" t="str">
            <v>B2</v>
          </cell>
        </row>
        <row r="168">
          <cell r="A168" t="str">
            <v>0320069</v>
          </cell>
          <cell r="B168">
            <v>406</v>
          </cell>
          <cell r="C168">
            <v>380</v>
          </cell>
          <cell r="D168" t="str">
            <v>B22454</v>
          </cell>
          <cell r="E168" t="str">
            <v>B2</v>
          </cell>
        </row>
        <row r="169">
          <cell r="A169" t="str">
            <v>0320073</v>
          </cell>
          <cell r="B169">
            <v>718</v>
          </cell>
          <cell r="C169">
            <v>323</v>
          </cell>
          <cell r="D169" t="str">
            <v>B22446</v>
          </cell>
          <cell r="E169" t="str">
            <v>B2</v>
          </cell>
        </row>
        <row r="170">
          <cell r="A170" t="str">
            <v>0320081</v>
          </cell>
          <cell r="B170">
            <v>758</v>
          </cell>
          <cell r="C170">
            <v>100</v>
          </cell>
          <cell r="D170" t="str">
            <v>B22475</v>
          </cell>
          <cell r="E170" t="str">
            <v>B2</v>
          </cell>
        </row>
        <row r="171">
          <cell r="A171" t="str">
            <v>0320084</v>
          </cell>
          <cell r="B171">
            <v>296</v>
          </cell>
          <cell r="C171">
            <v>102</v>
          </cell>
          <cell r="D171" t="str">
            <v>B22453</v>
          </cell>
          <cell r="E171" t="str">
            <v>B2</v>
          </cell>
        </row>
        <row r="172">
          <cell r="A172" t="str">
            <v>0320087</v>
          </cell>
          <cell r="B172">
            <v>298</v>
          </cell>
          <cell r="C172">
            <v>801</v>
          </cell>
          <cell r="D172" t="str">
            <v>B22465</v>
          </cell>
          <cell r="E172" t="str">
            <v>B2</v>
          </cell>
        </row>
        <row r="173">
          <cell r="A173" t="str">
            <v>0320089</v>
          </cell>
          <cell r="B173">
            <v>737</v>
          </cell>
          <cell r="C173">
            <v>147</v>
          </cell>
          <cell r="D173" t="str">
            <v>B22472</v>
          </cell>
          <cell r="E173" t="str">
            <v>B2</v>
          </cell>
        </row>
        <row r="174">
          <cell r="A174" t="str">
            <v>0320093</v>
          </cell>
          <cell r="B174">
            <v>716</v>
          </cell>
          <cell r="C174">
            <v>324</v>
          </cell>
          <cell r="D174" t="str">
            <v>B22471</v>
          </cell>
          <cell r="E174" t="str">
            <v>B2</v>
          </cell>
        </row>
        <row r="175">
          <cell r="A175" t="str">
            <v>0320094</v>
          </cell>
          <cell r="B175">
            <v>717</v>
          </cell>
          <cell r="C175">
            <v>528</v>
          </cell>
          <cell r="D175" t="str">
            <v>B22452</v>
          </cell>
          <cell r="E175" t="str">
            <v>B2</v>
          </cell>
        </row>
        <row r="176">
          <cell r="A176" t="str">
            <v>0320117</v>
          </cell>
          <cell r="B176">
            <v>770</v>
          </cell>
          <cell r="C176">
            <v>103</v>
          </cell>
          <cell r="D176" t="str">
            <v>B22473</v>
          </cell>
          <cell r="E176" t="str">
            <v>B2</v>
          </cell>
        </row>
        <row r="177">
          <cell r="A177" t="str">
            <v>0320144</v>
          </cell>
          <cell r="B177">
            <v>718</v>
          </cell>
          <cell r="C177">
            <v>880</v>
          </cell>
          <cell r="D177" t="str">
            <v>B22499</v>
          </cell>
          <cell r="E177" t="str">
            <v>B2</v>
          </cell>
        </row>
        <row r="178">
          <cell r="A178" t="str">
            <v>0320153</v>
          </cell>
          <cell r="B178">
            <v>751</v>
          </cell>
          <cell r="C178">
            <v>266</v>
          </cell>
          <cell r="D178" t="str">
            <v>B22477</v>
          </cell>
          <cell r="E178" t="str">
            <v>B2</v>
          </cell>
        </row>
        <row r="179">
          <cell r="A179" t="str">
            <v>0320160</v>
          </cell>
          <cell r="B179">
            <v>726</v>
          </cell>
          <cell r="C179">
            <v>264</v>
          </cell>
          <cell r="D179" t="str">
            <v>B22479</v>
          </cell>
          <cell r="E179" t="str">
            <v>B2</v>
          </cell>
        </row>
        <row r="180">
          <cell r="A180" t="str">
            <v>0320187</v>
          </cell>
          <cell r="B180">
            <v>509</v>
          </cell>
          <cell r="C180">
            <v>50</v>
          </cell>
          <cell r="D180" t="str">
            <v>B22497</v>
          </cell>
          <cell r="E180" t="str">
            <v>B2</v>
          </cell>
        </row>
        <row r="181">
          <cell r="A181" t="str">
            <v>0320211</v>
          </cell>
          <cell r="B181">
            <v>148</v>
          </cell>
          <cell r="C181">
            <v>87</v>
          </cell>
          <cell r="D181" t="str">
            <v>B22467</v>
          </cell>
          <cell r="E181" t="str">
            <v>B2</v>
          </cell>
        </row>
        <row r="182">
          <cell r="A182" t="str">
            <v>0320213</v>
          </cell>
          <cell r="B182">
            <v>723</v>
          </cell>
          <cell r="C182">
            <v>704</v>
          </cell>
          <cell r="D182" t="str">
            <v>B22483</v>
          </cell>
          <cell r="E182" t="str">
            <v>B2</v>
          </cell>
        </row>
        <row r="183">
          <cell r="A183" t="str">
            <v>0320227</v>
          </cell>
          <cell r="B183">
            <v>157</v>
          </cell>
          <cell r="C183">
            <v>40</v>
          </cell>
          <cell r="D183" t="str">
            <v>B22502</v>
          </cell>
          <cell r="E183" t="str">
            <v>B2</v>
          </cell>
        </row>
        <row r="184">
          <cell r="A184" t="str">
            <v>0320231</v>
          </cell>
          <cell r="B184">
            <v>1540</v>
          </cell>
          <cell r="C184">
            <v>64</v>
          </cell>
          <cell r="D184" t="str">
            <v>B22467</v>
          </cell>
          <cell r="E184" t="str">
            <v>B2</v>
          </cell>
        </row>
        <row r="185">
          <cell r="A185" t="str">
            <v>0320243</v>
          </cell>
          <cell r="B185">
            <v>302</v>
          </cell>
          <cell r="C185">
            <v>61</v>
          </cell>
          <cell r="D185" t="str">
            <v>B22497</v>
          </cell>
          <cell r="E185" t="str">
            <v>B2</v>
          </cell>
        </row>
        <row r="186">
          <cell r="A186" t="str">
            <v>0350002</v>
          </cell>
          <cell r="B186">
            <v>707</v>
          </cell>
          <cell r="C186">
            <v>81</v>
          </cell>
          <cell r="D186" t="str">
            <v>B22481</v>
          </cell>
          <cell r="E186" t="str">
            <v>B2</v>
          </cell>
        </row>
        <row r="187">
          <cell r="A187" t="str">
            <v>0350003</v>
          </cell>
          <cell r="B187">
            <v>707</v>
          </cell>
          <cell r="C187">
            <v>192</v>
          </cell>
          <cell r="D187" t="str">
            <v>B22482</v>
          </cell>
          <cell r="E187" t="str">
            <v>B2</v>
          </cell>
        </row>
        <row r="188">
          <cell r="A188" t="str">
            <v>0210377</v>
          </cell>
          <cell r="B188">
            <v>835</v>
          </cell>
          <cell r="C188">
            <v>57</v>
          </cell>
          <cell r="D188" t="str">
            <v>B22406</v>
          </cell>
          <cell r="E188" t="str">
            <v>C1</v>
          </cell>
        </row>
        <row r="189">
          <cell r="A189" t="str">
            <v>0221048</v>
          </cell>
          <cell r="B189">
            <v>832</v>
          </cell>
          <cell r="C189">
            <v>19</v>
          </cell>
          <cell r="D189" t="str">
            <v>B22366</v>
          </cell>
          <cell r="E189" t="str">
            <v>C1</v>
          </cell>
        </row>
        <row r="190">
          <cell r="A190" t="str">
            <v>0221248</v>
          </cell>
          <cell r="B190">
            <v>821</v>
          </cell>
          <cell r="C190">
            <v>214</v>
          </cell>
          <cell r="D190" t="str">
            <v>B22375</v>
          </cell>
          <cell r="E190" t="str">
            <v>C1</v>
          </cell>
        </row>
        <row r="191">
          <cell r="A191" t="str">
            <v>0230158</v>
          </cell>
          <cell r="B191">
            <v>833</v>
          </cell>
          <cell r="C191">
            <v>28</v>
          </cell>
          <cell r="D191" t="str">
            <v>B22152</v>
          </cell>
          <cell r="E191" t="str">
            <v>C1</v>
          </cell>
        </row>
        <row r="192">
          <cell r="A192" t="str">
            <v>0310024</v>
          </cell>
          <cell r="B192">
            <v>3220</v>
          </cell>
          <cell r="C192">
            <v>32</v>
          </cell>
          <cell r="D192" t="str">
            <v>B22420</v>
          </cell>
          <cell r="E192" t="str">
            <v>C1</v>
          </cell>
        </row>
        <row r="193">
          <cell r="A193" t="str">
            <v>0320047</v>
          </cell>
          <cell r="B193">
            <v>832</v>
          </cell>
          <cell r="C193">
            <v>42</v>
          </cell>
          <cell r="D193" t="str">
            <v>B22415</v>
          </cell>
          <cell r="E193" t="str">
            <v>C1</v>
          </cell>
        </row>
        <row r="194">
          <cell r="A194" t="str">
            <v>0320074</v>
          </cell>
          <cell r="B194">
            <v>834</v>
          </cell>
          <cell r="C194">
            <v>6</v>
          </cell>
          <cell r="D194" t="str">
            <v>B22416</v>
          </cell>
          <cell r="E194" t="str">
            <v>C1</v>
          </cell>
        </row>
        <row r="195">
          <cell r="A195" t="str">
            <v>0320127</v>
          </cell>
          <cell r="B195">
            <v>834</v>
          </cell>
          <cell r="C195">
            <v>126</v>
          </cell>
          <cell r="D195" t="str">
            <v>B22475</v>
          </cell>
          <cell r="E195" t="str">
            <v>C1</v>
          </cell>
        </row>
        <row r="196">
          <cell r="A196" t="str">
            <v>0221078</v>
          </cell>
          <cell r="B196">
            <v>5840</v>
          </cell>
          <cell r="C196">
            <v>176</v>
          </cell>
          <cell r="D196" t="str">
            <v>B22403</v>
          </cell>
          <cell r="E196" t="str">
            <v>C2</v>
          </cell>
        </row>
        <row r="197">
          <cell r="A197" t="str">
            <v>0230485</v>
          </cell>
          <cell r="B197">
            <v>2685</v>
          </cell>
          <cell r="C197">
            <v>60</v>
          </cell>
          <cell r="D197" t="str">
            <v>B22363</v>
          </cell>
          <cell r="E197" t="str">
            <v>C2</v>
          </cell>
        </row>
        <row r="198">
          <cell r="A198" t="str">
            <v>0240212</v>
          </cell>
          <cell r="B198">
            <v>698</v>
          </cell>
          <cell r="C198">
            <v>20</v>
          </cell>
          <cell r="D198" t="str">
            <v>B22390</v>
          </cell>
          <cell r="E198" t="str">
            <v>C2</v>
          </cell>
        </row>
        <row r="199">
          <cell r="A199" t="str">
            <v>0240245</v>
          </cell>
          <cell r="B199">
            <v>697</v>
          </cell>
          <cell r="C199">
            <v>74</v>
          </cell>
          <cell r="D199" t="str">
            <v>B22449</v>
          </cell>
          <cell r="E199" t="str">
            <v>C2</v>
          </cell>
        </row>
        <row r="200">
          <cell r="A200" t="str">
            <v>0310012</v>
          </cell>
          <cell r="B200">
            <v>7036</v>
          </cell>
          <cell r="C200">
            <v>62</v>
          </cell>
          <cell r="D200" t="str">
            <v>B22433</v>
          </cell>
          <cell r="E200" t="str">
            <v>C2</v>
          </cell>
        </row>
        <row r="201">
          <cell r="A201" t="str">
            <v>0310042</v>
          </cell>
          <cell r="B201">
            <v>5862</v>
          </cell>
          <cell r="C201">
            <v>188</v>
          </cell>
          <cell r="D201" t="str">
            <v>B22478</v>
          </cell>
          <cell r="E201" t="str">
            <v>C2</v>
          </cell>
        </row>
        <row r="202">
          <cell r="A202" t="str">
            <v>0310058</v>
          </cell>
          <cell r="B202">
            <v>2026</v>
          </cell>
          <cell r="C202">
            <v>119</v>
          </cell>
          <cell r="D202" t="str">
            <v>B22485</v>
          </cell>
          <cell r="E202" t="str">
            <v>C2</v>
          </cell>
        </row>
        <row r="203">
          <cell r="A203" t="str">
            <v>0320091</v>
          </cell>
          <cell r="B203">
            <v>7166</v>
          </cell>
          <cell r="C203">
            <v>236</v>
          </cell>
          <cell r="D203" t="str">
            <v>B22478</v>
          </cell>
          <cell r="E203" t="str">
            <v>C2</v>
          </cell>
        </row>
        <row r="204">
          <cell r="A204" t="str">
            <v>0320175</v>
          </cell>
          <cell r="B204">
            <v>820</v>
          </cell>
          <cell r="C204">
            <v>128</v>
          </cell>
          <cell r="D204" t="str">
            <v>B22477</v>
          </cell>
          <cell r="E204" t="str">
            <v>C2</v>
          </cell>
        </row>
        <row r="205">
          <cell r="A205" t="str">
            <v>0340016</v>
          </cell>
          <cell r="B205">
            <v>697</v>
          </cell>
          <cell r="C205">
            <v>200</v>
          </cell>
          <cell r="D205" t="str">
            <v>B22507</v>
          </cell>
          <cell r="E205" t="str">
            <v>C2</v>
          </cell>
        </row>
        <row r="206">
          <cell r="A206" t="str">
            <v>0340037</v>
          </cell>
          <cell r="B206">
            <v>696</v>
          </cell>
          <cell r="C206">
            <v>440</v>
          </cell>
          <cell r="D206" t="str">
            <v>B22505</v>
          </cell>
          <cell r="E206" t="str">
            <v>C2</v>
          </cell>
        </row>
        <row r="207">
          <cell r="A207" t="str">
            <v>0310024</v>
          </cell>
          <cell r="B207">
            <v>3220</v>
          </cell>
          <cell r="C207">
            <v>4</v>
          </cell>
          <cell r="D207" t="str">
            <v>B22420</v>
          </cell>
          <cell r="E207" t="str">
            <v>D1</v>
          </cell>
        </row>
        <row r="208">
          <cell r="A208" t="str">
            <v>0320175</v>
          </cell>
          <cell r="B208">
            <v>820</v>
          </cell>
          <cell r="C208">
            <v>128</v>
          </cell>
          <cell r="D208" t="str">
            <v>B22477</v>
          </cell>
          <cell r="E208" t="str">
            <v>D1</v>
          </cell>
        </row>
        <row r="209">
          <cell r="A209" t="str">
            <v>0220749</v>
          </cell>
          <cell r="B209">
            <v>5840</v>
          </cell>
          <cell r="C209">
            <v>55</v>
          </cell>
          <cell r="D209" t="str">
            <v>B22309</v>
          </cell>
          <cell r="E209" t="str">
            <v>D2</v>
          </cell>
        </row>
        <row r="210">
          <cell r="A210" t="str">
            <v>0310010</v>
          </cell>
          <cell r="B210">
            <v>7136</v>
          </cell>
          <cell r="C210">
            <v>39</v>
          </cell>
          <cell r="D210" t="str">
            <v>B22432</v>
          </cell>
          <cell r="E210" t="str">
            <v>D2</v>
          </cell>
        </row>
        <row r="211">
          <cell r="A211" t="str">
            <v>0310015</v>
          </cell>
          <cell r="B211">
            <v>7036</v>
          </cell>
          <cell r="C211">
            <v>135</v>
          </cell>
          <cell r="D211" t="str">
            <v>B22443</v>
          </cell>
          <cell r="E211" t="str">
            <v>D2</v>
          </cell>
        </row>
        <row r="212">
          <cell r="A212" t="str">
            <v>0310018</v>
          </cell>
          <cell r="B212">
            <v>7156</v>
          </cell>
          <cell r="C212">
            <v>167</v>
          </cell>
          <cell r="D212" t="str">
            <v>B22445</v>
          </cell>
          <cell r="E212" t="str">
            <v>D2</v>
          </cell>
        </row>
        <row r="213">
          <cell r="A213" t="str">
            <v>0310057</v>
          </cell>
          <cell r="B213">
            <v>7156</v>
          </cell>
          <cell r="C213">
            <v>135</v>
          </cell>
          <cell r="D213" t="str">
            <v>B22507</v>
          </cell>
          <cell r="E213" t="str">
            <v>D2</v>
          </cell>
        </row>
        <row r="214">
          <cell r="A214" t="str">
            <v>0310068</v>
          </cell>
          <cell r="B214">
            <v>7136</v>
          </cell>
          <cell r="C214">
            <v>90</v>
          </cell>
          <cell r="D214" t="str">
            <v>B22506</v>
          </cell>
          <cell r="E214" t="str">
            <v>D2</v>
          </cell>
        </row>
        <row r="215">
          <cell r="A215" t="str">
            <v>0320071</v>
          </cell>
          <cell r="B215">
            <v>5427</v>
          </cell>
          <cell r="C215">
            <v>130</v>
          </cell>
          <cell r="D215" t="str">
            <v>B22448</v>
          </cell>
          <cell r="E215" t="str">
            <v>D2</v>
          </cell>
        </row>
        <row r="216">
          <cell r="A216" t="str">
            <v>0320078</v>
          </cell>
          <cell r="B216">
            <v>5890</v>
          </cell>
          <cell r="C216">
            <v>24</v>
          </cell>
          <cell r="D216" t="str">
            <v>B22419</v>
          </cell>
          <cell r="E216" t="str">
            <v>D2</v>
          </cell>
        </row>
        <row r="217">
          <cell r="A217" t="str">
            <v>0320120</v>
          </cell>
          <cell r="B217">
            <v>5425</v>
          </cell>
          <cell r="C217">
            <v>328</v>
          </cell>
          <cell r="D217" t="str">
            <v>B22465</v>
          </cell>
          <cell r="E217" t="str">
            <v>D2</v>
          </cell>
        </row>
        <row r="218">
          <cell r="A218" t="str">
            <v>0320142</v>
          </cell>
          <cell r="B218">
            <v>5427</v>
          </cell>
          <cell r="C218">
            <v>352</v>
          </cell>
          <cell r="D218" t="str">
            <v>B22466</v>
          </cell>
          <cell r="E218" t="str">
            <v>D2</v>
          </cell>
        </row>
        <row r="219">
          <cell r="A219" t="str">
            <v>0320201</v>
          </cell>
          <cell r="B219">
            <v>5890</v>
          </cell>
          <cell r="C219">
            <v>88</v>
          </cell>
          <cell r="D219" t="str">
            <v>B22482</v>
          </cell>
          <cell r="E219" t="str">
            <v>D2</v>
          </cell>
        </row>
        <row r="220">
          <cell r="A220" t="str">
            <v>0320236</v>
          </cell>
          <cell r="B220">
            <v>5425</v>
          </cell>
          <cell r="C220">
            <v>352</v>
          </cell>
          <cell r="D220" t="str">
            <v>B22502</v>
          </cell>
          <cell r="E220" t="str">
            <v>D2</v>
          </cell>
        </row>
        <row r="221">
          <cell r="A221" t="str">
            <v>0340015</v>
          </cell>
          <cell r="B221">
            <v>6366</v>
          </cell>
          <cell r="C221">
            <v>119</v>
          </cell>
          <cell r="D221" t="str">
            <v>B22504</v>
          </cell>
          <cell r="E221" t="str">
            <v>D2</v>
          </cell>
        </row>
        <row r="222">
          <cell r="A222" t="str">
            <v>0340023</v>
          </cell>
          <cell r="B222">
            <v>6367</v>
          </cell>
          <cell r="C222">
            <v>153</v>
          </cell>
          <cell r="D222" t="str">
            <v>B22470</v>
          </cell>
          <cell r="E222" t="str">
            <v>D2</v>
          </cell>
        </row>
        <row r="223">
          <cell r="A223" t="str">
            <v>0340026</v>
          </cell>
          <cell r="B223">
            <v>6366</v>
          </cell>
          <cell r="C223">
            <v>200</v>
          </cell>
          <cell r="D223" t="str">
            <v>B22504</v>
          </cell>
          <cell r="E223" t="str">
            <v>D2</v>
          </cell>
        </row>
        <row r="224">
          <cell r="A224" t="str">
            <v>0210345</v>
          </cell>
          <cell r="B224">
            <v>710</v>
          </cell>
          <cell r="C224">
            <v>53</v>
          </cell>
          <cell r="D224" t="str">
            <v>B22348</v>
          </cell>
          <cell r="E224" t="str">
            <v>E1</v>
          </cell>
        </row>
        <row r="225">
          <cell r="A225" t="str">
            <v>0210355</v>
          </cell>
          <cell r="B225">
            <v>710</v>
          </cell>
          <cell r="C225">
            <v>223</v>
          </cell>
          <cell r="D225" t="str">
            <v>B22398</v>
          </cell>
          <cell r="E225" t="str">
            <v>E1</v>
          </cell>
        </row>
        <row r="226">
          <cell r="A226" t="str">
            <v>0210373</v>
          </cell>
          <cell r="B226">
            <v>799</v>
          </cell>
          <cell r="C226">
            <v>18</v>
          </cell>
          <cell r="D226" t="str">
            <v>B22434</v>
          </cell>
          <cell r="E226" t="str">
            <v>E1</v>
          </cell>
        </row>
        <row r="227">
          <cell r="A227" t="str">
            <v>0210383</v>
          </cell>
          <cell r="B227">
            <v>714</v>
          </cell>
          <cell r="C227">
            <v>38</v>
          </cell>
          <cell r="D227" t="str">
            <v>B22409</v>
          </cell>
          <cell r="E227" t="str">
            <v>E1</v>
          </cell>
        </row>
        <row r="228">
          <cell r="A228" t="str">
            <v>0210386</v>
          </cell>
          <cell r="B228">
            <v>759</v>
          </cell>
          <cell r="C228">
            <v>19</v>
          </cell>
          <cell r="D228" t="str">
            <v>B22417</v>
          </cell>
          <cell r="E228" t="str">
            <v>E1</v>
          </cell>
        </row>
        <row r="229">
          <cell r="A229" t="str">
            <v>0230488</v>
          </cell>
          <cell r="B229">
            <v>748</v>
          </cell>
          <cell r="C229">
            <v>39</v>
          </cell>
          <cell r="D229" t="str">
            <v>B22354</v>
          </cell>
          <cell r="E229" t="str">
            <v>E1</v>
          </cell>
        </row>
        <row r="230">
          <cell r="A230" t="str">
            <v>0230526</v>
          </cell>
          <cell r="B230">
            <v>386</v>
          </cell>
          <cell r="C230">
            <v>20</v>
          </cell>
          <cell r="D230" t="str">
            <v>B22403</v>
          </cell>
          <cell r="E230" t="str">
            <v>E1</v>
          </cell>
        </row>
        <row r="231">
          <cell r="A231" t="str">
            <v>0310007</v>
          </cell>
          <cell r="B231">
            <v>714</v>
          </cell>
          <cell r="C231">
            <v>90</v>
          </cell>
          <cell r="D231" t="str">
            <v>B22414</v>
          </cell>
          <cell r="E231" t="str">
            <v>E1</v>
          </cell>
        </row>
        <row r="232">
          <cell r="A232" t="str">
            <v>0310028</v>
          </cell>
          <cell r="B232">
            <v>711</v>
          </cell>
          <cell r="C232">
            <v>89</v>
          </cell>
          <cell r="E232" t="str">
            <v>E1</v>
          </cell>
        </row>
        <row r="233">
          <cell r="A233" t="str">
            <v>0310030</v>
          </cell>
          <cell r="B233">
            <v>1443</v>
          </cell>
          <cell r="C233">
            <v>40</v>
          </cell>
          <cell r="D233" t="str">
            <v>B22421</v>
          </cell>
          <cell r="E233" t="str">
            <v>E1</v>
          </cell>
        </row>
        <row r="234">
          <cell r="A234" t="str">
            <v>0310044</v>
          </cell>
          <cell r="B234">
            <v>800</v>
          </cell>
          <cell r="C234">
            <v>144</v>
          </cell>
          <cell r="D234" t="str">
            <v>B22478</v>
          </cell>
          <cell r="E234" t="str">
            <v>E1</v>
          </cell>
        </row>
        <row r="235">
          <cell r="A235" t="str">
            <v>0310047</v>
          </cell>
          <cell r="B235">
            <v>714</v>
          </cell>
          <cell r="C235">
            <v>89</v>
          </cell>
          <cell r="D235" t="str">
            <v>B22477</v>
          </cell>
          <cell r="E235" t="str">
            <v>E1</v>
          </cell>
        </row>
        <row r="236">
          <cell r="A236" t="str">
            <v>0310048</v>
          </cell>
          <cell r="B236">
            <v>711</v>
          </cell>
          <cell r="C236">
            <v>180</v>
          </cell>
          <cell r="D236" t="str">
            <v>B22468</v>
          </cell>
          <cell r="E236" t="str">
            <v>E1</v>
          </cell>
        </row>
        <row r="237">
          <cell r="A237" t="str">
            <v>0320138</v>
          </cell>
          <cell r="B237">
            <v>388</v>
          </cell>
          <cell r="C237">
            <v>36</v>
          </cell>
          <cell r="E237" t="str">
            <v>E1</v>
          </cell>
        </row>
        <row r="238">
          <cell r="A238" t="str">
            <v>0330087</v>
          </cell>
          <cell r="B238">
            <v>746</v>
          </cell>
          <cell r="C238">
            <v>45</v>
          </cell>
          <cell r="D238" t="str">
            <v>B22484</v>
          </cell>
          <cell r="E238" t="str">
            <v>E1</v>
          </cell>
        </row>
        <row r="239">
          <cell r="A239" t="str">
            <v>0140285</v>
          </cell>
          <cell r="B239">
            <v>6969</v>
          </cell>
          <cell r="C239">
            <v>2</v>
          </cell>
          <cell r="D239" t="str">
            <v>B21827</v>
          </cell>
          <cell r="E239" t="str">
            <v>E2</v>
          </cell>
        </row>
        <row r="240">
          <cell r="A240" t="str">
            <v>0140318</v>
          </cell>
          <cell r="B240">
            <v>6969</v>
          </cell>
          <cell r="C240">
            <v>4</v>
          </cell>
          <cell r="D240" t="str">
            <v>B22037</v>
          </cell>
          <cell r="E240" t="str">
            <v>E2</v>
          </cell>
        </row>
        <row r="241">
          <cell r="A241" t="str">
            <v>0220627</v>
          </cell>
          <cell r="B241">
            <v>818</v>
          </cell>
          <cell r="C241">
            <v>13</v>
          </cell>
          <cell r="D241" t="str">
            <v>B22229</v>
          </cell>
          <cell r="E241" t="str">
            <v>E2</v>
          </cell>
        </row>
        <row r="242">
          <cell r="A242" t="str">
            <v>0220628</v>
          </cell>
          <cell r="B242">
            <v>819</v>
          </cell>
          <cell r="C242">
            <v>23</v>
          </cell>
          <cell r="D242" t="str">
            <v>B22229</v>
          </cell>
          <cell r="E242" t="str">
            <v>E2</v>
          </cell>
        </row>
        <row r="243">
          <cell r="A243" t="str">
            <v>0230465</v>
          </cell>
          <cell r="B243">
            <v>746</v>
          </cell>
          <cell r="C243">
            <v>13</v>
          </cell>
          <cell r="D243" t="str">
            <v>B22314</v>
          </cell>
          <cell r="E243" t="str">
            <v>E2</v>
          </cell>
        </row>
        <row r="244">
          <cell r="A244" t="str">
            <v>0240223</v>
          </cell>
          <cell r="B244">
            <v>6964</v>
          </cell>
          <cell r="C244">
            <v>38</v>
          </cell>
          <cell r="D244" t="str">
            <v>B22427</v>
          </cell>
          <cell r="E244" t="str">
            <v>E2</v>
          </cell>
        </row>
        <row r="245">
          <cell r="A245" t="str">
            <v>0310016</v>
          </cell>
          <cell r="B245">
            <v>799</v>
          </cell>
          <cell r="C245">
            <v>180</v>
          </cell>
          <cell r="D245" t="str">
            <v>B22443</v>
          </cell>
          <cell r="E245" t="str">
            <v>E2</v>
          </cell>
        </row>
        <row r="246">
          <cell r="A246" t="str">
            <v>0310034</v>
          </cell>
          <cell r="B246">
            <v>713</v>
          </cell>
          <cell r="C246">
            <v>114</v>
          </cell>
          <cell r="D246" t="str">
            <v>B22461</v>
          </cell>
          <cell r="E246" t="str">
            <v>E2</v>
          </cell>
        </row>
        <row r="247">
          <cell r="A247" t="str">
            <v>0310050</v>
          </cell>
          <cell r="B247">
            <v>706</v>
          </cell>
          <cell r="C247">
            <v>73</v>
          </cell>
          <cell r="D247" t="str">
            <v>B22465</v>
          </cell>
          <cell r="E247" t="str">
            <v>E2</v>
          </cell>
        </row>
        <row r="248">
          <cell r="A248" t="str">
            <v>0310056</v>
          </cell>
          <cell r="B248">
            <v>799</v>
          </cell>
          <cell r="C248">
            <v>135</v>
          </cell>
          <cell r="D248" t="str">
            <v>B22498</v>
          </cell>
          <cell r="E248" t="str">
            <v>E2</v>
          </cell>
        </row>
        <row r="249">
          <cell r="A249" t="str">
            <v>0310060</v>
          </cell>
          <cell r="B249">
            <v>800</v>
          </cell>
          <cell r="C249">
            <v>144</v>
          </cell>
          <cell r="D249" t="str">
            <v>B22480</v>
          </cell>
          <cell r="E249" t="str">
            <v>E2</v>
          </cell>
        </row>
        <row r="250">
          <cell r="A250" t="str">
            <v>0320133</v>
          </cell>
          <cell r="B250">
            <v>819</v>
          </cell>
          <cell r="C250">
            <v>36</v>
          </cell>
          <cell r="D250" t="str">
            <v>B22473</v>
          </cell>
          <cell r="E250" t="str">
            <v>E2</v>
          </cell>
        </row>
        <row r="251">
          <cell r="A251" t="str">
            <v>0320167</v>
          </cell>
          <cell r="B251">
            <v>818</v>
          </cell>
          <cell r="C251">
            <v>22</v>
          </cell>
          <cell r="D251" t="str">
            <v>B22474</v>
          </cell>
          <cell r="E251" t="str">
            <v>E2</v>
          </cell>
        </row>
        <row r="252">
          <cell r="A252" t="str">
            <v>0320279</v>
          </cell>
          <cell r="B252">
            <v>818</v>
          </cell>
          <cell r="C252">
            <v>150</v>
          </cell>
          <cell r="D252" t="str">
            <v>B22483</v>
          </cell>
          <cell r="E252" t="str">
            <v>E2</v>
          </cell>
        </row>
        <row r="253">
          <cell r="A253" t="str">
            <v>0330026</v>
          </cell>
          <cell r="B253">
            <v>747</v>
          </cell>
          <cell r="C253">
            <v>116</v>
          </cell>
          <cell r="D253" t="str">
            <v>B22419</v>
          </cell>
          <cell r="E253" t="str">
            <v>E2</v>
          </cell>
        </row>
        <row r="254">
          <cell r="A254" t="str">
            <v>0330039</v>
          </cell>
          <cell r="B254">
            <v>389</v>
          </cell>
          <cell r="C254">
            <v>41</v>
          </cell>
          <cell r="E254" t="str">
            <v>E2</v>
          </cell>
        </row>
        <row r="255">
          <cell r="A255" t="str">
            <v>0340000</v>
          </cell>
          <cell r="B255">
            <v>6963</v>
          </cell>
          <cell r="C255">
            <v>58</v>
          </cell>
          <cell r="D255" t="str">
            <v>B22460</v>
          </cell>
          <cell r="E255" t="str">
            <v>E2</v>
          </cell>
        </row>
        <row r="256">
          <cell r="A256" t="str">
            <v>0210384</v>
          </cell>
          <cell r="B256">
            <v>703</v>
          </cell>
          <cell r="C256">
            <v>84</v>
          </cell>
          <cell r="D256" t="str">
            <v>B22429</v>
          </cell>
          <cell r="E256" t="str">
            <v>F</v>
          </cell>
        </row>
        <row r="257">
          <cell r="A257" t="str">
            <v>0221275</v>
          </cell>
          <cell r="B257">
            <v>821</v>
          </cell>
          <cell r="C257">
            <v>264</v>
          </cell>
          <cell r="D257" t="str">
            <v>B22408</v>
          </cell>
          <cell r="E257" t="str">
            <v>F</v>
          </cell>
        </row>
        <row r="258">
          <cell r="A258" t="str">
            <v>0230573</v>
          </cell>
          <cell r="B258">
            <v>831</v>
          </cell>
          <cell r="C258">
            <v>81</v>
          </cell>
          <cell r="D258" t="str">
            <v>B22411</v>
          </cell>
          <cell r="E258" t="str">
            <v>F</v>
          </cell>
        </row>
        <row r="259">
          <cell r="A259" t="str">
            <v>0310011</v>
          </cell>
          <cell r="B259">
            <v>703</v>
          </cell>
          <cell r="C259">
            <v>315</v>
          </cell>
          <cell r="D259" t="str">
            <v>B22435</v>
          </cell>
          <cell r="E259" t="str">
            <v>F</v>
          </cell>
        </row>
        <row r="260">
          <cell r="A260" t="str">
            <v>0310017</v>
          </cell>
          <cell r="B260">
            <v>2026</v>
          </cell>
          <cell r="C260">
            <v>34</v>
          </cell>
          <cell r="D260" t="str">
            <v>B22416</v>
          </cell>
          <cell r="E260" t="str">
            <v>F</v>
          </cell>
        </row>
        <row r="261">
          <cell r="A261" t="str">
            <v>0310021</v>
          </cell>
          <cell r="B261">
            <v>715</v>
          </cell>
          <cell r="C261">
            <v>49</v>
          </cell>
          <cell r="D261" t="str">
            <v>B22447</v>
          </cell>
          <cell r="E261" t="str">
            <v>F</v>
          </cell>
        </row>
        <row r="262">
          <cell r="A262" t="str">
            <v>0310023</v>
          </cell>
          <cell r="B262">
            <v>759</v>
          </cell>
          <cell r="C262">
            <v>225</v>
          </cell>
          <cell r="D262" t="str">
            <v>B22418</v>
          </cell>
          <cell r="E262" t="str">
            <v>F</v>
          </cell>
        </row>
        <row r="263">
          <cell r="A263" t="str">
            <v>0310024</v>
          </cell>
          <cell r="B263">
            <v>3220</v>
          </cell>
          <cell r="C263">
            <v>45</v>
          </cell>
          <cell r="D263" t="str">
            <v>B22420</v>
          </cell>
          <cell r="E263" t="str">
            <v>F</v>
          </cell>
        </row>
        <row r="264">
          <cell r="A264" t="str">
            <v>0310032</v>
          </cell>
          <cell r="B264">
            <v>715</v>
          </cell>
          <cell r="C264">
            <v>315</v>
          </cell>
          <cell r="D264" t="str">
            <v>B22455</v>
          </cell>
          <cell r="E264" t="str">
            <v>F</v>
          </cell>
        </row>
        <row r="265">
          <cell r="A265" t="str">
            <v>0310036</v>
          </cell>
          <cell r="B265">
            <v>703</v>
          </cell>
          <cell r="C265">
            <v>315</v>
          </cell>
          <cell r="D265" t="str">
            <v>B22468</v>
          </cell>
          <cell r="E265" t="str">
            <v>F</v>
          </cell>
        </row>
        <row r="266">
          <cell r="A266" t="str">
            <v>0310038</v>
          </cell>
          <cell r="B266">
            <v>800</v>
          </cell>
          <cell r="C266">
            <v>125</v>
          </cell>
          <cell r="D266" t="str">
            <v>B22473</v>
          </cell>
          <cell r="E266" t="str">
            <v>F</v>
          </cell>
        </row>
        <row r="267">
          <cell r="A267" t="str">
            <v>0310043</v>
          </cell>
          <cell r="B267">
            <v>713</v>
          </cell>
          <cell r="C267">
            <v>315</v>
          </cell>
          <cell r="D267" t="str">
            <v>B22463</v>
          </cell>
          <cell r="E267" t="str">
            <v>F</v>
          </cell>
        </row>
        <row r="268">
          <cell r="A268" t="str">
            <v>0310059</v>
          </cell>
          <cell r="B268">
            <v>829</v>
          </cell>
          <cell r="C268">
            <v>159</v>
          </cell>
          <cell r="D268" t="str">
            <v>B22486</v>
          </cell>
          <cell r="E268" t="str">
            <v>F</v>
          </cell>
        </row>
        <row r="269">
          <cell r="A269" t="str">
            <v>0320092</v>
          </cell>
          <cell r="B269">
            <v>1426</v>
          </cell>
          <cell r="C269">
            <v>193</v>
          </cell>
          <cell r="D269" t="str">
            <v>B22458</v>
          </cell>
          <cell r="E269" t="str">
            <v>F</v>
          </cell>
        </row>
        <row r="270">
          <cell r="A270" t="str">
            <v>0320113</v>
          </cell>
          <cell r="B270">
            <v>407</v>
          </cell>
          <cell r="C270">
            <v>192</v>
          </cell>
          <cell r="D270" t="str">
            <v>B22466</v>
          </cell>
          <cell r="E270" t="str">
            <v>F</v>
          </cell>
        </row>
        <row r="271">
          <cell r="A271" t="str">
            <v>0320121</v>
          </cell>
          <cell r="B271">
            <v>717</v>
          </cell>
          <cell r="C271">
            <v>528</v>
          </cell>
          <cell r="D271" t="str">
            <v>B22467</v>
          </cell>
          <cell r="E271" t="str">
            <v>F</v>
          </cell>
        </row>
        <row r="272">
          <cell r="A272" t="str">
            <v>0320136</v>
          </cell>
          <cell r="B272">
            <v>501</v>
          </cell>
          <cell r="C272">
            <v>240</v>
          </cell>
          <cell r="D272" t="str">
            <v>B22500</v>
          </cell>
          <cell r="E272" t="str">
            <v>F</v>
          </cell>
        </row>
        <row r="273">
          <cell r="A273" t="str">
            <v>0320141</v>
          </cell>
          <cell r="B273">
            <v>406</v>
          </cell>
          <cell r="C273">
            <v>1080</v>
          </cell>
          <cell r="D273" t="str">
            <v>B22502</v>
          </cell>
          <cell r="E273" t="str">
            <v>F</v>
          </cell>
        </row>
        <row r="274">
          <cell r="A274" t="str">
            <v>0320157</v>
          </cell>
          <cell r="B274">
            <v>4067</v>
          </cell>
          <cell r="C274">
            <v>540</v>
          </cell>
          <cell r="D274" t="str">
            <v>B22500</v>
          </cell>
          <cell r="E274" t="str">
            <v>F</v>
          </cell>
        </row>
        <row r="275">
          <cell r="A275" t="str">
            <v>0320158</v>
          </cell>
          <cell r="B275">
            <v>298</v>
          </cell>
          <cell r="C275">
            <v>784</v>
          </cell>
          <cell r="D275" t="str">
            <v>B22498</v>
          </cell>
          <cell r="E275" t="str">
            <v>F</v>
          </cell>
        </row>
        <row r="276">
          <cell r="A276" t="str">
            <v>0320175</v>
          </cell>
          <cell r="B276">
            <v>820</v>
          </cell>
          <cell r="C276">
            <v>96</v>
          </cell>
          <cell r="D276" t="str">
            <v>B22477</v>
          </cell>
          <cell r="E276" t="str">
            <v>F</v>
          </cell>
        </row>
        <row r="277">
          <cell r="A277" t="str">
            <v>0320202</v>
          </cell>
          <cell r="B277">
            <v>820</v>
          </cell>
          <cell r="C277">
            <v>352</v>
          </cell>
          <cell r="D277" t="str">
            <v>B22482</v>
          </cell>
          <cell r="E277" t="str">
            <v>F</v>
          </cell>
        </row>
        <row r="278">
          <cell r="A278" t="str">
            <v>0320212</v>
          </cell>
          <cell r="B278">
            <v>716</v>
          </cell>
          <cell r="C278">
            <v>512</v>
          </cell>
          <cell r="D278" t="str">
            <v>B22485</v>
          </cell>
          <cell r="E278" t="str">
            <v>F</v>
          </cell>
        </row>
        <row r="279">
          <cell r="A279" t="str">
            <v>0320225</v>
          </cell>
          <cell r="B279">
            <v>751</v>
          </cell>
          <cell r="C279">
            <v>300</v>
          </cell>
          <cell r="D279" t="str">
            <v>B22485</v>
          </cell>
          <cell r="E279" t="str">
            <v>F</v>
          </cell>
        </row>
        <row r="280">
          <cell r="A280" t="str">
            <v>0320232</v>
          </cell>
          <cell r="B280">
            <v>153</v>
          </cell>
          <cell r="C280">
            <v>144</v>
          </cell>
          <cell r="D280" t="str">
            <v>B22498</v>
          </cell>
          <cell r="E280" t="str">
            <v>F</v>
          </cell>
        </row>
        <row r="281">
          <cell r="A281" t="str">
            <v>0320275</v>
          </cell>
          <cell r="B281">
            <v>726</v>
          </cell>
          <cell r="C281">
            <v>352</v>
          </cell>
          <cell r="D281" t="str">
            <v>B22486</v>
          </cell>
          <cell r="E281" t="str">
            <v>F</v>
          </cell>
        </row>
        <row r="282">
          <cell r="A282" t="str">
            <v>0320276</v>
          </cell>
          <cell r="B282">
            <v>718</v>
          </cell>
          <cell r="C282">
            <v>704</v>
          </cell>
          <cell r="D282" t="str">
            <v>B22507</v>
          </cell>
          <cell r="E282" t="str">
            <v>F</v>
          </cell>
        </row>
        <row r="283">
          <cell r="A283" t="str">
            <v>0330038</v>
          </cell>
          <cell r="B283">
            <v>749</v>
          </cell>
          <cell r="C283">
            <v>196</v>
          </cell>
          <cell r="D283" t="str">
            <v>B22473</v>
          </cell>
          <cell r="E283" t="str">
            <v>F</v>
          </cell>
        </row>
        <row r="284">
          <cell r="A284" t="str">
            <v>0330053</v>
          </cell>
          <cell r="B284">
            <v>2691</v>
          </cell>
          <cell r="C284">
            <v>122</v>
          </cell>
          <cell r="D284" t="str">
            <v>B22475</v>
          </cell>
          <cell r="E284" t="str">
            <v>F</v>
          </cell>
        </row>
        <row r="285">
          <cell r="A285" t="str">
            <v>0330061</v>
          </cell>
          <cell r="B285">
            <v>747</v>
          </cell>
          <cell r="C285">
            <v>135</v>
          </cell>
          <cell r="D285" t="str">
            <v>B22482</v>
          </cell>
          <cell r="E285" t="str">
            <v>F</v>
          </cell>
        </row>
        <row r="286">
          <cell r="A286" t="str">
            <v>0330075</v>
          </cell>
          <cell r="B286">
            <v>749</v>
          </cell>
          <cell r="C286">
            <v>225</v>
          </cell>
          <cell r="D286" t="str">
            <v>B22481</v>
          </cell>
          <cell r="E286" t="str">
            <v>F</v>
          </cell>
        </row>
        <row r="287">
          <cell r="A287" t="str">
            <v>0340027</v>
          </cell>
          <cell r="B287">
            <v>696</v>
          </cell>
          <cell r="C287">
            <v>63</v>
          </cell>
          <cell r="D287" t="str">
            <v>B22470</v>
          </cell>
          <cell r="E287" t="str">
            <v>F</v>
          </cell>
        </row>
        <row r="288">
          <cell r="A288" t="str">
            <v>0310061</v>
          </cell>
          <cell r="B288">
            <v>715</v>
          </cell>
          <cell r="C288">
            <v>315</v>
          </cell>
          <cell r="D288" t="str">
            <v>B22509</v>
          </cell>
          <cell r="E288" t="str">
            <v>INSP</v>
          </cell>
        </row>
        <row r="289">
          <cell r="A289" t="str">
            <v>0310062</v>
          </cell>
          <cell r="B289">
            <v>1758</v>
          </cell>
          <cell r="C289">
            <v>60</v>
          </cell>
          <cell r="D289" t="str">
            <v>B22536</v>
          </cell>
          <cell r="E289" t="str">
            <v>INSP</v>
          </cell>
        </row>
        <row r="290">
          <cell r="A290" t="str">
            <v>0310064</v>
          </cell>
          <cell r="B290">
            <v>3952</v>
          </cell>
          <cell r="C290">
            <v>40</v>
          </cell>
          <cell r="D290" t="str">
            <v>B22536</v>
          </cell>
          <cell r="E290" t="str">
            <v>INSP</v>
          </cell>
        </row>
        <row r="291">
          <cell r="A291" t="str">
            <v>0310067</v>
          </cell>
          <cell r="B291">
            <v>828</v>
          </cell>
          <cell r="C291">
            <v>40</v>
          </cell>
          <cell r="D291" t="str">
            <v>B22487</v>
          </cell>
          <cell r="E291" t="str">
            <v>INSP</v>
          </cell>
        </row>
        <row r="292">
          <cell r="A292" t="str">
            <v>0310070</v>
          </cell>
          <cell r="B292">
            <v>3220</v>
          </cell>
          <cell r="C292">
            <v>72</v>
          </cell>
          <cell r="D292" t="str">
            <v>B22489</v>
          </cell>
          <cell r="E292" t="str">
            <v>INSP</v>
          </cell>
        </row>
        <row r="293">
          <cell r="A293" t="str">
            <v>0310071</v>
          </cell>
          <cell r="B293">
            <v>3220</v>
          </cell>
          <cell r="C293">
            <v>72</v>
          </cell>
          <cell r="D293" t="str">
            <v>B22490</v>
          </cell>
          <cell r="E293" t="str">
            <v>INSP</v>
          </cell>
        </row>
        <row r="294">
          <cell r="A294" t="str">
            <v>0310072</v>
          </cell>
          <cell r="B294">
            <v>715</v>
          </cell>
          <cell r="C294">
            <v>137</v>
          </cell>
          <cell r="E294" t="str">
            <v>INSP</v>
          </cell>
        </row>
        <row r="295">
          <cell r="A295" t="str">
            <v>0310074</v>
          </cell>
          <cell r="B295">
            <v>2026</v>
          </cell>
          <cell r="C295">
            <v>30</v>
          </cell>
          <cell r="E295" t="str">
            <v>INSP</v>
          </cell>
        </row>
        <row r="296">
          <cell r="A296" t="str">
            <v>0310080</v>
          </cell>
          <cell r="B296">
            <v>759</v>
          </cell>
          <cell r="C296">
            <v>180</v>
          </cell>
          <cell r="D296" t="str">
            <v>B22488</v>
          </cell>
          <cell r="E296" t="str">
            <v>INSP</v>
          </cell>
        </row>
        <row r="297">
          <cell r="A297" t="str">
            <v>0320156</v>
          </cell>
          <cell r="B297">
            <v>296</v>
          </cell>
          <cell r="C297">
            <v>196</v>
          </cell>
          <cell r="D297" t="str">
            <v>B22503</v>
          </cell>
          <cell r="E297" t="str">
            <v>INSP</v>
          </cell>
        </row>
        <row r="298">
          <cell r="A298" t="str">
            <v>0320163</v>
          </cell>
          <cell r="B298">
            <v>4132</v>
          </cell>
          <cell r="C298">
            <v>50</v>
          </cell>
          <cell r="D298" t="str">
            <v>B22489</v>
          </cell>
          <cell r="E298" t="str">
            <v>INSP</v>
          </cell>
        </row>
        <row r="299">
          <cell r="A299" t="str">
            <v>0320177</v>
          </cell>
          <cell r="B299">
            <v>510</v>
          </cell>
          <cell r="C299">
            <v>93</v>
          </cell>
          <cell r="D299" t="str">
            <v>B22508</v>
          </cell>
          <cell r="E299" t="str">
            <v>INSP</v>
          </cell>
        </row>
        <row r="300">
          <cell r="A300" t="str">
            <v>0320188</v>
          </cell>
          <cell r="B300">
            <v>7208</v>
          </cell>
          <cell r="C300">
            <v>176</v>
          </cell>
          <cell r="D300" t="str">
            <v>B22503</v>
          </cell>
          <cell r="E300" t="str">
            <v>INSP</v>
          </cell>
        </row>
        <row r="301">
          <cell r="A301" t="str">
            <v>0320200</v>
          </cell>
          <cell r="B301">
            <v>2238</v>
          </cell>
          <cell r="C301">
            <v>25</v>
          </cell>
          <cell r="D301" t="str">
            <v>B22536</v>
          </cell>
          <cell r="E301" t="str">
            <v>INSP</v>
          </cell>
        </row>
        <row r="302">
          <cell r="A302" t="str">
            <v>0320209</v>
          </cell>
          <cell r="B302">
            <v>298</v>
          </cell>
          <cell r="C302">
            <v>980</v>
          </cell>
          <cell r="D302" t="str">
            <v>B22508</v>
          </cell>
          <cell r="E302" t="str">
            <v>INSP</v>
          </cell>
        </row>
        <row r="303">
          <cell r="A303" t="str">
            <v>0320214</v>
          </cell>
          <cell r="B303">
            <v>4265</v>
          </cell>
          <cell r="C303">
            <v>88</v>
          </cell>
          <cell r="D303" t="str">
            <v>B22490</v>
          </cell>
          <cell r="E303" t="str">
            <v>INSP</v>
          </cell>
        </row>
        <row r="304">
          <cell r="A304" t="str">
            <v>0320215</v>
          </cell>
          <cell r="B304">
            <v>4429</v>
          </cell>
          <cell r="C304">
            <v>32</v>
          </cell>
          <cell r="D304" t="str">
            <v>B22489</v>
          </cell>
          <cell r="E304" t="str">
            <v>INSP</v>
          </cell>
        </row>
        <row r="305">
          <cell r="A305" t="str">
            <v>0320216</v>
          </cell>
          <cell r="B305">
            <v>4455</v>
          </cell>
          <cell r="C305">
            <v>13</v>
          </cell>
          <cell r="D305" t="str">
            <v>B22489</v>
          </cell>
          <cell r="E305" t="str">
            <v>INSP</v>
          </cell>
        </row>
        <row r="306">
          <cell r="A306" t="str">
            <v>0320217</v>
          </cell>
          <cell r="B306">
            <v>2904</v>
          </cell>
          <cell r="C306">
            <v>503</v>
          </cell>
          <cell r="D306" t="str">
            <v>B22503</v>
          </cell>
          <cell r="E306" t="str">
            <v>INSP</v>
          </cell>
        </row>
        <row r="307">
          <cell r="A307" t="str">
            <v>0320218</v>
          </cell>
          <cell r="B307">
            <v>8906</v>
          </cell>
          <cell r="C307">
            <v>44</v>
          </cell>
          <cell r="D307" t="str">
            <v>B22490</v>
          </cell>
          <cell r="E307" t="str">
            <v>INSP</v>
          </cell>
        </row>
        <row r="308">
          <cell r="A308" t="str">
            <v>0320220</v>
          </cell>
          <cell r="B308">
            <v>5862</v>
          </cell>
          <cell r="C308">
            <v>256</v>
          </cell>
          <cell r="D308" t="str">
            <v>B22489</v>
          </cell>
          <cell r="E308" t="str">
            <v>INSP</v>
          </cell>
        </row>
        <row r="309">
          <cell r="A309" t="str">
            <v>0320221</v>
          </cell>
          <cell r="B309">
            <v>207</v>
          </cell>
          <cell r="C309">
            <v>40</v>
          </cell>
          <cell r="D309" t="str">
            <v>B22516</v>
          </cell>
          <cell r="E309" t="str">
            <v>INSP</v>
          </cell>
        </row>
        <row r="310">
          <cell r="A310" t="str">
            <v>0320222</v>
          </cell>
          <cell r="B310">
            <v>208</v>
          </cell>
          <cell r="C310">
            <v>20</v>
          </cell>
          <cell r="D310" t="str">
            <v>B22516</v>
          </cell>
          <cell r="E310" t="str">
            <v>INSP</v>
          </cell>
        </row>
        <row r="311">
          <cell r="A311" t="str">
            <v>0320223</v>
          </cell>
          <cell r="B311">
            <v>209</v>
          </cell>
          <cell r="C311">
            <v>20</v>
          </cell>
          <cell r="D311" t="str">
            <v>B22516</v>
          </cell>
          <cell r="E311" t="str">
            <v>INSP</v>
          </cell>
        </row>
        <row r="312">
          <cell r="A312" t="str">
            <v>0320224</v>
          </cell>
          <cell r="B312">
            <v>206</v>
          </cell>
          <cell r="C312">
            <v>100</v>
          </cell>
          <cell r="D312" t="str">
            <v>B22516</v>
          </cell>
          <cell r="E312" t="str">
            <v>INSP</v>
          </cell>
        </row>
        <row r="313">
          <cell r="A313" t="str">
            <v>0320229</v>
          </cell>
          <cell r="B313">
            <v>164</v>
          </cell>
          <cell r="C313">
            <v>48</v>
          </cell>
          <cell r="D313" t="str">
            <v>B22503</v>
          </cell>
          <cell r="E313" t="str">
            <v>INSP</v>
          </cell>
        </row>
        <row r="314">
          <cell r="A314" t="str">
            <v>0320230</v>
          </cell>
          <cell r="B314">
            <v>305</v>
          </cell>
          <cell r="C314">
            <v>60</v>
          </cell>
          <cell r="D314" t="str">
            <v>B22511</v>
          </cell>
          <cell r="E314" t="str">
            <v>INSP</v>
          </cell>
        </row>
        <row r="315">
          <cell r="A315" t="str">
            <v>0320237</v>
          </cell>
          <cell r="B315">
            <v>5427</v>
          </cell>
          <cell r="C315">
            <v>352</v>
          </cell>
          <cell r="D315" t="str">
            <v>B22503</v>
          </cell>
          <cell r="E315" t="str">
            <v>INSP</v>
          </cell>
        </row>
        <row r="316">
          <cell r="A316" t="str">
            <v>0320238</v>
          </cell>
          <cell r="B316">
            <v>717</v>
          </cell>
          <cell r="C316">
            <v>528</v>
          </cell>
          <cell r="D316" t="str">
            <v>B22510</v>
          </cell>
          <cell r="E316" t="str">
            <v>INSP</v>
          </cell>
        </row>
        <row r="317">
          <cell r="A317" t="str">
            <v>0320246</v>
          </cell>
          <cell r="B317">
            <v>9384</v>
          </cell>
          <cell r="C317">
            <v>250</v>
          </cell>
          <cell r="D317" t="str">
            <v>B22488</v>
          </cell>
          <cell r="E317" t="str">
            <v>INSP</v>
          </cell>
        </row>
        <row r="318">
          <cell r="A318" t="str">
            <v>0320248</v>
          </cell>
          <cell r="B318">
            <v>4465</v>
          </cell>
          <cell r="C318">
            <v>85</v>
          </cell>
          <cell r="D318" t="str">
            <v>B22536</v>
          </cell>
          <cell r="E318" t="str">
            <v>INSP</v>
          </cell>
        </row>
        <row r="319">
          <cell r="A319" t="str">
            <v>0320250</v>
          </cell>
          <cell r="B319">
            <v>4149</v>
          </cell>
          <cell r="C319">
            <v>100</v>
          </cell>
          <cell r="D319" t="str">
            <v>B22490</v>
          </cell>
          <cell r="E319" t="str">
            <v>INSP</v>
          </cell>
        </row>
        <row r="320">
          <cell r="A320" t="str">
            <v>0320253</v>
          </cell>
          <cell r="B320">
            <v>8368</v>
          </cell>
          <cell r="C320">
            <v>100</v>
          </cell>
          <cell r="D320" t="str">
            <v>B22489</v>
          </cell>
          <cell r="E320" t="str">
            <v>INSP</v>
          </cell>
        </row>
        <row r="321">
          <cell r="A321" t="str">
            <v>0320254</v>
          </cell>
          <cell r="B321">
            <v>4398</v>
          </cell>
          <cell r="C321">
            <v>50</v>
          </cell>
          <cell r="D321" t="str">
            <v>B22487</v>
          </cell>
          <cell r="E321" t="str">
            <v>INSP</v>
          </cell>
        </row>
        <row r="322">
          <cell r="A322" t="str">
            <v>0320256</v>
          </cell>
          <cell r="B322">
            <v>7190</v>
          </cell>
          <cell r="C322">
            <v>75</v>
          </cell>
          <cell r="E322" t="str">
            <v>INSP</v>
          </cell>
        </row>
        <row r="323">
          <cell r="A323" t="str">
            <v>0320265</v>
          </cell>
          <cell r="B323">
            <v>407</v>
          </cell>
          <cell r="C323">
            <v>160</v>
          </cell>
          <cell r="D323" t="str">
            <v>B22510</v>
          </cell>
          <cell r="E323" t="str">
            <v>INSP</v>
          </cell>
        </row>
        <row r="324">
          <cell r="A324" t="str">
            <v>0320267</v>
          </cell>
          <cell r="B324">
            <v>302</v>
          </cell>
          <cell r="C324">
            <v>240</v>
          </cell>
          <cell r="D324" t="str">
            <v>B22511</v>
          </cell>
          <cell r="E324" t="str">
            <v>INSP</v>
          </cell>
        </row>
        <row r="325">
          <cell r="A325" t="str">
            <v>0320271</v>
          </cell>
          <cell r="B325">
            <v>1426</v>
          </cell>
          <cell r="C325">
            <v>180</v>
          </cell>
          <cell r="D325" t="str">
            <v>B22512</v>
          </cell>
          <cell r="E325" t="str">
            <v>INSP</v>
          </cell>
        </row>
        <row r="326">
          <cell r="A326" t="str">
            <v>0320272</v>
          </cell>
          <cell r="B326">
            <v>772</v>
          </cell>
          <cell r="C326">
            <v>210</v>
          </cell>
          <cell r="E326" t="str">
            <v>INSP</v>
          </cell>
        </row>
        <row r="327">
          <cell r="A327" t="str">
            <v>0320273</v>
          </cell>
          <cell r="B327">
            <v>7166</v>
          </cell>
          <cell r="C327">
            <v>256</v>
          </cell>
          <cell r="D327" t="str">
            <v>B22487</v>
          </cell>
          <cell r="E327" t="str">
            <v>INSP</v>
          </cell>
        </row>
        <row r="328">
          <cell r="A328" t="str">
            <v>0320274</v>
          </cell>
          <cell r="B328">
            <v>143</v>
          </cell>
          <cell r="C328">
            <v>270</v>
          </cell>
          <cell r="D328" t="str">
            <v>B22512</v>
          </cell>
          <cell r="E328" t="str">
            <v>INSP</v>
          </cell>
        </row>
        <row r="329">
          <cell r="A329" t="str">
            <v>0320277</v>
          </cell>
          <cell r="B329">
            <v>3804</v>
          </cell>
          <cell r="C329">
            <v>50</v>
          </cell>
          <cell r="D329" t="str">
            <v>B22488</v>
          </cell>
          <cell r="E329" t="str">
            <v>INSP</v>
          </cell>
        </row>
        <row r="330">
          <cell r="A330" t="str">
            <v>0320284</v>
          </cell>
          <cell r="B330">
            <v>4417</v>
          </cell>
          <cell r="C330">
            <v>50</v>
          </cell>
          <cell r="D330" t="str">
            <v>B22536</v>
          </cell>
          <cell r="E330" t="str">
            <v>INSP</v>
          </cell>
        </row>
        <row r="331">
          <cell r="A331" t="str">
            <v>0320291</v>
          </cell>
          <cell r="B331">
            <v>756</v>
          </cell>
          <cell r="C331">
            <v>50</v>
          </cell>
          <cell r="D331" t="str">
            <v>B22488</v>
          </cell>
          <cell r="E331" t="str">
            <v>INSP</v>
          </cell>
        </row>
        <row r="332">
          <cell r="A332" t="str">
            <v>0320292</v>
          </cell>
          <cell r="B332">
            <v>758</v>
          </cell>
          <cell r="C332">
            <v>100</v>
          </cell>
          <cell r="D332" t="str">
            <v>B22488</v>
          </cell>
          <cell r="E332" t="str">
            <v>INSP</v>
          </cell>
        </row>
        <row r="333">
          <cell r="A333" t="str">
            <v>0320293</v>
          </cell>
          <cell r="B333">
            <v>750</v>
          </cell>
          <cell r="C333">
            <v>120</v>
          </cell>
          <cell r="D333" t="str">
            <v>B22489</v>
          </cell>
          <cell r="E333" t="str">
            <v>INSP</v>
          </cell>
        </row>
        <row r="334">
          <cell r="A334" t="str">
            <v>0320295</v>
          </cell>
          <cell r="B334">
            <v>162</v>
          </cell>
          <cell r="C334">
            <v>24</v>
          </cell>
          <cell r="D334" t="str">
            <v>B22510</v>
          </cell>
          <cell r="E334" t="str">
            <v>INSP</v>
          </cell>
        </row>
        <row r="335">
          <cell r="A335" t="str">
            <v>0320297</v>
          </cell>
          <cell r="B335">
            <v>150</v>
          </cell>
          <cell r="C335">
            <v>96</v>
          </cell>
          <cell r="D335" t="str">
            <v>B22515</v>
          </cell>
          <cell r="E335" t="str">
            <v>INSP</v>
          </cell>
        </row>
        <row r="336">
          <cell r="A336" t="str">
            <v>0320298</v>
          </cell>
          <cell r="B336">
            <v>153</v>
          </cell>
          <cell r="C336">
            <v>144</v>
          </cell>
          <cell r="D336" t="str">
            <v>B22515</v>
          </cell>
          <cell r="E336" t="str">
            <v>INSP</v>
          </cell>
        </row>
        <row r="337">
          <cell r="A337" t="str">
            <v>0320300</v>
          </cell>
          <cell r="B337">
            <v>406</v>
          </cell>
          <cell r="C337">
            <v>900</v>
          </cell>
          <cell r="D337" t="str">
            <v>B22514</v>
          </cell>
          <cell r="E337" t="str">
            <v>INSP</v>
          </cell>
        </row>
        <row r="338">
          <cell r="A338" t="str">
            <v>0320301</v>
          </cell>
          <cell r="B338">
            <v>406</v>
          </cell>
          <cell r="C338">
            <v>400</v>
          </cell>
          <cell r="E338" t="str">
            <v>INSP</v>
          </cell>
        </row>
        <row r="339">
          <cell r="A339" t="str">
            <v>0320306</v>
          </cell>
          <cell r="B339">
            <v>5425</v>
          </cell>
          <cell r="C339">
            <v>352</v>
          </cell>
          <cell r="D339" t="str">
            <v>B22514</v>
          </cell>
          <cell r="E339" t="str">
            <v>INSP</v>
          </cell>
        </row>
        <row r="340">
          <cell r="A340" t="str">
            <v>0320307</v>
          </cell>
          <cell r="B340">
            <v>5427</v>
          </cell>
          <cell r="C340">
            <v>352</v>
          </cell>
          <cell r="E340" t="str">
            <v>INSP</v>
          </cell>
        </row>
        <row r="341">
          <cell r="A341" t="str">
            <v>0320309</v>
          </cell>
          <cell r="B341">
            <v>718</v>
          </cell>
          <cell r="C341">
            <v>735</v>
          </cell>
          <cell r="E341" t="str">
            <v>INSP</v>
          </cell>
        </row>
        <row r="342">
          <cell r="A342" t="str">
            <v>0320310</v>
          </cell>
          <cell r="B342">
            <v>723</v>
          </cell>
          <cell r="C342">
            <v>884</v>
          </cell>
          <cell r="D342" t="str">
            <v>B22536</v>
          </cell>
          <cell r="E342" t="str">
            <v>INSP</v>
          </cell>
        </row>
        <row r="343">
          <cell r="A343" t="str">
            <v>0320312</v>
          </cell>
          <cell r="B343">
            <v>1797</v>
          </cell>
          <cell r="C343">
            <v>125</v>
          </cell>
          <cell r="D343" t="str">
            <v>B22490</v>
          </cell>
          <cell r="E343" t="str">
            <v>INSP</v>
          </cell>
        </row>
        <row r="344">
          <cell r="A344" t="str">
            <v>0320314</v>
          </cell>
          <cell r="B344">
            <v>141</v>
          </cell>
          <cell r="C344">
            <v>180</v>
          </cell>
          <cell r="D344" t="str">
            <v>B22511</v>
          </cell>
          <cell r="E344" t="str">
            <v>INSP</v>
          </cell>
        </row>
        <row r="345">
          <cell r="A345" t="str">
            <v>0320318</v>
          </cell>
          <cell r="B345">
            <v>752</v>
          </cell>
          <cell r="C345">
            <v>50</v>
          </cell>
          <cell r="D345" t="str">
            <v>B22490</v>
          </cell>
          <cell r="E345" t="str">
            <v>INSP</v>
          </cell>
        </row>
        <row r="346">
          <cell r="A346" t="str">
            <v>0320323</v>
          </cell>
          <cell r="B346">
            <v>290</v>
          </cell>
          <cell r="C346">
            <v>98</v>
          </cell>
          <cell r="D346" t="str">
            <v>B22512</v>
          </cell>
          <cell r="E346" t="str">
            <v>INSP</v>
          </cell>
        </row>
        <row r="347">
          <cell r="A347" t="str">
            <v>0320335</v>
          </cell>
          <cell r="B347">
            <v>302</v>
          </cell>
          <cell r="C347">
            <v>240</v>
          </cell>
          <cell r="E347" t="str">
            <v>INSP</v>
          </cell>
        </row>
        <row r="348">
          <cell r="A348" t="str">
            <v>0320350</v>
          </cell>
          <cell r="B348">
            <v>291</v>
          </cell>
          <cell r="C348">
            <v>40</v>
          </cell>
          <cell r="D348" t="str">
            <v>B22518</v>
          </cell>
          <cell r="E348" t="str">
            <v>INSP</v>
          </cell>
        </row>
        <row r="349">
          <cell r="A349" t="str">
            <v>0330066</v>
          </cell>
          <cell r="B349">
            <v>4437</v>
          </cell>
          <cell r="C349">
            <v>15</v>
          </cell>
          <cell r="D349" t="str">
            <v>B22490</v>
          </cell>
          <cell r="E349" t="str">
            <v>INSP</v>
          </cell>
        </row>
        <row r="350">
          <cell r="A350" t="str">
            <v>0330068</v>
          </cell>
          <cell r="B350">
            <v>4107</v>
          </cell>
          <cell r="C350">
            <v>35</v>
          </cell>
          <cell r="E350" t="str">
            <v>INSP</v>
          </cell>
        </row>
        <row r="351">
          <cell r="A351" t="str">
            <v>0330070</v>
          </cell>
          <cell r="B351">
            <v>4290</v>
          </cell>
          <cell r="C351">
            <v>20</v>
          </cell>
          <cell r="D351" t="str">
            <v>B22488</v>
          </cell>
          <cell r="E351" t="str">
            <v>INSP</v>
          </cell>
        </row>
        <row r="352">
          <cell r="A352" t="str">
            <v>0330078</v>
          </cell>
          <cell r="B352">
            <v>4243</v>
          </cell>
          <cell r="C352">
            <v>15</v>
          </cell>
          <cell r="D352" t="str">
            <v>B22488</v>
          </cell>
          <cell r="E352" t="str">
            <v>INSP</v>
          </cell>
        </row>
        <row r="353">
          <cell r="A353" t="str">
            <v>0330079</v>
          </cell>
          <cell r="B353">
            <v>747</v>
          </cell>
          <cell r="C353">
            <v>135</v>
          </cell>
          <cell r="D353" t="str">
            <v>B22487</v>
          </cell>
          <cell r="E353" t="str">
            <v>INSP</v>
          </cell>
        </row>
        <row r="354">
          <cell r="A354" t="str">
            <v>0330080</v>
          </cell>
          <cell r="B354">
            <v>749</v>
          </cell>
          <cell r="C354">
            <v>72</v>
          </cell>
          <cell r="E354" t="str">
            <v>INSP</v>
          </cell>
        </row>
        <row r="355">
          <cell r="A355" t="str">
            <v>0330082</v>
          </cell>
          <cell r="B355">
            <v>4223</v>
          </cell>
          <cell r="C355">
            <v>25</v>
          </cell>
          <cell r="D355" t="str">
            <v>B22536</v>
          </cell>
          <cell r="E355" t="str">
            <v>INSP</v>
          </cell>
        </row>
        <row r="356">
          <cell r="A356" t="str">
            <v>0330084</v>
          </cell>
          <cell r="B356">
            <v>4210</v>
          </cell>
          <cell r="C356">
            <v>15</v>
          </cell>
          <cell r="D356" t="str">
            <v>B22489</v>
          </cell>
          <cell r="E356" t="str">
            <v>INSP</v>
          </cell>
        </row>
        <row r="357">
          <cell r="A357" t="str">
            <v>0330095</v>
          </cell>
          <cell r="B357">
            <v>831</v>
          </cell>
          <cell r="C357">
            <v>135</v>
          </cell>
          <cell r="D357" t="str">
            <v>B22488</v>
          </cell>
          <cell r="E357" t="str">
            <v>INSP</v>
          </cell>
        </row>
        <row r="358">
          <cell r="A358" t="str">
            <v>0330096</v>
          </cell>
          <cell r="B358">
            <v>2691</v>
          </cell>
          <cell r="C358">
            <v>225</v>
          </cell>
          <cell r="D358" t="str">
            <v>B22487</v>
          </cell>
          <cell r="E358" t="str">
            <v>INSP</v>
          </cell>
        </row>
        <row r="359">
          <cell r="A359" t="str">
            <v>0330097</v>
          </cell>
          <cell r="B359" t="str">
            <v>CAT/2002</v>
          </cell>
          <cell r="C359">
            <v>11</v>
          </cell>
          <cell r="E359" t="str">
            <v>INSP</v>
          </cell>
        </row>
        <row r="360">
          <cell r="A360" t="str">
            <v>0330115</v>
          </cell>
          <cell r="B360">
            <v>4246</v>
          </cell>
          <cell r="C360">
            <v>50</v>
          </cell>
          <cell r="E360" t="str">
            <v>INSP</v>
          </cell>
        </row>
        <row r="361">
          <cell r="A361" t="str">
            <v>0340020</v>
          </cell>
          <cell r="B361">
            <v>698</v>
          </cell>
          <cell r="C361">
            <v>120</v>
          </cell>
          <cell r="D361" t="str">
            <v>B22508</v>
          </cell>
          <cell r="E361" t="str">
            <v>INSP</v>
          </cell>
        </row>
        <row r="362">
          <cell r="A362" t="str">
            <v>0340021</v>
          </cell>
          <cell r="B362">
            <v>6963</v>
          </cell>
          <cell r="C362">
            <v>120</v>
          </cell>
          <cell r="D362" t="str">
            <v>B22514</v>
          </cell>
          <cell r="E362" t="str">
            <v>INSP</v>
          </cell>
        </row>
        <row r="363">
          <cell r="A363" t="str">
            <v>0340028</v>
          </cell>
          <cell r="B363">
            <v>5564</v>
          </cell>
          <cell r="C363">
            <v>80</v>
          </cell>
          <cell r="D363" t="str">
            <v>B22508</v>
          </cell>
          <cell r="E363" t="str">
            <v>INSP</v>
          </cell>
        </row>
        <row r="364">
          <cell r="A364" t="str">
            <v>0340029</v>
          </cell>
          <cell r="B364">
            <v>6466</v>
          </cell>
          <cell r="C364">
            <v>125</v>
          </cell>
          <cell r="D364" t="str">
            <v>B22510</v>
          </cell>
          <cell r="E364" t="str">
            <v>INSP</v>
          </cell>
        </row>
        <row r="365">
          <cell r="A365" t="str">
            <v>0340030</v>
          </cell>
          <cell r="B365">
            <v>6116</v>
          </cell>
          <cell r="C365">
            <v>175</v>
          </cell>
          <cell r="D365" t="str">
            <v>B22513</v>
          </cell>
          <cell r="E365" t="str">
            <v>INSP</v>
          </cell>
        </row>
        <row r="366">
          <cell r="A366" t="str">
            <v>0340031</v>
          </cell>
          <cell r="B366">
            <v>6117</v>
          </cell>
          <cell r="C366">
            <v>75</v>
          </cell>
          <cell r="D366" t="str">
            <v>B22513</v>
          </cell>
          <cell r="E366" t="str">
            <v>INSP</v>
          </cell>
        </row>
        <row r="367">
          <cell r="A367" t="str">
            <v>0340032</v>
          </cell>
          <cell r="B367">
            <v>6964</v>
          </cell>
          <cell r="C367">
            <v>80</v>
          </cell>
          <cell r="E367" t="str">
            <v>INSP</v>
          </cell>
        </row>
        <row r="368">
          <cell r="A368" t="str">
            <v>0340033</v>
          </cell>
          <cell r="B368">
            <v>6366</v>
          </cell>
          <cell r="C368">
            <v>200</v>
          </cell>
          <cell r="D368" t="str">
            <v>B22512</v>
          </cell>
          <cell r="E368" t="str">
            <v>INSP</v>
          </cell>
        </row>
        <row r="369">
          <cell r="A369" t="str">
            <v>0340034</v>
          </cell>
          <cell r="B369">
            <v>696</v>
          </cell>
          <cell r="C369">
            <v>179</v>
          </cell>
          <cell r="D369" t="str">
            <v>B22509</v>
          </cell>
          <cell r="E369" t="str">
            <v>INSP</v>
          </cell>
        </row>
        <row r="370">
          <cell r="A370" t="str">
            <v>0340035</v>
          </cell>
          <cell r="B370" t="str">
            <v>97-93039</v>
          </cell>
          <cell r="C370">
            <v>72</v>
          </cell>
          <cell r="D370" t="str">
            <v>B22514</v>
          </cell>
          <cell r="E370" t="str">
            <v>INSP</v>
          </cell>
        </row>
        <row r="371">
          <cell r="A371" t="str">
            <v>0340036</v>
          </cell>
          <cell r="B371" t="str">
            <v>97-99687</v>
          </cell>
          <cell r="C371">
            <v>182</v>
          </cell>
          <cell r="D371" t="str">
            <v>B22515</v>
          </cell>
          <cell r="E371" t="str">
            <v>INSP</v>
          </cell>
        </row>
        <row r="372">
          <cell r="A372" t="str">
            <v>0340038</v>
          </cell>
          <cell r="B372">
            <v>6366</v>
          </cell>
          <cell r="C372">
            <v>200</v>
          </cell>
          <cell r="D372" t="str">
            <v>B22503</v>
          </cell>
          <cell r="E372" t="str">
            <v>INSP</v>
          </cell>
        </row>
        <row r="373">
          <cell r="A373" t="str">
            <v>0340039</v>
          </cell>
          <cell r="B373">
            <v>6367</v>
          </cell>
          <cell r="C373">
            <v>200</v>
          </cell>
          <cell r="D373" t="str">
            <v>B22511</v>
          </cell>
          <cell r="E373" t="str">
            <v>INSP</v>
          </cell>
        </row>
        <row r="374">
          <cell r="A374" t="str">
            <v>0340042</v>
          </cell>
          <cell r="B374">
            <v>5564</v>
          </cell>
          <cell r="C374">
            <v>224</v>
          </cell>
          <cell r="E374" t="str">
            <v>INSP</v>
          </cell>
        </row>
        <row r="375">
          <cell r="A375" t="str">
            <v>0340043</v>
          </cell>
          <cell r="B375">
            <v>6366</v>
          </cell>
          <cell r="C375">
            <v>390</v>
          </cell>
          <cell r="D375" t="str">
            <v>B22518</v>
          </cell>
          <cell r="E375" t="str">
            <v>INSP</v>
          </cell>
        </row>
        <row r="376">
          <cell r="A376" t="str">
            <v>0340044</v>
          </cell>
          <cell r="B376">
            <v>696</v>
          </cell>
          <cell r="C376">
            <v>440</v>
          </cell>
          <cell r="D376" t="str">
            <v>B22517</v>
          </cell>
          <cell r="E376" t="str">
            <v>INSP</v>
          </cell>
        </row>
        <row r="377">
          <cell r="A377" t="str">
            <v>0340045</v>
          </cell>
          <cell r="B377" t="str">
            <v>97-93039</v>
          </cell>
          <cell r="C377">
            <v>42</v>
          </cell>
          <cell r="D377" t="str">
            <v>B22515</v>
          </cell>
          <cell r="E377" t="str">
            <v>INSP</v>
          </cell>
        </row>
        <row r="378">
          <cell r="A378" t="str">
            <v>0340046</v>
          </cell>
          <cell r="B378" t="str">
            <v>97-99687</v>
          </cell>
          <cell r="C378">
            <v>167</v>
          </cell>
          <cell r="D378" t="str">
            <v>B22513</v>
          </cell>
          <cell r="E378" t="str">
            <v>INSP</v>
          </cell>
        </row>
        <row r="379">
          <cell r="A379" t="str">
            <v>0310049</v>
          </cell>
          <cell r="B379">
            <v>715</v>
          </cell>
          <cell r="C379">
            <v>315</v>
          </cell>
          <cell r="D379" t="str">
            <v>B22464</v>
          </cell>
          <cell r="E379" t="str">
            <v>J</v>
          </cell>
        </row>
        <row r="380">
          <cell r="A380" t="str">
            <v>0320058</v>
          </cell>
          <cell r="B380">
            <v>820</v>
          </cell>
          <cell r="C380">
            <v>26</v>
          </cell>
          <cell r="D380" t="str">
            <v>B22417</v>
          </cell>
          <cell r="E380" t="str">
            <v>J</v>
          </cell>
        </row>
        <row r="381">
          <cell r="A381" t="str">
            <v>0340040</v>
          </cell>
          <cell r="B381">
            <v>696</v>
          </cell>
          <cell r="C381">
            <v>360</v>
          </cell>
          <cell r="D381" t="str">
            <v>B22506</v>
          </cell>
          <cell r="E381" t="str">
            <v>J</v>
          </cell>
        </row>
        <row r="382">
          <cell r="A382" t="str">
            <v>0130465</v>
          </cell>
          <cell r="B382">
            <v>2691</v>
          </cell>
          <cell r="C382">
            <v>4</v>
          </cell>
          <cell r="D382" t="str">
            <v>B22002</v>
          </cell>
          <cell r="E382" t="str">
            <v>Q2</v>
          </cell>
        </row>
        <row r="383">
          <cell r="A383" t="str">
            <v>0210360</v>
          </cell>
          <cell r="B383">
            <v>3220</v>
          </cell>
          <cell r="C383">
            <v>1</v>
          </cell>
          <cell r="D383" t="str">
            <v>B22406</v>
          </cell>
          <cell r="E383" t="str">
            <v>Q2</v>
          </cell>
        </row>
        <row r="384">
          <cell r="A384" t="str">
            <v>0230411</v>
          </cell>
          <cell r="B384">
            <v>2691</v>
          </cell>
          <cell r="C384">
            <v>2</v>
          </cell>
          <cell r="D384" t="str">
            <v>B22249</v>
          </cell>
          <cell r="E384" t="str">
            <v>Q2</v>
          </cell>
        </row>
        <row r="385">
          <cell r="A385" t="str">
            <v>0230443</v>
          </cell>
          <cell r="B385">
            <v>2691</v>
          </cell>
          <cell r="C385">
            <v>6</v>
          </cell>
          <cell r="D385" t="str">
            <v>B22317</v>
          </cell>
          <cell r="E385" t="str">
            <v>Q2</v>
          </cell>
        </row>
        <row r="386">
          <cell r="A386" t="str">
            <v>0230514</v>
          </cell>
          <cell r="B386">
            <v>747</v>
          </cell>
          <cell r="C386">
            <v>9</v>
          </cell>
          <cell r="D386" t="str">
            <v>B22371</v>
          </cell>
          <cell r="E386" t="str">
            <v>Q2</v>
          </cell>
        </row>
        <row r="387">
          <cell r="A387" t="str">
            <v>9820816</v>
          </cell>
          <cell r="B387">
            <v>283</v>
          </cell>
          <cell r="C387">
            <v>1</v>
          </cell>
          <cell r="E387" t="str">
            <v>Q2</v>
          </cell>
        </row>
        <row r="388">
          <cell r="A388" t="str">
            <v>9920146</v>
          </cell>
          <cell r="B388">
            <v>134</v>
          </cell>
          <cell r="C388">
            <v>2</v>
          </cell>
          <cell r="E388" t="str">
            <v>Q2</v>
          </cell>
        </row>
        <row r="389">
          <cell r="A389" t="str">
            <v>9920171</v>
          </cell>
          <cell r="B389">
            <v>137</v>
          </cell>
          <cell r="C389">
            <v>4</v>
          </cell>
          <cell r="E389" t="str">
            <v>Q2</v>
          </cell>
        </row>
        <row r="390">
          <cell r="A390" t="str">
            <v>9920305</v>
          </cell>
          <cell r="B390">
            <v>139</v>
          </cell>
          <cell r="C390">
            <v>6</v>
          </cell>
          <cell r="E390" t="str">
            <v>Q2</v>
          </cell>
        </row>
        <row r="391">
          <cell r="A391" t="str">
            <v>9920352</v>
          </cell>
          <cell r="B391">
            <v>134</v>
          </cell>
          <cell r="C391">
            <v>1</v>
          </cell>
          <cell r="E391" t="str">
            <v>Q2</v>
          </cell>
        </row>
        <row r="392">
          <cell r="A392" t="str">
            <v>9920404</v>
          </cell>
          <cell r="B392">
            <v>138</v>
          </cell>
          <cell r="C392">
            <v>9</v>
          </cell>
          <cell r="D392" t="str">
            <v>B20120</v>
          </cell>
          <cell r="E392" t="str">
            <v>Q2</v>
          </cell>
        </row>
        <row r="393">
          <cell r="A393" t="str">
            <v>9920407</v>
          </cell>
          <cell r="B393">
            <v>282</v>
          </cell>
          <cell r="C393">
            <v>3</v>
          </cell>
          <cell r="D393" t="str">
            <v>B20120</v>
          </cell>
          <cell r="E393" t="str">
            <v>Q2</v>
          </cell>
        </row>
        <row r="394">
          <cell r="A394" t="str">
            <v>9920408</v>
          </cell>
          <cell r="B394">
            <v>284</v>
          </cell>
          <cell r="C394">
            <v>7</v>
          </cell>
          <cell r="D394" t="str">
            <v>B20120</v>
          </cell>
          <cell r="E394" t="str">
            <v>Q2</v>
          </cell>
        </row>
        <row r="395">
          <cell r="A395" t="str">
            <v>9920437</v>
          </cell>
          <cell r="B395">
            <v>139</v>
          </cell>
          <cell r="C395">
            <v>10</v>
          </cell>
          <cell r="E395" t="str">
            <v>Q2</v>
          </cell>
        </row>
        <row r="396">
          <cell r="A396" t="str">
            <v>9920497</v>
          </cell>
          <cell r="B396">
            <v>138</v>
          </cell>
          <cell r="C396">
            <v>4</v>
          </cell>
          <cell r="E396" t="str">
            <v>Q2</v>
          </cell>
        </row>
        <row r="397">
          <cell r="A397" t="str">
            <v>9920498</v>
          </cell>
          <cell r="B397">
            <v>135</v>
          </cell>
          <cell r="C397">
            <v>4</v>
          </cell>
          <cell r="E397" t="str">
            <v>Q2</v>
          </cell>
        </row>
        <row r="398">
          <cell r="A398" t="str">
            <v>9920499</v>
          </cell>
          <cell r="B398">
            <v>136</v>
          </cell>
          <cell r="C398">
            <v>4</v>
          </cell>
          <cell r="E398" t="str">
            <v>Q2</v>
          </cell>
        </row>
        <row r="399">
          <cell r="A399" t="str">
            <v>9920546</v>
          </cell>
          <cell r="B399">
            <v>283</v>
          </cell>
          <cell r="C399">
            <v>7</v>
          </cell>
          <cell r="E399" t="str">
            <v>Q2</v>
          </cell>
        </row>
        <row r="400">
          <cell r="A400" t="str">
            <v>9920600</v>
          </cell>
          <cell r="B400">
            <v>136</v>
          </cell>
          <cell r="C400">
            <v>9</v>
          </cell>
          <cell r="E400" t="str">
            <v>Q2</v>
          </cell>
        </row>
        <row r="401">
          <cell r="A401" t="str">
            <v>9920617</v>
          </cell>
          <cell r="B401">
            <v>282</v>
          </cell>
          <cell r="C401">
            <v>4</v>
          </cell>
          <cell r="E401" t="str">
            <v>Q2</v>
          </cell>
        </row>
        <row r="402">
          <cell r="A402" t="str">
            <v>9920637</v>
          </cell>
          <cell r="B402">
            <v>283</v>
          </cell>
          <cell r="C402">
            <v>4</v>
          </cell>
          <cell r="E402" t="str">
            <v>Q2</v>
          </cell>
        </row>
        <row r="403">
          <cell r="A403" t="str">
            <v>9920645</v>
          </cell>
          <cell r="B403">
            <v>135</v>
          </cell>
          <cell r="C403">
            <v>2</v>
          </cell>
          <cell r="E403" t="str">
            <v>Q2</v>
          </cell>
        </row>
        <row r="404">
          <cell r="A404" t="str">
            <v>9920738</v>
          </cell>
          <cell r="B404">
            <v>137</v>
          </cell>
          <cell r="C404">
            <v>3</v>
          </cell>
          <cell r="E404" t="str">
            <v>Q2</v>
          </cell>
        </row>
        <row r="405">
          <cell r="A405" t="str">
            <v>9920849</v>
          </cell>
          <cell r="B405">
            <v>282</v>
          </cell>
          <cell r="C405">
            <v>2</v>
          </cell>
          <cell r="E405" t="str">
            <v>Q2</v>
          </cell>
        </row>
        <row r="406">
          <cell r="A406" t="str">
            <v>9921143</v>
          </cell>
          <cell r="B406">
            <v>283</v>
          </cell>
          <cell r="C406">
            <v>1</v>
          </cell>
          <cell r="E406" t="str">
            <v>Q2</v>
          </cell>
        </row>
        <row r="407">
          <cell r="A407" t="str">
            <v>0221274</v>
          </cell>
          <cell r="B407">
            <v>8906</v>
          </cell>
          <cell r="C407">
            <v>5</v>
          </cell>
          <cell r="D407" t="str">
            <v>B22408</v>
          </cell>
          <cell r="E407" t="str">
            <v>STOCK</v>
          </cell>
        </row>
        <row r="408">
          <cell r="A408" t="str">
            <v>0310046</v>
          </cell>
          <cell r="B408">
            <v>4450</v>
          </cell>
          <cell r="C408">
            <v>25</v>
          </cell>
          <cell r="D408" t="str">
            <v>B22486</v>
          </cell>
          <cell r="E408" t="str">
            <v>STOCK</v>
          </cell>
        </row>
        <row r="409">
          <cell r="A409" t="str">
            <v>0310054</v>
          </cell>
          <cell r="B409">
            <v>1443</v>
          </cell>
          <cell r="C409">
            <v>96</v>
          </cell>
          <cell r="D409" t="str">
            <v>B22479</v>
          </cell>
          <cell r="E409" t="str">
            <v>STOCK</v>
          </cell>
        </row>
        <row r="410">
          <cell r="A410" t="str">
            <v>0320249</v>
          </cell>
          <cell r="B410">
            <v>8716</v>
          </cell>
          <cell r="C410">
            <v>25</v>
          </cell>
          <cell r="D410" t="str">
            <v>B22486</v>
          </cell>
          <cell r="E410" t="str">
            <v>STOCK</v>
          </cell>
        </row>
        <row r="411">
          <cell r="A411" t="str">
            <v>0320251</v>
          </cell>
          <cell r="B411">
            <v>8131</v>
          </cell>
          <cell r="C411">
            <v>60</v>
          </cell>
          <cell r="D411" t="str">
            <v>B22486</v>
          </cell>
          <cell r="E411" t="str">
            <v>STOCK</v>
          </cell>
        </row>
        <row r="412">
          <cell r="A412" t="str">
            <v>0330057</v>
          </cell>
          <cell r="B412">
            <v>4246</v>
          </cell>
          <cell r="C412">
            <v>24</v>
          </cell>
          <cell r="D412" t="str">
            <v>B22480</v>
          </cell>
          <cell r="E412" t="str">
            <v>STOCK</v>
          </cell>
        </row>
        <row r="413">
          <cell r="A413" t="str">
            <v>0330076</v>
          </cell>
          <cell r="B413">
            <v>5816</v>
          </cell>
          <cell r="C413">
            <v>20</v>
          </cell>
          <cell r="D413" t="str">
            <v>B22486</v>
          </cell>
          <cell r="E413" t="str">
            <v>STOCK</v>
          </cell>
        </row>
        <row r="414">
          <cell r="A414" t="str">
            <v>0340015</v>
          </cell>
          <cell r="B414">
            <v>6366</v>
          </cell>
          <cell r="C414">
            <v>78</v>
          </cell>
          <cell r="D414" t="str">
            <v>B22504</v>
          </cell>
          <cell r="E414" t="str">
            <v>STOCK</v>
          </cell>
        </row>
        <row r="415">
          <cell r="B415" t="str">
            <v>End of Report</v>
          </cell>
        </row>
        <row r="416">
          <cell r="B416" t="str">
            <v>Grand Totals</v>
          </cell>
          <cell r="C416">
            <v>50599</v>
          </cell>
        </row>
      </sheetData>
      <sheetData sheetId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9-54-04 Non Sterile Tag"/>
      <sheetName val="09-54-05Pallet Tag Warehouse"/>
      <sheetName val="09-54-01 BIC"/>
      <sheetName val="Scrap Sheet"/>
      <sheetName val="Sched"/>
      <sheetName val="09-54-02"/>
      <sheetName val="09-54-03"/>
      <sheetName val="09-54-04"/>
      <sheetName val="09-54-05"/>
      <sheetName val="09-54-06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C1" t="str">
            <v>Machine</v>
          </cell>
          <cell r="D1" t="str">
            <v xml:space="preserve"> </v>
          </cell>
          <cell r="H1" t="str">
            <v>Sterl.</v>
          </cell>
          <cell r="K1" t="str">
            <v>Priority</v>
          </cell>
        </row>
        <row r="2">
          <cell r="A2" t="str">
            <v>LOT</v>
          </cell>
          <cell r="B2" t="str">
            <v>Item</v>
          </cell>
          <cell r="C2" t="str">
            <v xml:space="preserve"> </v>
          </cell>
          <cell r="D2" t="str">
            <v>Tooling</v>
          </cell>
          <cell r="F2" t="str">
            <v>Description</v>
          </cell>
          <cell r="H2" t="str">
            <v>@</v>
          </cell>
          <cell r="I2" t="str">
            <v>Qty</v>
          </cell>
          <cell r="J2" t="str">
            <v xml:space="preserve"> Comments</v>
          </cell>
          <cell r="K2" t="str">
            <v xml:space="preserve"> </v>
          </cell>
          <cell r="L2" t="str">
            <v>MP</v>
          </cell>
        </row>
        <row r="4">
          <cell r="D4" t="str">
            <v xml:space="preserve"> </v>
          </cell>
        </row>
        <row r="5">
          <cell r="A5">
            <v>1</v>
          </cell>
          <cell r="B5">
            <v>2</v>
          </cell>
          <cell r="C5">
            <v>3</v>
          </cell>
          <cell r="D5">
            <v>4</v>
          </cell>
          <cell r="E5">
            <v>5</v>
          </cell>
          <cell r="F5">
            <v>6</v>
          </cell>
          <cell r="G5">
            <v>7</v>
          </cell>
          <cell r="H5">
            <v>8</v>
          </cell>
          <cell r="I5">
            <v>9</v>
          </cell>
          <cell r="J5">
            <v>10</v>
          </cell>
          <cell r="K5">
            <v>11</v>
          </cell>
          <cell r="L5">
            <v>12</v>
          </cell>
          <cell r="M5">
            <v>13</v>
          </cell>
        </row>
        <row r="7">
          <cell r="C7" t="str">
            <v xml:space="preserve">  </v>
          </cell>
        </row>
        <row r="9">
          <cell r="A9">
            <v>1920887</v>
          </cell>
          <cell r="B9">
            <v>7246</v>
          </cell>
          <cell r="C9" t="str">
            <v>DV1</v>
          </cell>
          <cell r="D9" t="str">
            <v>E^170^05^E8^287^07</v>
          </cell>
          <cell r="E9">
            <v>13.8</v>
          </cell>
          <cell r="F9" t="str">
            <v>Ster 5 1/4" S/B Scr/100</v>
          </cell>
          <cell r="H9">
            <v>13</v>
          </cell>
          <cell r="I9">
            <v>25</v>
          </cell>
          <cell r="K9">
            <v>43817</v>
          </cell>
          <cell r="L9">
            <v>2</v>
          </cell>
          <cell r="M9">
            <v>0.25</v>
          </cell>
        </row>
        <row r="11">
          <cell r="A11" t="str">
            <v>1920876</v>
          </cell>
          <cell r="B11" t="str">
            <v>PPCD655</v>
          </cell>
          <cell r="C11" t="str">
            <v>DV1*</v>
          </cell>
          <cell r="D11" t="str">
            <v>B^315^02^B1^287^60</v>
          </cell>
          <cell r="E11">
            <v>0</v>
          </cell>
          <cell r="F11" t="str">
            <v>S/PYROGEN P/C/D/BONE/M/10</v>
          </cell>
          <cell r="H11">
            <v>3</v>
          </cell>
          <cell r="I11">
            <v>1</v>
          </cell>
          <cell r="J11" t="str">
            <v>6520G-1 Reject</v>
          </cell>
          <cell r="K11">
            <v>44417</v>
          </cell>
          <cell r="L11">
            <v>2</v>
          </cell>
          <cell r="M11">
            <v>1.7857142857142856E-2</v>
          </cell>
        </row>
        <row r="12">
          <cell r="A12" t="str">
            <v>1920868</v>
          </cell>
          <cell r="B12">
            <v>652</v>
          </cell>
          <cell r="C12" t="str">
            <v>DV1*</v>
          </cell>
          <cell r="D12" t="str">
            <v>B^315^02^B1^287^60</v>
          </cell>
          <cell r="E12">
            <v>8.5</v>
          </cell>
          <cell r="F12" t="str">
            <v>SterBoneBiopsy w/I&amp;J/10RX</v>
          </cell>
          <cell r="H12">
            <v>3</v>
          </cell>
          <cell r="I12">
            <v>56</v>
          </cell>
          <cell r="J12" t="str">
            <v>4255D-2 due 10/25;6300A Make in House</v>
          </cell>
          <cell r="K12">
            <v>43762</v>
          </cell>
          <cell r="L12">
            <v>2</v>
          </cell>
          <cell r="M12">
            <v>1</v>
          </cell>
        </row>
        <row r="13">
          <cell r="A13" t="str">
            <v>1920869</v>
          </cell>
          <cell r="B13">
            <v>653</v>
          </cell>
          <cell r="C13" t="str">
            <v>DV1*</v>
          </cell>
          <cell r="D13" t="str">
            <v>B^315^02^B1^287^60</v>
          </cell>
          <cell r="E13">
            <v>8.5</v>
          </cell>
          <cell r="F13" t="str">
            <v>SterBoneBiopsyJStyle10 RX</v>
          </cell>
          <cell r="H13">
            <v>3</v>
          </cell>
          <cell r="I13">
            <v>15</v>
          </cell>
          <cell r="J13" t="str">
            <v>4255D-2 due 10/25;6300A Make in House;6520G-1 Reject</v>
          </cell>
          <cell r="K13">
            <v>43796</v>
          </cell>
          <cell r="L13">
            <v>2</v>
          </cell>
          <cell r="M13">
            <v>0.26785714285714285</v>
          </cell>
        </row>
        <row r="15">
          <cell r="A15" t="str">
            <v>1920879</v>
          </cell>
          <cell r="B15">
            <v>772</v>
          </cell>
          <cell r="C15" t="str">
            <v>DV1</v>
          </cell>
          <cell r="D15" t="str">
            <v>E^170^06^E5^287^00</v>
          </cell>
          <cell r="E15">
            <v>11.5</v>
          </cell>
          <cell r="F15" t="str">
            <v>Ster StapleRemover S-H/30</v>
          </cell>
          <cell r="H15">
            <v>13</v>
          </cell>
          <cell r="I15">
            <v>210</v>
          </cell>
          <cell r="J15" t="str">
            <v>7500 due 10/30;7720S due 10/28</v>
          </cell>
          <cell r="K15">
            <v>43796</v>
          </cell>
          <cell r="L15">
            <v>3</v>
          </cell>
          <cell r="M15">
            <v>1</v>
          </cell>
        </row>
        <row r="16">
          <cell r="A16" t="str">
            <v>1920883</v>
          </cell>
          <cell r="B16">
            <v>7830</v>
          </cell>
          <cell r="C16" t="str">
            <v>DV1</v>
          </cell>
          <cell r="D16" t="str">
            <v>E^170^05^E3^287^00</v>
          </cell>
          <cell r="E16">
            <v>0</v>
          </cell>
          <cell r="F16" t="str">
            <v>Ster Incision &amp;Drain/Ty50</v>
          </cell>
          <cell r="H16">
            <v>13</v>
          </cell>
          <cell r="I16">
            <v>75</v>
          </cell>
          <cell r="J16" t="str">
            <v>1922SN due 10/31;7573SFN due 10/31</v>
          </cell>
          <cell r="K16">
            <v>43766</v>
          </cell>
          <cell r="L16">
            <v>5</v>
          </cell>
          <cell r="M16">
            <v>0.41899441340782123</v>
          </cell>
        </row>
        <row r="18">
          <cell r="A18" t="str">
            <v>1920797</v>
          </cell>
          <cell r="B18">
            <v>9646</v>
          </cell>
          <cell r="C18" t="str">
            <v>DV1</v>
          </cell>
          <cell r="D18" t="str">
            <v>A^235^04^A2^287^40</v>
          </cell>
          <cell r="E18">
            <v>8.5</v>
          </cell>
          <cell r="F18" t="str">
            <v>Bone Dust Collecting K20</v>
          </cell>
          <cell r="H18">
            <v>1</v>
          </cell>
          <cell r="I18">
            <v>50</v>
          </cell>
          <cell r="J18" t="str">
            <v>9646A Run Out;9646B due 10/28;CS9646I due 10/25</v>
          </cell>
          <cell r="K18">
            <v>43747</v>
          </cell>
          <cell r="L18">
            <v>4</v>
          </cell>
          <cell r="M18">
            <v>3.125</v>
          </cell>
        </row>
        <row r="19">
          <cell r="A19" t="str">
            <v>1920884</v>
          </cell>
          <cell r="B19">
            <v>680</v>
          </cell>
          <cell r="C19" t="str">
            <v>DV1</v>
          </cell>
          <cell r="D19" t="str">
            <v>A^235^03^A2^287^20</v>
          </cell>
          <cell r="E19">
            <v>10</v>
          </cell>
          <cell r="F19" t="str">
            <v>Ster O.R Utility Drape/50</v>
          </cell>
          <cell r="H19">
            <v>13</v>
          </cell>
          <cell r="I19">
            <v>120</v>
          </cell>
          <cell r="K19">
            <v>43795</v>
          </cell>
          <cell r="L19">
            <v>2</v>
          </cell>
          <cell r="M19">
            <v>1</v>
          </cell>
        </row>
        <row r="20">
          <cell r="A20" t="str">
            <v>1920882</v>
          </cell>
          <cell r="B20" t="str">
            <v>8209R2</v>
          </cell>
          <cell r="C20" t="str">
            <v>DV1</v>
          </cell>
          <cell r="D20" t="str">
            <v>A^235^02^A2^287^35</v>
          </cell>
          <cell r="E20">
            <v>8.5</v>
          </cell>
          <cell r="F20" t="str">
            <v>Sterile Pain Kit 50/cs</v>
          </cell>
          <cell r="H20">
            <v>13</v>
          </cell>
          <cell r="I20">
            <v>140</v>
          </cell>
          <cell r="K20">
            <v>43780</v>
          </cell>
          <cell r="L20">
            <v>5</v>
          </cell>
          <cell r="M20">
            <v>2.5</v>
          </cell>
        </row>
        <row r="21">
          <cell r="A21" t="str">
            <v>1920867</v>
          </cell>
          <cell r="B21">
            <v>750</v>
          </cell>
          <cell r="C21" t="str">
            <v>DV1</v>
          </cell>
          <cell r="D21" t="str">
            <v>A^235^06^A2^287^22</v>
          </cell>
          <cell r="E21">
            <v>8.5</v>
          </cell>
          <cell r="F21" t="str">
            <v>Ster Mnr Laceration Pk/20</v>
          </cell>
          <cell r="H21">
            <v>13</v>
          </cell>
          <cell r="I21">
            <v>60</v>
          </cell>
          <cell r="J21" t="str">
            <v>7500 due 10/30</v>
          </cell>
          <cell r="K21">
            <v>43781</v>
          </cell>
          <cell r="L21">
            <v>4</v>
          </cell>
          <cell r="M21">
            <v>0.5</v>
          </cell>
        </row>
        <row r="22">
          <cell r="A22" t="str">
            <v>1920866</v>
          </cell>
          <cell r="B22">
            <v>751</v>
          </cell>
          <cell r="C22" t="str">
            <v>DV1</v>
          </cell>
          <cell r="D22" t="str">
            <v>A^235^06^A1^287^30</v>
          </cell>
          <cell r="E22">
            <v>8.1</v>
          </cell>
          <cell r="F22" t="str">
            <v>Ster Mnr Laceration Pk/20</v>
          </cell>
          <cell r="H22">
            <v>13</v>
          </cell>
          <cell r="I22">
            <v>300</v>
          </cell>
          <cell r="J22" t="str">
            <v>7500 due 10/30;1922N due 10/24</v>
          </cell>
          <cell r="K22">
            <v>43795</v>
          </cell>
          <cell r="L22">
            <v>5</v>
          </cell>
          <cell r="M22">
            <v>3</v>
          </cell>
        </row>
        <row r="23">
          <cell r="A23" t="str">
            <v>1920892</v>
          </cell>
          <cell r="B23">
            <v>752</v>
          </cell>
          <cell r="C23" t="str">
            <v>DV1</v>
          </cell>
          <cell r="D23" t="str">
            <v>A^235^06^A1^287^00</v>
          </cell>
          <cell r="E23">
            <v>8.1</v>
          </cell>
          <cell r="F23" t="str">
            <v>Ster Instrument Tray/20</v>
          </cell>
          <cell r="H23">
            <v>3</v>
          </cell>
          <cell r="I23">
            <v>50</v>
          </cell>
          <cell r="J23" t="str">
            <v>7500 due 10/30</v>
          </cell>
          <cell r="K23">
            <v>43805</v>
          </cell>
          <cell r="L23">
            <v>5</v>
          </cell>
          <cell r="M23">
            <v>0.25</v>
          </cell>
        </row>
        <row r="24">
          <cell r="A24" t="str">
            <v>1920901</v>
          </cell>
          <cell r="B24">
            <v>8992</v>
          </cell>
          <cell r="C24" t="str">
            <v>DV1</v>
          </cell>
          <cell r="D24" t="str">
            <v>A^235^06^A2^287^00</v>
          </cell>
          <cell r="E24">
            <v>7.9</v>
          </cell>
          <cell r="F24" t="str">
            <v>Ster Gen Purp/Instr/T 20C</v>
          </cell>
          <cell r="H24">
            <v>3</v>
          </cell>
          <cell r="I24">
            <v>50</v>
          </cell>
          <cell r="J24" t="str">
            <v>7500 due 10/30;1922N due 10/24;5317N due 10/24</v>
          </cell>
          <cell r="K24">
            <v>43783</v>
          </cell>
          <cell r="L24">
            <v>6</v>
          </cell>
          <cell r="M24">
            <v>0.27777777777777779</v>
          </cell>
        </row>
        <row r="25">
          <cell r="A25" t="str">
            <v>1920843</v>
          </cell>
          <cell r="B25">
            <v>754</v>
          </cell>
          <cell r="C25" t="str">
            <v>DV1</v>
          </cell>
          <cell r="D25" t="str">
            <v>A^235^06^A1^287^00</v>
          </cell>
          <cell r="E25">
            <v>8.1</v>
          </cell>
          <cell r="F25" t="str">
            <v>Ster Instrument Tray/20</v>
          </cell>
          <cell r="H25">
            <v>3</v>
          </cell>
          <cell r="I25">
            <v>45</v>
          </cell>
          <cell r="J25" t="str">
            <v>7500 due 10/30;1924N due 11/29;7542N due 11/29</v>
          </cell>
          <cell r="K25">
            <v>43768</v>
          </cell>
          <cell r="L25">
            <v>5</v>
          </cell>
          <cell r="M25">
            <v>0.22500000000000001</v>
          </cell>
        </row>
        <row r="26">
          <cell r="A26" t="str">
            <v>1920822</v>
          </cell>
          <cell r="B26">
            <v>756</v>
          </cell>
          <cell r="C26" t="str">
            <v>DV1</v>
          </cell>
          <cell r="D26" t="str">
            <v>A^235^06^A1^287^30</v>
          </cell>
          <cell r="E26">
            <v>8</v>
          </cell>
          <cell r="F26" t="str">
            <v>Ster Wound Closure T/20</v>
          </cell>
          <cell r="H26">
            <v>3</v>
          </cell>
          <cell r="I26">
            <v>59</v>
          </cell>
          <cell r="J26" t="str">
            <v>7500 due 10/30;1922N due 10/24;7542N due 11/29</v>
          </cell>
          <cell r="K26">
            <v>43775</v>
          </cell>
          <cell r="L26">
            <v>6</v>
          </cell>
          <cell r="M26">
            <v>0.59</v>
          </cell>
        </row>
        <row r="28">
          <cell r="A28" t="str">
            <v>1920838</v>
          </cell>
          <cell r="B28" t="str">
            <v>B9179</v>
          </cell>
          <cell r="C28" t="str">
            <v>DV1</v>
          </cell>
          <cell r="D28" t="str">
            <v>E^170^04^E3^287^10</v>
          </cell>
          <cell r="E28">
            <v>12</v>
          </cell>
          <cell r="F28" t="str">
            <v>Ster SS 4.5mm Trocar K100</v>
          </cell>
          <cell r="H28">
            <v>13</v>
          </cell>
          <cell r="I28">
            <v>10</v>
          </cell>
          <cell r="J28" t="str">
            <v>CS9176A due 11/8;EXPEDITE RUSH REQUESTED</v>
          </cell>
          <cell r="K28">
            <v>43759</v>
          </cell>
          <cell r="L28">
            <v>3</v>
          </cell>
          <cell r="M28">
            <v>5.6818181818181816E-2</v>
          </cell>
        </row>
        <row r="29">
          <cell r="A29" t="str">
            <v>1920905</v>
          </cell>
          <cell r="B29">
            <v>509</v>
          </cell>
          <cell r="C29" t="str">
            <v>DV1</v>
          </cell>
          <cell r="D29" t="str">
            <v>E^170^02^E3^287^25</v>
          </cell>
          <cell r="E29">
            <v>14</v>
          </cell>
          <cell r="F29" t="str">
            <v>Ster 6 in 1 Connector/120</v>
          </cell>
          <cell r="H29">
            <v>13</v>
          </cell>
          <cell r="I29">
            <v>54</v>
          </cell>
          <cell r="K29">
            <v>43810</v>
          </cell>
          <cell r="L29">
            <v>3</v>
          </cell>
          <cell r="M29">
            <v>1</v>
          </cell>
        </row>
        <row r="30">
          <cell r="A30" t="str">
            <v>1920906</v>
          </cell>
          <cell r="B30">
            <v>737</v>
          </cell>
          <cell r="C30" t="str">
            <v>DV1</v>
          </cell>
          <cell r="D30" t="str">
            <v>E^170^05^E6^287^00</v>
          </cell>
          <cell r="E30">
            <v>12</v>
          </cell>
          <cell r="F30" t="str">
            <v>Ster SRK w/Littauer S/48</v>
          </cell>
          <cell r="H30">
            <v>13</v>
          </cell>
          <cell r="I30">
            <v>100</v>
          </cell>
          <cell r="J30" t="str">
            <v>8262-2 due 10/28</v>
          </cell>
          <cell r="K30">
            <v>43808</v>
          </cell>
          <cell r="L30">
            <v>4</v>
          </cell>
          <cell r="M30">
            <v>0.56818181818181823</v>
          </cell>
        </row>
        <row r="31">
          <cell r="A31" t="str">
            <v>1920904</v>
          </cell>
          <cell r="B31">
            <v>7830</v>
          </cell>
          <cell r="C31" t="str">
            <v>DV1</v>
          </cell>
          <cell r="D31" t="str">
            <v>E^170^05^E3^287^00</v>
          </cell>
          <cell r="E31">
            <v>0</v>
          </cell>
          <cell r="F31" t="str">
            <v>Ster Incision &amp;Drain/Ty50</v>
          </cell>
          <cell r="H31">
            <v>13</v>
          </cell>
          <cell r="I31">
            <v>50</v>
          </cell>
          <cell r="J31" t="str">
            <v>1922SN due 10/31;7573SFN due 10/31;8262-2 due 10/28;</v>
          </cell>
          <cell r="K31">
            <v>43805</v>
          </cell>
          <cell r="L31">
            <v>5</v>
          </cell>
          <cell r="M31">
            <v>0.27932960893854747</v>
          </cell>
        </row>
        <row r="33">
          <cell r="A33" t="str">
            <v>1920885</v>
          </cell>
          <cell r="B33">
            <v>198</v>
          </cell>
          <cell r="C33" t="str">
            <v>DV1</v>
          </cell>
          <cell r="D33" t="str">
            <v>B^315^02^B1^287^40</v>
          </cell>
          <cell r="E33">
            <v>8.5</v>
          </cell>
          <cell r="F33" t="str">
            <v>NS/DSTAFF/P/KITWHT/F/B/20</v>
          </cell>
          <cell r="H33" t="str">
            <v>NON</v>
          </cell>
          <cell r="I33">
            <v>96</v>
          </cell>
          <cell r="J33" t="str">
            <v xml:space="preserve">2001 Use 200;3311 Use 331;3461 Use 346;3731 Use 373;7035V-1 due 11/29 ; WORK ORDER MAY BE LOWERED </v>
          </cell>
          <cell r="K33">
            <v>43790</v>
          </cell>
          <cell r="L33">
            <v>5</v>
          </cell>
          <cell r="M33">
            <v>2</v>
          </cell>
        </row>
        <row r="34">
          <cell r="A34" t="str">
            <v>1920911</v>
          </cell>
          <cell r="B34">
            <v>150</v>
          </cell>
          <cell r="C34" t="str">
            <v>DV1*</v>
          </cell>
          <cell r="D34" t="str">
            <v>B^315^03^B1^287^34</v>
          </cell>
          <cell r="E34">
            <v>11</v>
          </cell>
          <cell r="F34" t="str">
            <v>Ster 1/2"Tbg&amp;Hdle&amp;Adap/25</v>
          </cell>
          <cell r="H34">
            <v>1</v>
          </cell>
          <cell r="I34">
            <v>40</v>
          </cell>
          <cell r="J34" t="str">
            <v>THIS KIT REQUIRES EXTRA AERATION</v>
          </cell>
          <cell r="K34">
            <v>43805</v>
          </cell>
          <cell r="L34">
            <v>2</v>
          </cell>
          <cell r="M34">
            <v>1</v>
          </cell>
        </row>
        <row r="35">
          <cell r="A35" t="str">
            <v>1920889</v>
          </cell>
          <cell r="B35">
            <v>388</v>
          </cell>
          <cell r="C35" t="str">
            <v>DV1</v>
          </cell>
          <cell r="D35" t="str">
            <v>B^315^03^B1^287^40</v>
          </cell>
          <cell r="E35">
            <v>8</v>
          </cell>
          <cell r="F35" t="str">
            <v>N/Ster Emergency OB K/10C</v>
          </cell>
          <cell r="H35" t="str">
            <v>NON</v>
          </cell>
          <cell r="I35">
            <v>120</v>
          </cell>
          <cell r="J35" t="str">
            <v>1421 Use 142;3880A due 11/18;3881A Use 384</v>
          </cell>
          <cell r="K35">
            <v>43782</v>
          </cell>
          <cell r="L35">
            <v>7</v>
          </cell>
          <cell r="M35">
            <v>3</v>
          </cell>
        </row>
        <row r="36">
          <cell r="A36" t="str">
            <v>1920930</v>
          </cell>
          <cell r="B36" t="str">
            <v>6417R1</v>
          </cell>
          <cell r="C36" t="str">
            <v>DV1*</v>
          </cell>
          <cell r="D36" t="str">
            <v>B^315^02^B1^287^60</v>
          </cell>
          <cell r="E36">
            <v>8.5</v>
          </cell>
          <cell r="F36" t="str">
            <v>Ster Bone Marrow Ty10cRX</v>
          </cell>
          <cell r="H36">
            <v>3</v>
          </cell>
          <cell r="I36">
            <v>20</v>
          </cell>
          <cell r="J36" t="str">
            <v>1756A due 11/6;6300A Make in House;6520A-1 Run 10/30;8260-1 due 11/1;8262-2 due 10/28</v>
          </cell>
          <cell r="K36">
            <v>43787</v>
          </cell>
          <cell r="L36">
            <v>2</v>
          </cell>
          <cell r="M36">
            <v>0.35714285714285715</v>
          </cell>
        </row>
        <row r="37">
          <cell r="A37" t="str">
            <v>1920910</v>
          </cell>
          <cell r="B37">
            <v>153</v>
          </cell>
          <cell r="C37" t="str">
            <v>DV1*</v>
          </cell>
          <cell r="D37" t="str">
            <v>B^315^03^B1^287^34</v>
          </cell>
          <cell r="E37">
            <v>11</v>
          </cell>
          <cell r="F37" t="str">
            <v>Ster3/8"Tbg&amp;Hdl&amp;Adpt/25</v>
          </cell>
          <cell r="H37">
            <v>1</v>
          </cell>
          <cell r="I37">
            <v>160</v>
          </cell>
          <cell r="J37" t="str">
            <v>1537V-1 due 11/15; THIS KTI REQUIRES EXTRA AERATION</v>
          </cell>
          <cell r="K37">
            <v>43805</v>
          </cell>
          <cell r="L37">
            <v>2</v>
          </cell>
          <cell r="M37">
            <v>4</v>
          </cell>
        </row>
        <row r="40">
          <cell r="A40" t="str">
            <v>1920846</v>
          </cell>
          <cell r="B40">
            <v>758</v>
          </cell>
          <cell r="C40" t="str">
            <v>DV1</v>
          </cell>
          <cell r="D40" t="str">
            <v>A^235^06^A1^287^30</v>
          </cell>
          <cell r="E40">
            <v>7.9</v>
          </cell>
          <cell r="F40" t="str">
            <v>Ster Incision&amp;Drainage/20</v>
          </cell>
          <cell r="H40">
            <v>3</v>
          </cell>
          <cell r="I40">
            <v>200</v>
          </cell>
          <cell r="J40" t="str">
            <v>7500 due 10/30;7203H-3 due 10/24;7581-1 due 11/14</v>
          </cell>
          <cell r="K40">
            <v>43777</v>
          </cell>
          <cell r="L40">
            <v>5</v>
          </cell>
          <cell r="M40">
            <v>2</v>
          </cell>
        </row>
        <row r="41">
          <cell r="A41" t="str">
            <v>1920888</v>
          </cell>
          <cell r="B41">
            <v>756</v>
          </cell>
          <cell r="C41" t="str">
            <v>DV1</v>
          </cell>
          <cell r="D41" t="str">
            <v>A^235^06^A1^287^30</v>
          </cell>
          <cell r="E41">
            <v>8</v>
          </cell>
          <cell r="F41" t="str">
            <v>Ster Wound Closure T/20</v>
          </cell>
          <cell r="H41">
            <v>3</v>
          </cell>
          <cell r="I41">
            <v>100</v>
          </cell>
          <cell r="J41" t="str">
            <v>7500 due 10/30;1922N due 11/24;7230A Hold;7542N due 11/29;7563-2 due 10/28</v>
          </cell>
          <cell r="K41">
            <v>43802</v>
          </cell>
          <cell r="L41">
            <v>6</v>
          </cell>
          <cell r="M41">
            <v>1</v>
          </cell>
        </row>
        <row r="42">
          <cell r="A42" t="str">
            <v>1920890</v>
          </cell>
          <cell r="B42">
            <v>757</v>
          </cell>
          <cell r="C42" t="str">
            <v>DV1</v>
          </cell>
          <cell r="D42" t="str">
            <v>A^235^06^A1^287^30</v>
          </cell>
          <cell r="E42">
            <v>8</v>
          </cell>
          <cell r="F42" t="str">
            <v>Ster Facial Wound Clsr/20</v>
          </cell>
          <cell r="H42">
            <v>3</v>
          </cell>
          <cell r="I42">
            <v>50</v>
          </cell>
          <cell r="J42" t="str">
            <v>7500 due 10/30;7230A Hold;7563-2 due 10/28</v>
          </cell>
          <cell r="K42">
            <v>43808</v>
          </cell>
          <cell r="L42">
            <v>6</v>
          </cell>
          <cell r="M42">
            <v>0.5</v>
          </cell>
        </row>
        <row r="43">
          <cell r="A43" t="str">
            <v>1920891</v>
          </cell>
          <cell r="B43">
            <v>758</v>
          </cell>
          <cell r="C43" t="str">
            <v>DV1</v>
          </cell>
          <cell r="D43" t="str">
            <v>A^235^06^A1^287^30</v>
          </cell>
          <cell r="E43">
            <v>7.9</v>
          </cell>
          <cell r="F43" t="str">
            <v>Ster Incision&amp;Drainage/20</v>
          </cell>
          <cell r="H43">
            <v>3</v>
          </cell>
          <cell r="I43">
            <v>200</v>
          </cell>
          <cell r="J43" t="str">
            <v>1442 due 11/29;7500 due 10/30;7203H-3 due 10/24;7230B due 11/1;7581-1 due 11/14</v>
          </cell>
          <cell r="K43">
            <v>43802</v>
          </cell>
          <cell r="L43">
            <v>5</v>
          </cell>
          <cell r="M43">
            <v>2</v>
          </cell>
        </row>
        <row r="44">
          <cell r="A44" t="str">
            <v>1920903</v>
          </cell>
          <cell r="B44">
            <v>3220</v>
          </cell>
          <cell r="C44" t="str">
            <v>DV1*</v>
          </cell>
          <cell r="D44" t="str">
            <v>A^235^29^A2^287^25</v>
          </cell>
          <cell r="E44">
            <v>10.3</v>
          </cell>
          <cell r="F44" t="str">
            <v>Ster Minor Pack/80</v>
          </cell>
          <cell r="H44">
            <v>13</v>
          </cell>
          <cell r="I44">
            <v>48</v>
          </cell>
          <cell r="J44" t="str">
            <v>5116 due 11/14;ADDITIONAL 11 PIECES REQUIRED FOR BIO-BURDEN TESTING</v>
          </cell>
          <cell r="K44">
            <v>43798</v>
          </cell>
          <cell r="L44">
            <v>3</v>
          </cell>
          <cell r="M44">
            <v>2</v>
          </cell>
        </row>
        <row r="45">
          <cell r="A45" t="str">
            <v>1920907</v>
          </cell>
          <cell r="B45">
            <v>750</v>
          </cell>
          <cell r="C45" t="str">
            <v>DV1</v>
          </cell>
          <cell r="D45" t="str">
            <v>A^235^06^A2^287^22</v>
          </cell>
          <cell r="E45">
            <v>8.5</v>
          </cell>
          <cell r="F45" t="str">
            <v>Ster Mnr Laceration Pk/20</v>
          </cell>
          <cell r="H45">
            <v>13</v>
          </cell>
          <cell r="I45">
            <v>60</v>
          </cell>
          <cell r="J45" t="str">
            <v>7500 due 10/30;7032A-2 due 10/28;</v>
          </cell>
          <cell r="K45">
            <v>43805</v>
          </cell>
          <cell r="L45">
            <v>4</v>
          </cell>
          <cell r="M45">
            <v>0.5</v>
          </cell>
        </row>
        <row r="50">
          <cell r="F50" t="str">
            <v>Run 1st</v>
          </cell>
        </row>
        <row r="52">
          <cell r="A52" t="str">
            <v>1920796</v>
          </cell>
          <cell r="B52">
            <v>298</v>
          </cell>
          <cell r="C52" t="str">
            <v>DV2</v>
          </cell>
          <cell r="D52" t="str">
            <v>VB^325^02^VB^287^26</v>
          </cell>
          <cell r="E52">
            <v>11</v>
          </cell>
          <cell r="F52" t="str">
            <v>Ster Yank w/o vent blb/50</v>
          </cell>
          <cell r="H52">
            <v>13</v>
          </cell>
          <cell r="I52">
            <v>367</v>
          </cell>
          <cell r="K52">
            <v>43780</v>
          </cell>
          <cell r="L52">
            <v>2</v>
          </cell>
          <cell r="M52">
            <v>1.4115384615384616</v>
          </cell>
        </row>
        <row r="53">
          <cell r="A53" t="str">
            <v>1920857</v>
          </cell>
          <cell r="B53">
            <v>299</v>
          </cell>
          <cell r="C53" t="str">
            <v>DV2</v>
          </cell>
          <cell r="D53" t="str">
            <v>VB^325^02^VB^287^26</v>
          </cell>
          <cell r="E53">
            <v>11</v>
          </cell>
          <cell r="F53" t="str">
            <v>Ster Yank w/vent/bulb/50</v>
          </cell>
          <cell r="H53">
            <v>13</v>
          </cell>
          <cell r="I53">
            <v>260</v>
          </cell>
          <cell r="K53">
            <v>43783</v>
          </cell>
          <cell r="L53">
            <v>2</v>
          </cell>
          <cell r="M53">
            <v>1</v>
          </cell>
        </row>
        <row r="54">
          <cell r="A54" t="str">
            <v>1920852</v>
          </cell>
          <cell r="B54">
            <v>565</v>
          </cell>
          <cell r="C54" t="str">
            <v>DV2</v>
          </cell>
          <cell r="D54" t="str">
            <v>VB^325^08^VB^287^26</v>
          </cell>
          <cell r="E54">
            <v>11</v>
          </cell>
          <cell r="F54" t="str">
            <v>STER 22GX5" QUINCKE/50</v>
          </cell>
          <cell r="H54">
            <v>13</v>
          </cell>
          <cell r="I54">
            <v>60</v>
          </cell>
          <cell r="J54" t="str">
            <v>ADDITIONAL 10 PIECES REQUIRED FOR PYROGEN TESTING</v>
          </cell>
          <cell r="K54">
            <v>43780</v>
          </cell>
          <cell r="L54">
            <v>4</v>
          </cell>
          <cell r="M54">
            <v>0.3125</v>
          </cell>
        </row>
        <row r="56">
          <cell r="A56" t="str">
            <v>1920810</v>
          </cell>
          <cell r="B56">
            <v>501</v>
          </cell>
          <cell r="C56" t="str">
            <v>DV2</v>
          </cell>
          <cell r="D56" t="str">
            <v>VA^325^08^VA^287^25</v>
          </cell>
          <cell r="E56">
            <v>12.5</v>
          </cell>
          <cell r="F56" t="str">
            <v>Ster 5in1 Connector/200</v>
          </cell>
          <cell r="H56">
            <v>13</v>
          </cell>
          <cell r="I56">
            <v>144</v>
          </cell>
          <cell r="J56" t="str">
            <v xml:space="preserve"> 11 PIECES REQUIRED FOR BIO-BURDEN TESTING 4TH QUARTER</v>
          </cell>
          <cell r="K56">
            <v>43762</v>
          </cell>
          <cell r="L56">
            <v>4</v>
          </cell>
          <cell r="M56">
            <v>1</v>
          </cell>
        </row>
        <row r="57">
          <cell r="A57" t="str">
            <v>1920827</v>
          </cell>
          <cell r="B57">
            <v>563</v>
          </cell>
          <cell r="C57" t="str">
            <v>DV2</v>
          </cell>
          <cell r="D57" t="str">
            <v>VA^325^08^VA^287^25</v>
          </cell>
          <cell r="E57">
            <v>10</v>
          </cell>
          <cell r="F57" t="str">
            <v>STER 25GX3.5"QUINCKE/100</v>
          </cell>
          <cell r="H57">
            <v>13</v>
          </cell>
          <cell r="I57">
            <v>10</v>
          </cell>
          <cell r="K57">
            <v>43761</v>
          </cell>
          <cell r="L57">
            <v>5</v>
          </cell>
          <cell r="M57">
            <v>3.2051282051282048E-2</v>
          </cell>
        </row>
        <row r="58">
          <cell r="A58" t="str">
            <v>1920829</v>
          </cell>
          <cell r="B58">
            <v>595</v>
          </cell>
          <cell r="C58" t="str">
            <v>DV2</v>
          </cell>
          <cell r="D58" t="str">
            <v>VA^325^08^VA^287^25</v>
          </cell>
          <cell r="E58">
            <v>10</v>
          </cell>
          <cell r="F58" t="str">
            <v>STER 10ML PLASTC LOR LL50</v>
          </cell>
          <cell r="H58">
            <v>13</v>
          </cell>
          <cell r="I58">
            <v>100</v>
          </cell>
          <cell r="J58" t="str">
            <v xml:space="preserve"> ADDITIONAL 10 PIECES REQUIRED FOR PYROGEN TESTING</v>
          </cell>
          <cell r="K58">
            <v>43767</v>
          </cell>
          <cell r="L58">
            <v>4</v>
          </cell>
          <cell r="M58">
            <v>0.37878787878787878</v>
          </cell>
        </row>
        <row r="59">
          <cell r="A59" t="str">
            <v>1920855</v>
          </cell>
          <cell r="B59">
            <v>510</v>
          </cell>
          <cell r="C59" t="str">
            <v>DV2</v>
          </cell>
          <cell r="D59" t="str">
            <v>VA^325^08^VA^287^25</v>
          </cell>
          <cell r="E59">
            <v>11.5</v>
          </cell>
          <cell r="F59" t="str">
            <v>Ster Catheter Plug/200</v>
          </cell>
          <cell r="H59">
            <v>13</v>
          </cell>
          <cell r="I59">
            <v>80</v>
          </cell>
          <cell r="K59">
            <v>43775</v>
          </cell>
          <cell r="L59">
            <v>4</v>
          </cell>
          <cell r="M59">
            <v>0.5</v>
          </cell>
        </row>
        <row r="61">
          <cell r="A61" t="str">
            <v>1920863</v>
          </cell>
          <cell r="B61">
            <v>1624</v>
          </cell>
          <cell r="C61" t="str">
            <v>DV2</v>
          </cell>
          <cell r="D61" t="str">
            <v>V^315^08^V1^295^20</v>
          </cell>
          <cell r="E61">
            <v>8</v>
          </cell>
          <cell r="F61" t="str">
            <v>C/Health K71 Ster 8FR/F50</v>
          </cell>
          <cell r="H61">
            <v>13</v>
          </cell>
          <cell r="I61">
            <v>100</v>
          </cell>
          <cell r="K61">
            <v>43769</v>
          </cell>
          <cell r="L61">
            <v>3</v>
          </cell>
          <cell r="M61">
            <v>0.52083333333333337</v>
          </cell>
        </row>
        <row r="62">
          <cell r="A62" t="str">
            <v>1920864</v>
          </cell>
          <cell r="B62">
            <v>1634</v>
          </cell>
          <cell r="C62" t="str">
            <v>DV2</v>
          </cell>
          <cell r="D62" t="str">
            <v>V^315^08^V1^295^20</v>
          </cell>
          <cell r="E62">
            <v>8</v>
          </cell>
          <cell r="F62" t="str">
            <v>C/Health K72 Ster10Fr/F50</v>
          </cell>
          <cell r="H62">
            <v>13</v>
          </cell>
          <cell r="I62">
            <v>125</v>
          </cell>
          <cell r="K62">
            <v>43769</v>
          </cell>
          <cell r="L62">
            <v>3</v>
          </cell>
          <cell r="M62">
            <v>0.65104166666666663</v>
          </cell>
        </row>
        <row r="64">
          <cell r="F64" t="str">
            <v>Run 1st &amp; 2nd</v>
          </cell>
        </row>
        <row r="66">
          <cell r="A66" t="str">
            <v>1920853</v>
          </cell>
          <cell r="B66">
            <v>143</v>
          </cell>
          <cell r="C66" t="str">
            <v>DV2</v>
          </cell>
          <cell r="D66" t="str">
            <v>H^180^01^H1^287^00</v>
          </cell>
          <cell r="E66">
            <v>13</v>
          </cell>
          <cell r="F66" t="str">
            <v>Ster 3oz Bulb Syringe/50</v>
          </cell>
          <cell r="H66">
            <v>13</v>
          </cell>
          <cell r="I66">
            <v>360</v>
          </cell>
          <cell r="K66">
            <v>43763</v>
          </cell>
          <cell r="L66">
            <v>2</v>
          </cell>
          <cell r="M66">
            <v>4</v>
          </cell>
        </row>
        <row r="67">
          <cell r="A67" t="str">
            <v>1920850</v>
          </cell>
          <cell r="B67">
            <v>149</v>
          </cell>
          <cell r="C67" t="str">
            <v>DV2</v>
          </cell>
          <cell r="D67" t="str">
            <v>H^180^01^H1^287^00</v>
          </cell>
          <cell r="E67">
            <v>13</v>
          </cell>
          <cell r="F67" t="str">
            <v>Ster 3OZ K/Bulb Syringe12</v>
          </cell>
          <cell r="H67">
            <v>13</v>
          </cell>
          <cell r="I67">
            <v>50</v>
          </cell>
          <cell r="K67">
            <v>43782</v>
          </cell>
          <cell r="L67">
            <v>2</v>
          </cell>
          <cell r="M67">
            <v>0.15873015873015872</v>
          </cell>
        </row>
        <row r="69">
          <cell r="A69" t="str">
            <v>1920856</v>
          </cell>
          <cell r="B69">
            <v>563</v>
          </cell>
          <cell r="C69" t="str">
            <v>DV2</v>
          </cell>
          <cell r="D69" t="str">
            <v>VA^325^08^VA^287^25</v>
          </cell>
          <cell r="E69">
            <v>10</v>
          </cell>
          <cell r="F69" t="str">
            <v>STER 25GX3.5"QUINCKE/100</v>
          </cell>
          <cell r="H69">
            <v>13</v>
          </cell>
          <cell r="I69">
            <v>20</v>
          </cell>
          <cell r="J69" t="str">
            <v xml:space="preserve"> ADDITIONAL 10 PIECES REQUIRED FOR PYROGEN TESTING</v>
          </cell>
          <cell r="K69">
            <v>43794</v>
          </cell>
          <cell r="L69">
            <v>5</v>
          </cell>
          <cell r="M69">
            <v>6.4102564102564097E-2</v>
          </cell>
        </row>
        <row r="70">
          <cell r="A70" t="str">
            <v>1920854</v>
          </cell>
          <cell r="B70">
            <v>506</v>
          </cell>
          <cell r="C70" t="str">
            <v>DV2</v>
          </cell>
          <cell r="D70" t="str">
            <v>VA^325^08^VA^287^25</v>
          </cell>
          <cell r="E70">
            <v>12.5</v>
          </cell>
          <cell r="F70" t="str">
            <v>Ster 10mm Connector/400</v>
          </cell>
          <cell r="H70">
            <v>13</v>
          </cell>
          <cell r="I70">
            <v>10</v>
          </cell>
          <cell r="K70">
            <v>43801</v>
          </cell>
          <cell r="L70">
            <v>4</v>
          </cell>
          <cell r="M70">
            <v>6.9444444444444448E-2</v>
          </cell>
        </row>
        <row r="71">
          <cell r="A71" t="str">
            <v>1920870</v>
          </cell>
          <cell r="B71">
            <v>501</v>
          </cell>
          <cell r="C71" t="str">
            <v>DV2</v>
          </cell>
          <cell r="D71" t="str">
            <v>VA^325^08^VA^287^25</v>
          </cell>
          <cell r="E71">
            <v>12.5</v>
          </cell>
          <cell r="F71" t="str">
            <v>Ster 5in1 Connector/200</v>
          </cell>
          <cell r="H71">
            <v>13</v>
          </cell>
          <cell r="I71">
            <v>144</v>
          </cell>
          <cell r="K71">
            <v>43789</v>
          </cell>
          <cell r="L71">
            <v>4</v>
          </cell>
          <cell r="M71">
            <v>1</v>
          </cell>
        </row>
        <row r="73">
          <cell r="F73" t="str">
            <v xml:space="preserve">Run 1st </v>
          </cell>
        </row>
        <row r="75">
          <cell r="A75" t="str">
            <v>1920875</v>
          </cell>
          <cell r="B75">
            <v>136</v>
          </cell>
          <cell r="C75" t="str">
            <v>DV2</v>
          </cell>
          <cell r="D75" t="str">
            <v>VB^325^02^VB^287^26</v>
          </cell>
          <cell r="E75">
            <v>10.5</v>
          </cell>
          <cell r="F75" t="str">
            <v>Ster 10mm Str. Curette/25</v>
          </cell>
          <cell r="H75">
            <v>13</v>
          </cell>
          <cell r="I75">
            <v>29</v>
          </cell>
          <cell r="K75">
            <v>43777</v>
          </cell>
          <cell r="L75">
            <v>2</v>
          </cell>
          <cell r="M75">
            <v>5.8823529411764705E-2</v>
          </cell>
        </row>
        <row r="76">
          <cell r="A76" t="str">
            <v>1920872</v>
          </cell>
          <cell r="B76">
            <v>279</v>
          </cell>
          <cell r="C76" t="str">
            <v>DV2</v>
          </cell>
          <cell r="D76" t="str">
            <v>VB^325^02^VB^287^26</v>
          </cell>
          <cell r="E76">
            <v>10.5</v>
          </cell>
          <cell r="F76" t="str">
            <v>Ster 7MM Cvd Curette/25</v>
          </cell>
          <cell r="H76">
            <v>13</v>
          </cell>
          <cell r="I76">
            <v>89</v>
          </cell>
          <cell r="K76">
            <v>43795</v>
          </cell>
          <cell r="L76">
            <v>2</v>
          </cell>
          <cell r="M76">
            <v>0.18052738336713997</v>
          </cell>
        </row>
        <row r="77">
          <cell r="A77" t="str">
            <v>1920915</v>
          </cell>
          <cell r="B77">
            <v>281</v>
          </cell>
          <cell r="C77" t="str">
            <v>DV2</v>
          </cell>
          <cell r="D77" t="str">
            <v>VB^325^02^VB^287^26</v>
          </cell>
          <cell r="E77">
            <v>10.5</v>
          </cell>
          <cell r="F77" t="str">
            <v>Ster 9MM Cvd Curette/25</v>
          </cell>
          <cell r="H77">
            <v>13</v>
          </cell>
          <cell r="I77">
            <v>58</v>
          </cell>
          <cell r="K77">
            <v>43809</v>
          </cell>
          <cell r="L77">
            <v>2</v>
          </cell>
          <cell r="M77">
            <v>0.11764705882352941</v>
          </cell>
        </row>
        <row r="78">
          <cell r="A78" t="str">
            <v>1920917</v>
          </cell>
          <cell r="B78">
            <v>282</v>
          </cell>
          <cell r="C78" t="str">
            <v>DV2</v>
          </cell>
          <cell r="D78" t="str">
            <v>VB^325^02^VB^287^26</v>
          </cell>
          <cell r="E78">
            <v>10.5</v>
          </cell>
          <cell r="F78" t="str">
            <v>Ster 10MM Cvd Curette/25</v>
          </cell>
          <cell r="H78">
            <v>13</v>
          </cell>
          <cell r="I78">
            <v>58</v>
          </cell>
          <cell r="K78">
            <v>43817</v>
          </cell>
          <cell r="L78">
            <v>2</v>
          </cell>
          <cell r="M78">
            <v>0.11764705882352941</v>
          </cell>
        </row>
        <row r="79">
          <cell r="A79" t="str">
            <v>1920913</v>
          </cell>
          <cell r="B79">
            <v>283</v>
          </cell>
          <cell r="C79" t="str">
            <v>DV2</v>
          </cell>
          <cell r="D79" t="str">
            <v>VB^325^02^VB^287^26</v>
          </cell>
          <cell r="E79">
            <v>10.5</v>
          </cell>
          <cell r="F79" t="str">
            <v>Ster 11MM Cvd Curette/ 25</v>
          </cell>
          <cell r="H79">
            <v>13</v>
          </cell>
          <cell r="I79">
            <v>29</v>
          </cell>
          <cell r="K79">
            <v>43808</v>
          </cell>
          <cell r="L79">
            <v>2</v>
          </cell>
          <cell r="M79">
            <v>5.8823529411764705E-2</v>
          </cell>
        </row>
        <row r="80">
          <cell r="A80" t="str">
            <v>1920893</v>
          </cell>
          <cell r="B80">
            <v>297</v>
          </cell>
          <cell r="C80" t="str">
            <v>DV2</v>
          </cell>
          <cell r="D80" t="str">
            <v>VB^325^02^VB^287^26</v>
          </cell>
          <cell r="E80">
            <v>11</v>
          </cell>
          <cell r="F80" t="str">
            <v>Ster Yank w/vent/ 50</v>
          </cell>
          <cell r="H80">
            <v>13</v>
          </cell>
          <cell r="I80">
            <v>100</v>
          </cell>
          <cell r="K80">
            <v>43789</v>
          </cell>
          <cell r="L80">
            <v>2</v>
          </cell>
          <cell r="M80">
            <v>0.38461538461538464</v>
          </cell>
        </row>
        <row r="81">
          <cell r="A81" t="str">
            <v>1920874</v>
          </cell>
          <cell r="B81">
            <v>298</v>
          </cell>
          <cell r="C81" t="str">
            <v>DV2</v>
          </cell>
          <cell r="D81" t="str">
            <v>VB^325^02^VB^287^26</v>
          </cell>
          <cell r="E81">
            <v>11</v>
          </cell>
          <cell r="F81" t="str">
            <v>Ster Yank w/o vent blb/50</v>
          </cell>
          <cell r="H81">
            <v>13</v>
          </cell>
          <cell r="I81">
            <v>780</v>
          </cell>
          <cell r="K81">
            <v>43790</v>
          </cell>
          <cell r="L81">
            <v>2</v>
          </cell>
          <cell r="M81">
            <v>3</v>
          </cell>
        </row>
        <row r="82">
          <cell r="A82" t="str">
            <v>1920908</v>
          </cell>
          <cell r="B82">
            <v>296</v>
          </cell>
          <cell r="C82" t="str">
            <v>DV2</v>
          </cell>
          <cell r="D82" t="str">
            <v>VB^325^02^VB^287^26</v>
          </cell>
          <cell r="E82">
            <v>11</v>
          </cell>
          <cell r="F82" t="str">
            <v>Ster Yank w/o Vent/50</v>
          </cell>
          <cell r="H82">
            <v>13</v>
          </cell>
          <cell r="I82">
            <v>520</v>
          </cell>
          <cell r="K82">
            <v>43803</v>
          </cell>
          <cell r="L82">
            <v>2</v>
          </cell>
          <cell r="M82">
            <v>2</v>
          </cell>
        </row>
        <row r="83">
          <cell r="A83" t="str">
            <v>1920918</v>
          </cell>
          <cell r="B83">
            <v>299</v>
          </cell>
          <cell r="C83" t="str">
            <v>DV2</v>
          </cell>
          <cell r="D83" t="str">
            <v>VB^325^02^VB^287^26</v>
          </cell>
          <cell r="E83">
            <v>11</v>
          </cell>
          <cell r="F83" t="str">
            <v>Ster Yank w/vent/bulb/50</v>
          </cell>
          <cell r="H83">
            <v>13</v>
          </cell>
          <cell r="I83">
            <v>260</v>
          </cell>
          <cell r="J83" t="str">
            <v>2990KB due 10/30</v>
          </cell>
          <cell r="K83">
            <v>43816</v>
          </cell>
          <cell r="L83">
            <v>2</v>
          </cell>
          <cell r="M83">
            <v>1</v>
          </cell>
        </row>
        <row r="84">
          <cell r="A84" t="str">
            <v>1920916</v>
          </cell>
          <cell r="B84">
            <v>565</v>
          </cell>
          <cell r="C84" t="str">
            <v>DV2</v>
          </cell>
          <cell r="D84" t="str">
            <v>VB^325^08^VB^287^26</v>
          </cell>
          <cell r="E84">
            <v>11</v>
          </cell>
          <cell r="F84" t="str">
            <v>STER 22GX5" QUINCKE/50</v>
          </cell>
          <cell r="H84">
            <v>13</v>
          </cell>
          <cell r="I84">
            <v>60</v>
          </cell>
          <cell r="J84" t="str">
            <v>ADDITIONAL 10 PIECES REQUIRED FOR PYROGEN TESTING</v>
          </cell>
          <cell r="K84">
            <v>43812</v>
          </cell>
          <cell r="L84">
            <v>4</v>
          </cell>
          <cell r="M84">
            <v>0.3125</v>
          </cell>
        </row>
        <row r="86">
          <cell r="A86" t="str">
            <v>1920873</v>
          </cell>
          <cell r="B86">
            <v>143</v>
          </cell>
          <cell r="C86" t="str">
            <v>DV2</v>
          </cell>
          <cell r="D86" t="str">
            <v>H^180^01^H1^287^00</v>
          </cell>
          <cell r="E86">
            <v>13</v>
          </cell>
          <cell r="F86" t="str">
            <v>Ster 3oz Bulb Syringe/50</v>
          </cell>
          <cell r="H86">
            <v>13</v>
          </cell>
          <cell r="I86">
            <v>360</v>
          </cell>
          <cell r="J86" t="str">
            <v>1431B-1 due 10/29</v>
          </cell>
          <cell r="K86">
            <v>43791</v>
          </cell>
          <cell r="L86">
            <v>2</v>
          </cell>
          <cell r="M86">
            <v>4</v>
          </cell>
        </row>
        <row r="87">
          <cell r="A87" t="str">
            <v>1920896</v>
          </cell>
          <cell r="B87">
            <v>142</v>
          </cell>
          <cell r="C87" t="str">
            <v>DV2</v>
          </cell>
          <cell r="D87" t="str">
            <v>H^180^01^H1^287^00</v>
          </cell>
          <cell r="E87">
            <v>13</v>
          </cell>
          <cell r="F87" t="str">
            <v>Ster 2oz Bulb Syringe/50</v>
          </cell>
          <cell r="H87">
            <v>13</v>
          </cell>
          <cell r="I87">
            <v>600</v>
          </cell>
          <cell r="J87" t="str">
            <v>7549 due 11/6</v>
          </cell>
          <cell r="K87">
            <v>43797</v>
          </cell>
          <cell r="L87">
            <v>2</v>
          </cell>
          <cell r="M87">
            <v>5</v>
          </cell>
        </row>
        <row r="88">
          <cell r="A88" t="str">
            <v>1920898</v>
          </cell>
          <cell r="B88">
            <v>148</v>
          </cell>
          <cell r="C88" t="str">
            <v>DV2</v>
          </cell>
          <cell r="D88" t="str">
            <v>H^180^01^H1^287^00</v>
          </cell>
          <cell r="E88">
            <v>13</v>
          </cell>
          <cell r="F88" t="str">
            <v>Ster 2OZ K/Bulb Syringe24</v>
          </cell>
          <cell r="H88">
            <v>13</v>
          </cell>
          <cell r="I88">
            <v>50</v>
          </cell>
          <cell r="K88">
            <v>43803</v>
          </cell>
          <cell r="L88">
            <v>2</v>
          </cell>
          <cell r="M88">
            <v>0.25510204081632654</v>
          </cell>
        </row>
        <row r="90">
          <cell r="A90" t="str">
            <v>1920895</v>
          </cell>
          <cell r="B90">
            <v>406</v>
          </cell>
          <cell r="C90" t="str">
            <v>DV2</v>
          </cell>
          <cell r="D90" t="str">
            <v>V^315^01^V3^287^45</v>
          </cell>
          <cell r="E90">
            <v>10.5</v>
          </cell>
          <cell r="F90" t="str">
            <v>Ster 40cc Mucus Trap/24</v>
          </cell>
          <cell r="H90">
            <v>13</v>
          </cell>
          <cell r="I90">
            <v>1300</v>
          </cell>
          <cell r="J90" t="str">
            <v>4060AS due 10/24</v>
          </cell>
          <cell r="K90">
            <v>43798</v>
          </cell>
          <cell r="L90">
            <v>3</v>
          </cell>
          <cell r="M90">
            <v>5</v>
          </cell>
        </row>
        <row r="91">
          <cell r="A91" t="str">
            <v>1920909</v>
          </cell>
          <cell r="B91">
            <v>407</v>
          </cell>
          <cell r="C91" t="str">
            <v>DV2</v>
          </cell>
          <cell r="D91" t="str">
            <v>V^315^01^V3^287^45</v>
          </cell>
          <cell r="E91">
            <v>10.5</v>
          </cell>
          <cell r="F91" t="str">
            <v>Ster 80cc Mucus Trap/100</v>
          </cell>
          <cell r="H91">
            <v>13</v>
          </cell>
          <cell r="I91">
            <v>120</v>
          </cell>
          <cell r="J91" t="str">
            <v>ADDITIONAL 11 PIECES REQUIRED FOR BIO-BURDEN TESTING</v>
          </cell>
          <cell r="K91">
            <v>43802</v>
          </cell>
          <cell r="L91">
            <v>4</v>
          </cell>
          <cell r="M91">
            <v>3</v>
          </cell>
        </row>
        <row r="92">
          <cell r="A92" t="str">
            <v>1920894</v>
          </cell>
          <cell r="B92">
            <v>162</v>
          </cell>
          <cell r="C92" t="str">
            <v>DV2</v>
          </cell>
          <cell r="D92" t="str">
            <v>V^315^02^V1^287^20</v>
          </cell>
          <cell r="E92">
            <v>8.5</v>
          </cell>
          <cell r="F92" t="str">
            <v>Ster 8FR Frazier/50</v>
          </cell>
          <cell r="H92">
            <v>13</v>
          </cell>
          <cell r="I92">
            <v>30</v>
          </cell>
          <cell r="K92">
            <v>43796</v>
          </cell>
          <cell r="L92">
            <v>3</v>
          </cell>
          <cell r="M92">
            <v>0.15625</v>
          </cell>
        </row>
        <row r="94">
          <cell r="A94" t="str">
            <v>1920914</v>
          </cell>
          <cell r="B94">
            <v>7190</v>
          </cell>
          <cell r="C94" t="str">
            <v>DV2</v>
          </cell>
          <cell r="D94" t="str">
            <v>VA^325^08^VA^287^25</v>
          </cell>
          <cell r="E94">
            <v>12.4</v>
          </cell>
          <cell r="F94" t="str">
            <v>Ster Posi-Grip Forcep/100</v>
          </cell>
          <cell r="H94">
            <v>13</v>
          </cell>
          <cell r="I94">
            <v>640</v>
          </cell>
          <cell r="J94" t="str">
            <v>6850S</v>
          </cell>
          <cell r="K94">
            <v>43804</v>
          </cell>
          <cell r="L94">
            <v>3</v>
          </cell>
          <cell r="M94">
            <v>2</v>
          </cell>
        </row>
        <row r="95">
          <cell r="A95" t="str">
            <v>1920897</v>
          </cell>
          <cell r="B95">
            <v>595</v>
          </cell>
          <cell r="C95" t="str">
            <v>DV2</v>
          </cell>
          <cell r="D95" t="str">
            <v>VA^325^08^VA^287^25</v>
          </cell>
          <cell r="E95">
            <v>10</v>
          </cell>
          <cell r="F95" t="str">
            <v>STER 10ML PLASTC LOR LL50</v>
          </cell>
          <cell r="H95">
            <v>13</v>
          </cell>
          <cell r="I95">
            <v>100</v>
          </cell>
          <cell r="J95" t="str">
            <v>5950D-2 due 11/29;ADDITIONAL 10 PIECES REQUIRED FOR PYROGEN TESTING</v>
          </cell>
          <cell r="K95">
            <v>43797</v>
          </cell>
          <cell r="L95">
            <v>4</v>
          </cell>
          <cell r="M95">
            <v>0.37878787878787878</v>
          </cell>
        </row>
        <row r="96">
          <cell r="A96" t="str">
            <v>1920912</v>
          </cell>
          <cell r="B96">
            <v>504</v>
          </cell>
          <cell r="C96" t="str">
            <v>DV2</v>
          </cell>
          <cell r="D96" t="str">
            <v>VA^325^08^VA^287^25</v>
          </cell>
          <cell r="E96">
            <v>12.5</v>
          </cell>
          <cell r="F96" t="str">
            <v>Ster 6mm Connector/400</v>
          </cell>
          <cell r="H96">
            <v>13</v>
          </cell>
          <cell r="I96">
            <v>15</v>
          </cell>
          <cell r="K96">
            <v>43805</v>
          </cell>
          <cell r="L96">
            <v>4</v>
          </cell>
          <cell r="M96">
            <v>0.10416666666666667</v>
          </cell>
        </row>
        <row r="100">
          <cell r="F100" t="str">
            <v>Run 1st &amp; 2nd</v>
          </cell>
        </row>
        <row r="102">
          <cell r="A102" t="str">
            <v>1920760</v>
          </cell>
          <cell r="B102">
            <v>723</v>
          </cell>
          <cell r="C102" t="str">
            <v>DV3</v>
          </cell>
          <cell r="D102" t="str">
            <v>F^170^25^F7^287^23</v>
          </cell>
          <cell r="E102">
            <v>11.5</v>
          </cell>
          <cell r="F102" t="str">
            <v>Ster Suture Removal/50</v>
          </cell>
          <cell r="H102">
            <v>3</v>
          </cell>
          <cell r="I102">
            <v>81</v>
          </cell>
          <cell r="K102">
            <v>43766</v>
          </cell>
          <cell r="L102">
            <v>6</v>
          </cell>
          <cell r="M102">
            <v>0.375</v>
          </cell>
        </row>
        <row r="103">
          <cell r="A103" t="str">
            <v>1920859</v>
          </cell>
          <cell r="B103">
            <v>718</v>
          </cell>
          <cell r="C103" t="str">
            <v>DV3</v>
          </cell>
          <cell r="D103" t="str">
            <v>F^170^25^F8^287^14</v>
          </cell>
          <cell r="E103">
            <v>12</v>
          </cell>
          <cell r="F103" t="str">
            <v>Ster Suture Kit/50</v>
          </cell>
          <cell r="H103">
            <v>13</v>
          </cell>
          <cell r="I103">
            <v>500</v>
          </cell>
          <cell r="J103" t="str">
            <v>7202 Run Out (1/cs Short)</v>
          </cell>
          <cell r="K103">
            <v>43759</v>
          </cell>
          <cell r="L103">
            <v>5</v>
          </cell>
          <cell r="M103">
            <v>1.4880952380952381</v>
          </cell>
        </row>
        <row r="105">
          <cell r="A105" t="str">
            <v>1920833</v>
          </cell>
          <cell r="B105">
            <v>766</v>
          </cell>
          <cell r="C105" t="str">
            <v>DV3</v>
          </cell>
          <cell r="D105" t="str">
            <v>T^180^02^T1^287^00</v>
          </cell>
          <cell r="E105">
            <v>6.5</v>
          </cell>
          <cell r="F105" t="str">
            <v>Sterile Saf-Shield 50/cs</v>
          </cell>
          <cell r="H105">
            <v>13</v>
          </cell>
          <cell r="I105">
            <v>624</v>
          </cell>
          <cell r="J105" t="str">
            <v>ADDITONAL 11 PIECES REQUIRED FOR 4TH QUARTER BIO-BURDEN TESTING</v>
          </cell>
          <cell r="K105">
            <v>43761</v>
          </cell>
          <cell r="L105">
            <v>3</v>
          </cell>
          <cell r="M105">
            <v>2</v>
          </cell>
        </row>
        <row r="107">
          <cell r="A107" t="str">
            <v>1920862</v>
          </cell>
          <cell r="B107">
            <v>91999</v>
          </cell>
          <cell r="C107" t="str">
            <v>DV3</v>
          </cell>
          <cell r="D107" t="str">
            <v>F^170^04^F6^287^00</v>
          </cell>
          <cell r="E107">
            <v>11</v>
          </cell>
          <cell r="F107" t="str">
            <v>STER DERMATOME BLADE/200</v>
          </cell>
          <cell r="H107">
            <v>13</v>
          </cell>
          <cell r="I107">
            <v>10</v>
          </cell>
          <cell r="K107">
            <v>43767</v>
          </cell>
          <cell r="L107">
            <v>4</v>
          </cell>
          <cell r="M107">
            <v>3.2051282051282048E-2</v>
          </cell>
        </row>
        <row r="109">
          <cell r="A109" t="str">
            <v>1920816</v>
          </cell>
          <cell r="B109">
            <v>822</v>
          </cell>
          <cell r="C109" t="str">
            <v>DV3</v>
          </cell>
          <cell r="D109" t="str">
            <v>F^170^29^F6^287^44</v>
          </cell>
          <cell r="E109">
            <v>11</v>
          </cell>
          <cell r="F109" t="str">
            <v>Sterile IV Start Kit /50</v>
          </cell>
          <cell r="H109">
            <v>3</v>
          </cell>
          <cell r="I109">
            <v>192</v>
          </cell>
          <cell r="K109">
            <v>43759</v>
          </cell>
          <cell r="L109">
            <v>6</v>
          </cell>
          <cell r="M109">
            <v>1</v>
          </cell>
        </row>
        <row r="110">
          <cell r="A110" t="str">
            <v>1920819</v>
          </cell>
          <cell r="B110">
            <v>8172</v>
          </cell>
          <cell r="C110" t="str">
            <v>DV3</v>
          </cell>
          <cell r="D110" t="str">
            <v>F^170^29^F6^287^44</v>
          </cell>
          <cell r="E110">
            <v>11.4</v>
          </cell>
          <cell r="F110" t="str">
            <v>Sterile I.V.Start Kit 50c</v>
          </cell>
          <cell r="H110">
            <v>3</v>
          </cell>
          <cell r="I110">
            <v>500</v>
          </cell>
          <cell r="J110" t="str">
            <v>4331A in Q3</v>
          </cell>
          <cell r="K110">
            <v>43755</v>
          </cell>
          <cell r="L110">
            <v>6</v>
          </cell>
          <cell r="M110">
            <v>2.6041666666666665</v>
          </cell>
        </row>
        <row r="111">
          <cell r="A111" t="str">
            <v>1920865</v>
          </cell>
          <cell r="B111">
            <v>8318</v>
          </cell>
          <cell r="C111" t="str">
            <v>DV3</v>
          </cell>
          <cell r="D111" t="str">
            <v>F^170^29^FB^287^54</v>
          </cell>
          <cell r="E111">
            <v>11.4</v>
          </cell>
          <cell r="F111" t="str">
            <v>STER IV START KIT 50/CS</v>
          </cell>
          <cell r="H111">
            <v>3</v>
          </cell>
          <cell r="I111">
            <v>90</v>
          </cell>
          <cell r="K111">
            <v>43769</v>
          </cell>
          <cell r="L111">
            <v>4</v>
          </cell>
          <cell r="M111">
            <v>0.46875</v>
          </cell>
        </row>
        <row r="113">
          <cell r="A113" t="str">
            <v>1920814</v>
          </cell>
          <cell r="B113">
            <v>723</v>
          </cell>
          <cell r="C113" t="str">
            <v>DV3</v>
          </cell>
          <cell r="D113" t="str">
            <v>F^170^25^F7^287^23</v>
          </cell>
          <cell r="E113">
            <v>11.5</v>
          </cell>
          <cell r="F113" t="str">
            <v>Ster Suture Removal/50</v>
          </cell>
          <cell r="H113">
            <v>3</v>
          </cell>
          <cell r="I113">
            <v>1512</v>
          </cell>
          <cell r="J113" t="str">
            <v>1923N due 10/24;5317N due 10/24</v>
          </cell>
          <cell r="K113">
            <v>43766</v>
          </cell>
          <cell r="L113">
            <v>6</v>
          </cell>
          <cell r="M113">
            <v>7</v>
          </cell>
        </row>
        <row r="114">
          <cell r="A114" t="str">
            <v>1920835</v>
          </cell>
          <cell r="B114">
            <v>726</v>
          </cell>
          <cell r="C114" t="str">
            <v>DV3</v>
          </cell>
          <cell r="D114" t="str">
            <v>F^170^25^F7^287^22</v>
          </cell>
          <cell r="E114">
            <v>11.5</v>
          </cell>
          <cell r="F114" t="str">
            <v>Ster Suture Removal/50</v>
          </cell>
          <cell r="H114">
            <v>3</v>
          </cell>
          <cell r="I114">
            <v>432</v>
          </cell>
          <cell r="J114" t="str">
            <v>1923N due 10/24</v>
          </cell>
          <cell r="K114">
            <v>43769</v>
          </cell>
          <cell r="L114">
            <v>6</v>
          </cell>
          <cell r="M114">
            <v>2</v>
          </cell>
        </row>
        <row r="115">
          <cell r="A115" t="str">
            <v>1920834</v>
          </cell>
          <cell r="B115">
            <v>732</v>
          </cell>
          <cell r="C115" t="str">
            <v>DV3</v>
          </cell>
          <cell r="D115" t="str">
            <v>F^170^25^F7^287^22</v>
          </cell>
          <cell r="E115">
            <v>12</v>
          </cell>
          <cell r="F115" t="str">
            <v>Ster Suture Removal/50</v>
          </cell>
          <cell r="H115">
            <v>13</v>
          </cell>
          <cell r="I115">
            <v>50</v>
          </cell>
          <cell r="K115">
            <v>43804</v>
          </cell>
          <cell r="L115">
            <v>5</v>
          </cell>
          <cell r="M115">
            <v>0.23148148148148148</v>
          </cell>
        </row>
        <row r="116">
          <cell r="A116" t="str">
            <v>1920860</v>
          </cell>
          <cell r="B116">
            <v>5822</v>
          </cell>
          <cell r="C116" t="str">
            <v>DV3</v>
          </cell>
          <cell r="D116" t="str">
            <v>F^170^25^F7^287^22</v>
          </cell>
          <cell r="E116">
            <v>11.5</v>
          </cell>
          <cell r="F116" t="str">
            <v>Ster HS SRK 112-5822/50C</v>
          </cell>
          <cell r="H116">
            <v>3</v>
          </cell>
          <cell r="I116">
            <v>432</v>
          </cell>
          <cell r="J116" t="str">
            <v>1923N due 10/24;5317N due 10/24</v>
          </cell>
          <cell r="K116">
            <v>43787</v>
          </cell>
          <cell r="L116">
            <v>6</v>
          </cell>
          <cell r="M116">
            <v>2</v>
          </cell>
        </row>
        <row r="118">
          <cell r="A118" t="str">
            <v>1920858</v>
          </cell>
          <cell r="B118">
            <v>818</v>
          </cell>
          <cell r="C118" t="str">
            <v>DV3</v>
          </cell>
          <cell r="D118" t="str">
            <v>F^170^43^F6^287^44</v>
          </cell>
          <cell r="E118">
            <v>11</v>
          </cell>
          <cell r="F118" t="str">
            <v>Ster I.V.Start Kit 50C EX</v>
          </cell>
          <cell r="H118">
            <v>3</v>
          </cell>
          <cell r="I118">
            <v>192</v>
          </cell>
          <cell r="K118">
            <v>43781</v>
          </cell>
          <cell r="L118">
            <v>6</v>
          </cell>
          <cell r="M118">
            <v>1</v>
          </cell>
        </row>
        <row r="119">
          <cell r="A119" t="str">
            <v>1920861</v>
          </cell>
          <cell r="B119">
            <v>822</v>
          </cell>
          <cell r="C119" t="str">
            <v>DV3</v>
          </cell>
          <cell r="D119" t="str">
            <v>F^170^29^F6^287^44</v>
          </cell>
          <cell r="E119">
            <v>11</v>
          </cell>
          <cell r="F119" t="str">
            <v>Sterile IV Start Kit /50</v>
          </cell>
          <cell r="H119">
            <v>3</v>
          </cell>
          <cell r="I119">
            <v>192</v>
          </cell>
          <cell r="J119" t="str">
            <v>4331A in Q3;8220B due 11/4</v>
          </cell>
          <cell r="K119">
            <v>43789</v>
          </cell>
          <cell r="L119">
            <v>6</v>
          </cell>
          <cell r="M119">
            <v>1</v>
          </cell>
        </row>
        <row r="121">
          <cell r="A121" t="str">
            <v>1920922</v>
          </cell>
          <cell r="B121">
            <v>766</v>
          </cell>
          <cell r="C121" t="str">
            <v>DV3</v>
          </cell>
          <cell r="D121" t="str">
            <v>T^180^02^T1^287^00</v>
          </cell>
          <cell r="E121">
            <v>6.5</v>
          </cell>
          <cell r="F121" t="str">
            <v>Sterile Saf-Shield 50/cs</v>
          </cell>
          <cell r="H121">
            <v>13</v>
          </cell>
          <cell r="I121">
            <v>624</v>
          </cell>
          <cell r="J121" t="str">
            <v>7660B due 10/28</v>
          </cell>
          <cell r="K121">
            <v>43805</v>
          </cell>
          <cell r="L121">
            <v>3</v>
          </cell>
          <cell r="M121">
            <v>2</v>
          </cell>
        </row>
        <row r="123">
          <cell r="A123" t="str">
            <v>1920926</v>
          </cell>
          <cell r="B123">
            <v>141</v>
          </cell>
          <cell r="C123" t="str">
            <v>DV3</v>
          </cell>
          <cell r="D123" t="str">
            <v>F^170^01^F6^287^55</v>
          </cell>
          <cell r="E123">
            <v>12</v>
          </cell>
          <cell r="F123" t="str">
            <v>Ster 1oz Bulb Syringe 50c</v>
          </cell>
          <cell r="H123">
            <v>13</v>
          </cell>
          <cell r="I123">
            <v>192</v>
          </cell>
          <cell r="J123" t="str">
            <v>1410B-2 due 11/5</v>
          </cell>
          <cell r="K123">
            <v>43812</v>
          </cell>
          <cell r="L123">
            <v>2</v>
          </cell>
          <cell r="M123">
            <v>1</v>
          </cell>
        </row>
        <row r="125">
          <cell r="A125" t="str">
            <v>1920919</v>
          </cell>
          <cell r="B125">
            <v>508</v>
          </cell>
          <cell r="C125" t="str">
            <v>DV3</v>
          </cell>
          <cell r="D125" t="str">
            <v>F^170^02^F2^287^20</v>
          </cell>
          <cell r="E125">
            <v>12.5</v>
          </cell>
          <cell r="F125" t="str">
            <v>Ster 3/8" Y-Connector/200</v>
          </cell>
          <cell r="H125">
            <v>13</v>
          </cell>
          <cell r="I125">
            <v>20</v>
          </cell>
          <cell r="K125">
            <v>43802</v>
          </cell>
          <cell r="L125">
            <v>3</v>
          </cell>
          <cell r="M125">
            <v>0.33333333333333331</v>
          </cell>
        </row>
        <row r="127">
          <cell r="A127" t="str">
            <v>1920878</v>
          </cell>
          <cell r="B127">
            <v>723</v>
          </cell>
          <cell r="C127" t="str">
            <v>DV3</v>
          </cell>
          <cell r="D127" t="str">
            <v>F^170^25^F7^287^23</v>
          </cell>
          <cell r="E127">
            <v>11.5</v>
          </cell>
          <cell r="F127" t="str">
            <v>Ster Suture Removal/50</v>
          </cell>
          <cell r="H127">
            <v>3</v>
          </cell>
          <cell r="I127">
            <v>864</v>
          </cell>
          <cell r="J127" t="str">
            <v>1923N due 10/24;5317N due 10/31;7230A Hold;8262B due 11/29</v>
          </cell>
          <cell r="K127">
            <v>43789</v>
          </cell>
          <cell r="L127">
            <v>6</v>
          </cell>
          <cell r="M127">
            <v>4</v>
          </cell>
        </row>
        <row r="128">
          <cell r="A128" t="str">
            <v>1920836</v>
          </cell>
          <cell r="B128">
            <v>716</v>
          </cell>
          <cell r="C128" t="str">
            <v>DV3</v>
          </cell>
          <cell r="D128" t="str">
            <v>F^170^25^F10^287^22</v>
          </cell>
          <cell r="E128">
            <v>12</v>
          </cell>
          <cell r="F128" t="str">
            <v>Ster Staple Remover/48</v>
          </cell>
          <cell r="H128">
            <v>13</v>
          </cell>
          <cell r="I128">
            <v>648</v>
          </cell>
          <cell r="J128" t="str">
            <v>7204 due 11/15</v>
          </cell>
          <cell r="K128">
            <v>43773</v>
          </cell>
          <cell r="L128">
            <v>4</v>
          </cell>
          <cell r="M128">
            <v>3</v>
          </cell>
        </row>
        <row r="129">
          <cell r="A129" t="str">
            <v>1920837</v>
          </cell>
          <cell r="B129">
            <v>9199</v>
          </cell>
          <cell r="C129" t="str">
            <v>DV3</v>
          </cell>
          <cell r="D129" t="str">
            <v>F^170^25^F10^295^22</v>
          </cell>
          <cell r="E129">
            <v>12</v>
          </cell>
          <cell r="F129" t="str">
            <v>HS STP RMVR #570-0620 /48</v>
          </cell>
          <cell r="H129">
            <v>13</v>
          </cell>
          <cell r="I129">
            <v>108</v>
          </cell>
          <cell r="J129" t="str">
            <v>7204 due 11/15;8262B due 11/29</v>
          </cell>
          <cell r="K129">
            <v>43784</v>
          </cell>
          <cell r="L129">
            <v>4</v>
          </cell>
          <cell r="M129">
            <v>0.5</v>
          </cell>
        </row>
        <row r="130">
          <cell r="A130" t="str">
            <v>1920813</v>
          </cell>
          <cell r="B130">
            <v>718</v>
          </cell>
          <cell r="C130" t="str">
            <v>DV3</v>
          </cell>
          <cell r="D130" t="str">
            <v>F^170^25^F8^287^14</v>
          </cell>
          <cell r="E130">
            <v>12</v>
          </cell>
          <cell r="F130" t="str">
            <v>Ster Suture Kit/50</v>
          </cell>
          <cell r="H130">
            <v>13</v>
          </cell>
          <cell r="I130">
            <v>1008</v>
          </cell>
          <cell r="J130" t="str">
            <v>7202 due 11/15;8262B due 11/29;ADDITONAL 11 PIECES REQUIRED FOR 4TH QUARTER BIO-BURDEN TESTING</v>
          </cell>
          <cell r="K130">
            <v>43769</v>
          </cell>
          <cell r="L130">
            <v>5</v>
          </cell>
          <cell r="M130">
            <v>3</v>
          </cell>
        </row>
        <row r="131">
          <cell r="A131" t="str">
            <v>1920900</v>
          </cell>
          <cell r="B131">
            <v>726</v>
          </cell>
          <cell r="C131" t="str">
            <v>DV3</v>
          </cell>
          <cell r="D131" t="str">
            <v>F^170^25^F7^287^22</v>
          </cell>
          <cell r="E131">
            <v>11.5</v>
          </cell>
          <cell r="F131" t="str">
            <v>Ster Suture Removal/50</v>
          </cell>
          <cell r="H131">
            <v>3</v>
          </cell>
          <cell r="I131">
            <v>432</v>
          </cell>
          <cell r="J131" t="str">
            <v>1923N due 11/24;1941N due 10/31;7230A Hold;7230S due 11/13;8262B due 11/29</v>
          </cell>
          <cell r="K131">
            <v>43797</v>
          </cell>
          <cell r="L131">
            <v>6</v>
          </cell>
          <cell r="M131">
            <v>2</v>
          </cell>
        </row>
        <row r="133">
          <cell r="F133" t="str">
            <v>MEDIFLEX 11-25-19 / 11/27/19</v>
          </cell>
        </row>
        <row r="135">
          <cell r="A135" t="str">
            <v>1920877</v>
          </cell>
          <cell r="B135">
            <v>716</v>
          </cell>
          <cell r="C135" t="str">
            <v>DV3</v>
          </cell>
          <cell r="D135" t="str">
            <v>F^170^25^F10^287^22</v>
          </cell>
          <cell r="E135">
            <v>12</v>
          </cell>
          <cell r="F135" t="str">
            <v>Ster Staple Remover/48</v>
          </cell>
          <cell r="H135">
            <v>13</v>
          </cell>
          <cell r="I135">
            <v>648</v>
          </cell>
          <cell r="J135" t="str">
            <v>7204 due 11/15;7230S due 11/13;8262B due 11/29</v>
          </cell>
          <cell r="K135">
            <v>43794</v>
          </cell>
          <cell r="L135">
            <v>4</v>
          </cell>
          <cell r="M135">
            <v>3</v>
          </cell>
        </row>
        <row r="136">
          <cell r="A136" t="str">
            <v>1920880</v>
          </cell>
          <cell r="B136">
            <v>7165</v>
          </cell>
          <cell r="C136" t="str">
            <v>DV3</v>
          </cell>
          <cell r="D136" t="str">
            <v>F^170^25^F10^280^22</v>
          </cell>
          <cell r="E136">
            <v>12</v>
          </cell>
          <cell r="F136" t="str">
            <v>STER IMCO STAPLE REMVR/48</v>
          </cell>
          <cell r="H136">
            <v>13</v>
          </cell>
          <cell r="I136">
            <v>25</v>
          </cell>
          <cell r="J136" t="str">
            <v>7204 due 11/15;7230S due 11/13;8262B due 11/29</v>
          </cell>
          <cell r="K136">
            <v>43801</v>
          </cell>
          <cell r="L136">
            <v>4</v>
          </cell>
          <cell r="M136">
            <v>0.11574074074074074</v>
          </cell>
        </row>
        <row r="137">
          <cell r="A137" t="str">
            <v>1920899</v>
          </cell>
          <cell r="B137">
            <v>718</v>
          </cell>
          <cell r="C137" t="str">
            <v>DV3</v>
          </cell>
          <cell r="D137" t="str">
            <v>F^170^25^F8^287^14</v>
          </cell>
          <cell r="E137">
            <v>12</v>
          </cell>
          <cell r="F137" t="str">
            <v>Ster Suture Kit/50</v>
          </cell>
          <cell r="H137">
            <v>13</v>
          </cell>
          <cell r="I137">
            <v>1344</v>
          </cell>
          <cell r="J137" t="str">
            <v>7201 due 11/15;7202 due 11/22;7180S due 11/14;8262B due 11/29</v>
          </cell>
          <cell r="K137">
            <v>43791</v>
          </cell>
          <cell r="L137">
            <v>5</v>
          </cell>
          <cell r="M137">
            <v>4</v>
          </cell>
        </row>
        <row r="139">
          <cell r="A139" t="str">
            <v>1920902</v>
          </cell>
          <cell r="B139">
            <v>8172</v>
          </cell>
          <cell r="C139" t="str">
            <v>DV3</v>
          </cell>
          <cell r="D139" t="str">
            <v>F^170^29^F6^287^44</v>
          </cell>
          <cell r="E139">
            <v>11.4</v>
          </cell>
          <cell r="F139" t="str">
            <v>Sterile I.V.Start Kit 50c</v>
          </cell>
          <cell r="H139">
            <v>3</v>
          </cell>
          <cell r="I139">
            <v>500</v>
          </cell>
          <cell r="J139" t="str">
            <v>4331A due 1/20 - MAY LOWER W/O ;8220B due 11/4;8243A due 11/13;8261-2 due 10/28;</v>
          </cell>
          <cell r="K139">
            <v>43783</v>
          </cell>
          <cell r="L139">
            <v>6</v>
          </cell>
          <cell r="M139">
            <v>2.6041666666666665</v>
          </cell>
        </row>
        <row r="140">
          <cell r="A140" t="str">
            <v>1920923</v>
          </cell>
          <cell r="B140">
            <v>818</v>
          </cell>
          <cell r="C140" t="str">
            <v>DV3</v>
          </cell>
          <cell r="D140" t="str">
            <v>F^170^43^F6^287^44</v>
          </cell>
          <cell r="E140">
            <v>11</v>
          </cell>
          <cell r="F140" t="str">
            <v>Ster I.V.Start Kit 50C EX</v>
          </cell>
          <cell r="H140">
            <v>3</v>
          </cell>
          <cell r="I140">
            <v>288</v>
          </cell>
          <cell r="J140" t="str">
            <v>8190A-1 due 11/1;8190B;8243A;8261-2 due 10/28;</v>
          </cell>
          <cell r="K140">
            <v>43805</v>
          </cell>
          <cell r="L140">
            <v>6</v>
          </cell>
          <cell r="M140">
            <v>1.5</v>
          </cell>
        </row>
        <row r="141">
          <cell r="A141" t="str">
            <v>1920929</v>
          </cell>
          <cell r="B141">
            <v>820</v>
          </cell>
          <cell r="C141" t="str">
            <v>DV3</v>
          </cell>
          <cell r="D141" t="str">
            <v>F^170^29^F6^287^44</v>
          </cell>
          <cell r="E141">
            <v>11</v>
          </cell>
          <cell r="F141" t="str">
            <v>Ster IV Start Kit/50</v>
          </cell>
          <cell r="H141">
            <v>3</v>
          </cell>
          <cell r="I141">
            <v>192</v>
          </cell>
          <cell r="J141" t="str">
            <v>7230A Hold;7230B due 11/1;8243A;8261-2 due 10/28;</v>
          </cell>
          <cell r="K141">
            <v>43858</v>
          </cell>
          <cell r="L141">
            <v>6</v>
          </cell>
          <cell r="M141">
            <v>1</v>
          </cell>
        </row>
        <row r="143">
          <cell r="A143" t="str">
            <v>1920920</v>
          </cell>
          <cell r="B143">
            <v>723</v>
          </cell>
          <cell r="C143" t="str">
            <v>DV3</v>
          </cell>
          <cell r="D143" t="str">
            <v>F^170^25^F7^287^23</v>
          </cell>
          <cell r="E143">
            <v>11.5</v>
          </cell>
          <cell r="F143" t="str">
            <v>Ster Suture Removal/50</v>
          </cell>
          <cell r="H143">
            <v>3</v>
          </cell>
          <cell r="I143">
            <v>1728</v>
          </cell>
          <cell r="J143" t="str">
            <v>1923N due 11/24;5317N due 11/25;7230A due 11/19;7230B due 11/1;7230S due 11/13;8262B due 11/29;</v>
          </cell>
          <cell r="K143">
            <v>43802</v>
          </cell>
          <cell r="L143">
            <v>6</v>
          </cell>
          <cell r="M143">
            <v>8</v>
          </cell>
        </row>
        <row r="144">
          <cell r="A144" t="str">
            <v>1920924</v>
          </cell>
          <cell r="B144">
            <v>5822</v>
          </cell>
          <cell r="C144" t="str">
            <v>DV3</v>
          </cell>
          <cell r="D144" t="str">
            <v>F^170^25^F7^287^22</v>
          </cell>
          <cell r="E144">
            <v>11.5</v>
          </cell>
          <cell r="F144" t="str">
            <v>Ster HS SRK 112-5822/50C</v>
          </cell>
          <cell r="H144">
            <v>3</v>
          </cell>
          <cell r="I144">
            <v>432</v>
          </cell>
          <cell r="J144" t="str">
            <v>1923N due 11/24;5317N due 11/25;7230A due 11/19;7230S due 11/13;8262B due 11/29;</v>
          </cell>
          <cell r="K144">
            <v>43811</v>
          </cell>
          <cell r="L144">
            <v>6</v>
          </cell>
          <cell r="M144">
            <v>2</v>
          </cell>
        </row>
        <row r="145">
          <cell r="A145" t="str">
            <v>1920921</v>
          </cell>
          <cell r="B145">
            <v>770</v>
          </cell>
          <cell r="C145" t="str">
            <v>DV3</v>
          </cell>
          <cell r="D145" t="str">
            <v>F^170^25^F10^287^22</v>
          </cell>
          <cell r="E145">
            <v>12.5</v>
          </cell>
          <cell r="F145" t="str">
            <v>Ster Staple Remover/48</v>
          </cell>
          <cell r="H145">
            <v>13</v>
          </cell>
          <cell r="I145">
            <v>72</v>
          </cell>
          <cell r="J145" t="str">
            <v>7204 due 11/15;7701-3 due 11/29;8262B due 11/29;</v>
          </cell>
          <cell r="K145">
            <v>43804</v>
          </cell>
          <cell r="L145">
            <v>5</v>
          </cell>
          <cell r="M145">
            <v>0.5</v>
          </cell>
        </row>
        <row r="146">
          <cell r="A146" t="str">
            <v>1920927</v>
          </cell>
          <cell r="B146">
            <v>716</v>
          </cell>
          <cell r="C146" t="str">
            <v>DV3</v>
          </cell>
          <cell r="D146" t="str">
            <v>F^170^25^F10^287^22</v>
          </cell>
          <cell r="E146">
            <v>12</v>
          </cell>
          <cell r="F146" t="str">
            <v>Ster Staple Remover/48</v>
          </cell>
          <cell r="H146">
            <v>13</v>
          </cell>
          <cell r="I146">
            <v>864</v>
          </cell>
          <cell r="J146" t="str">
            <v>7204 due 11/15;7230S due 11/13;8262B due 11/29;</v>
          </cell>
          <cell r="K146">
            <v>43815</v>
          </cell>
          <cell r="L146">
            <v>4</v>
          </cell>
          <cell r="M146">
            <v>4</v>
          </cell>
        </row>
        <row r="147">
          <cell r="A147" t="str">
            <v>1920928</v>
          </cell>
          <cell r="B147">
            <v>9199</v>
          </cell>
          <cell r="C147" t="str">
            <v>DV3</v>
          </cell>
          <cell r="D147" t="str">
            <v>F^170^25^F10^295^22</v>
          </cell>
          <cell r="E147">
            <v>12</v>
          </cell>
          <cell r="F147" t="str">
            <v>HS STP RMVR #570-0620 /48</v>
          </cell>
          <cell r="H147">
            <v>13</v>
          </cell>
          <cell r="I147">
            <v>108</v>
          </cell>
          <cell r="J147" t="str">
            <v>7204 due 11/15;7230S due 11/13;8262B due 11/29;</v>
          </cell>
          <cell r="K147">
            <v>43817</v>
          </cell>
          <cell r="L147">
            <v>4</v>
          </cell>
          <cell r="M147">
            <v>0.5</v>
          </cell>
        </row>
        <row r="148">
          <cell r="A148" t="str">
            <v>1920925</v>
          </cell>
          <cell r="B148">
            <v>9201</v>
          </cell>
          <cell r="C148" t="str">
            <v>DV3</v>
          </cell>
          <cell r="D148" t="str">
            <v>F^170^25^F8^295^14</v>
          </cell>
          <cell r="E148">
            <v>12</v>
          </cell>
          <cell r="F148" t="str">
            <v>HS SRK 570-0619/50cs</v>
          </cell>
          <cell r="H148">
            <v>13</v>
          </cell>
          <cell r="I148">
            <v>100</v>
          </cell>
          <cell r="J148" t="str">
            <v>7201 due 11/15;7202 due 11/22;7180S due 11/14;8262B due 11/29;</v>
          </cell>
          <cell r="K148">
            <v>43812</v>
          </cell>
          <cell r="L148">
            <v>5</v>
          </cell>
          <cell r="M148">
            <v>0.29761904761904762</v>
          </cell>
        </row>
        <row r="153">
          <cell r="F153" t="str">
            <v>Run 1st</v>
          </cell>
        </row>
        <row r="155">
          <cell r="A155" t="str">
            <v>1931198</v>
          </cell>
          <cell r="B155">
            <v>9109</v>
          </cell>
          <cell r="C155" t="str">
            <v>CNV1</v>
          </cell>
          <cell r="D155" t="str">
            <v>X^012^32^53^951^62</v>
          </cell>
          <cell r="E155">
            <v>0</v>
          </cell>
          <cell r="F155" t="str">
            <v>Ster Support Tray 10cs</v>
          </cell>
          <cell r="H155">
            <v>3</v>
          </cell>
          <cell r="I155">
            <v>50</v>
          </cell>
          <cell r="K155">
            <v>43749</v>
          </cell>
          <cell r="L155">
            <v>12</v>
          </cell>
          <cell r="M155">
            <v>1.1111111111111112</v>
          </cell>
        </row>
        <row r="156">
          <cell r="A156" t="str">
            <v>1931211</v>
          </cell>
          <cell r="B156">
            <v>1114</v>
          </cell>
          <cell r="C156" t="str">
            <v>CNV1</v>
          </cell>
          <cell r="D156" t="str">
            <v>X^010^58^68^901^56</v>
          </cell>
          <cell r="E156">
            <v>0</v>
          </cell>
          <cell r="F156" t="str">
            <v>Ster S/S Epidural Tray 10</v>
          </cell>
          <cell r="H156">
            <v>3</v>
          </cell>
          <cell r="I156">
            <v>10</v>
          </cell>
          <cell r="K156">
            <v>43752</v>
          </cell>
          <cell r="L156">
            <v>10</v>
          </cell>
          <cell r="M156">
            <v>0.11363636363636363</v>
          </cell>
        </row>
        <row r="157">
          <cell r="A157" t="str">
            <v>1931202</v>
          </cell>
          <cell r="B157" t="str">
            <v>7883R1</v>
          </cell>
          <cell r="C157" t="str">
            <v>CNV1</v>
          </cell>
          <cell r="D157" t="str">
            <v>X^010^58^68^951^56</v>
          </cell>
          <cell r="E157">
            <v>0</v>
          </cell>
          <cell r="F157" t="str">
            <v>Ster Transform/Tray 10cs</v>
          </cell>
          <cell r="H157">
            <v>3</v>
          </cell>
          <cell r="I157">
            <v>10</v>
          </cell>
          <cell r="K157">
            <v>43752</v>
          </cell>
          <cell r="L157">
            <v>10</v>
          </cell>
          <cell r="M157">
            <v>0.1388888888888889</v>
          </cell>
        </row>
        <row r="158">
          <cell r="A158" t="str">
            <v>1931218</v>
          </cell>
          <cell r="B158">
            <v>5689</v>
          </cell>
          <cell r="C158" t="str">
            <v>CNV1</v>
          </cell>
          <cell r="D158" t="str">
            <v>X^013^58^68^924^59</v>
          </cell>
          <cell r="E158">
            <v>0</v>
          </cell>
          <cell r="F158" t="str">
            <v>Ster Injection Tray 10/CS</v>
          </cell>
          <cell r="H158">
            <v>13</v>
          </cell>
          <cell r="I158">
            <v>40</v>
          </cell>
          <cell r="J158" t="str">
            <v>5689D Run Out (1/cs Short)</v>
          </cell>
          <cell r="K158">
            <v>43753</v>
          </cell>
          <cell r="L158">
            <v>13</v>
          </cell>
          <cell r="M158">
            <v>0.83333333333333337</v>
          </cell>
        </row>
        <row r="159">
          <cell r="A159" t="str">
            <v>1931144</v>
          </cell>
          <cell r="B159">
            <v>549</v>
          </cell>
          <cell r="C159" t="str">
            <v>CNV1</v>
          </cell>
          <cell r="D159" t="str">
            <v>X^010^58^68^924^54</v>
          </cell>
          <cell r="E159">
            <v>0</v>
          </cell>
          <cell r="F159" t="str">
            <v>Ster ER Lacer Ty Safety20</v>
          </cell>
          <cell r="H159">
            <v>13</v>
          </cell>
          <cell r="I159">
            <v>45</v>
          </cell>
          <cell r="K159">
            <v>43759</v>
          </cell>
          <cell r="L159">
            <v>10</v>
          </cell>
          <cell r="M159">
            <v>1</v>
          </cell>
        </row>
        <row r="160">
          <cell r="A160" t="str">
            <v>1931225</v>
          </cell>
          <cell r="B160">
            <v>9989</v>
          </cell>
          <cell r="C160" t="str">
            <v>CNV1</v>
          </cell>
          <cell r="D160" t="str">
            <v>X^010^58^68^951^58</v>
          </cell>
          <cell r="E160">
            <v>0</v>
          </cell>
          <cell r="F160" t="str">
            <v>Ster Epidural Tray 10/CS</v>
          </cell>
          <cell r="H160">
            <v>3</v>
          </cell>
          <cell r="I160">
            <v>30</v>
          </cell>
          <cell r="K160">
            <v>43755</v>
          </cell>
          <cell r="L160">
            <v>10</v>
          </cell>
          <cell r="M160">
            <v>0.5357142857142857</v>
          </cell>
        </row>
        <row r="161">
          <cell r="A161" t="str">
            <v>1931224</v>
          </cell>
          <cell r="B161">
            <v>9990</v>
          </cell>
          <cell r="C161" t="str">
            <v>CNV1</v>
          </cell>
          <cell r="D161" t="str">
            <v>X^010^58^68^951^58</v>
          </cell>
          <cell r="E161">
            <v>0</v>
          </cell>
          <cell r="F161" t="str">
            <v>Ster Support Tray 10/CS</v>
          </cell>
          <cell r="H161">
            <v>3</v>
          </cell>
          <cell r="I161">
            <v>30</v>
          </cell>
          <cell r="K161">
            <v>43755</v>
          </cell>
          <cell r="L161">
            <v>10</v>
          </cell>
          <cell r="M161">
            <v>0.5357142857142857</v>
          </cell>
        </row>
        <row r="162">
          <cell r="A162" t="str">
            <v>1931171</v>
          </cell>
          <cell r="B162" t="str">
            <v>5032R3</v>
          </cell>
          <cell r="C162" t="str">
            <v>CNV1</v>
          </cell>
          <cell r="D162" t="str">
            <v>X^009^58^68^922^56</v>
          </cell>
          <cell r="E162">
            <v>0</v>
          </cell>
          <cell r="F162" t="str">
            <v>Ster Nerve Block Tray 10c</v>
          </cell>
          <cell r="H162">
            <v>13</v>
          </cell>
          <cell r="I162">
            <v>120</v>
          </cell>
          <cell r="K162">
            <v>43742</v>
          </cell>
          <cell r="L162">
            <v>9</v>
          </cell>
          <cell r="M162">
            <v>1.9047619047619047</v>
          </cell>
        </row>
        <row r="163">
          <cell r="A163" t="str">
            <v>1931236</v>
          </cell>
          <cell r="B163">
            <v>5340</v>
          </cell>
          <cell r="C163" t="str">
            <v>CNV1</v>
          </cell>
          <cell r="D163" t="str">
            <v>Z^009^38^59^922^56</v>
          </cell>
          <cell r="E163">
            <v>0</v>
          </cell>
          <cell r="F163" t="str">
            <v>Ster Transforam/Ty 10c/EX</v>
          </cell>
          <cell r="H163">
            <v>3</v>
          </cell>
          <cell r="I163">
            <v>12</v>
          </cell>
          <cell r="K163">
            <v>43759</v>
          </cell>
          <cell r="L163">
            <v>9</v>
          </cell>
          <cell r="M163">
            <v>0.19047619047619047</v>
          </cell>
        </row>
        <row r="164">
          <cell r="A164" t="str">
            <v>1931243</v>
          </cell>
          <cell r="B164">
            <v>8660</v>
          </cell>
          <cell r="C164" t="str">
            <v>CNV1</v>
          </cell>
          <cell r="D164" t="str">
            <v>X^008^58^68^924^56</v>
          </cell>
          <cell r="E164">
            <v>0</v>
          </cell>
          <cell r="F164" t="str">
            <v>DR.Gage sterile Pain Ty20</v>
          </cell>
          <cell r="H164">
            <v>13</v>
          </cell>
          <cell r="I164">
            <v>12</v>
          </cell>
          <cell r="K164">
            <v>43759</v>
          </cell>
          <cell r="L164">
            <v>8</v>
          </cell>
          <cell r="M164">
            <v>0.21428571428571427</v>
          </cell>
        </row>
        <row r="165">
          <cell r="A165" t="str">
            <v>1931172</v>
          </cell>
          <cell r="B165" t="str">
            <v>5077R3</v>
          </cell>
          <cell r="C165" t="str">
            <v>CNV1</v>
          </cell>
          <cell r="D165" t="str">
            <v>X^010^58^68^922^56</v>
          </cell>
          <cell r="E165">
            <v>0</v>
          </cell>
          <cell r="F165" t="str">
            <v>Ster Epidural Tray 10/cs</v>
          </cell>
          <cell r="H165">
            <v>13</v>
          </cell>
          <cell r="I165">
            <v>60</v>
          </cell>
          <cell r="K165">
            <v>43742</v>
          </cell>
          <cell r="L165">
            <v>10</v>
          </cell>
          <cell r="M165">
            <v>0.95238095238095233</v>
          </cell>
        </row>
        <row r="166">
          <cell r="A166" t="str">
            <v>1931181</v>
          </cell>
          <cell r="B166">
            <v>749</v>
          </cell>
          <cell r="C166" t="str">
            <v>CNV1</v>
          </cell>
          <cell r="D166" t="str">
            <v>X^010^58^68^924^54</v>
          </cell>
          <cell r="E166">
            <v>0</v>
          </cell>
          <cell r="F166" t="str">
            <v>Ster E.R.Laceration Ty 20</v>
          </cell>
          <cell r="H166">
            <v>13</v>
          </cell>
          <cell r="I166">
            <v>240</v>
          </cell>
          <cell r="J166" t="str">
            <v xml:space="preserve">  11 ADDITIONAL PIECES REQUIRED FOR 4TH QUARTER BIO-BURDEN TESTING</v>
          </cell>
          <cell r="K166">
            <v>43759</v>
          </cell>
          <cell r="L166">
            <v>10</v>
          </cell>
          <cell r="M166">
            <v>5.333333333333333</v>
          </cell>
        </row>
        <row r="167">
          <cell r="A167" t="str">
            <v>1931230</v>
          </cell>
          <cell r="B167">
            <v>747</v>
          </cell>
          <cell r="C167" t="str">
            <v>CNV1</v>
          </cell>
          <cell r="D167" t="str">
            <v>X^008^58^68^924^54</v>
          </cell>
          <cell r="E167">
            <v>0</v>
          </cell>
          <cell r="F167" t="str">
            <v>Ster Suturing Tray/20</v>
          </cell>
          <cell r="H167">
            <v>13</v>
          </cell>
          <cell r="I167">
            <v>315</v>
          </cell>
          <cell r="K167">
            <v>43769</v>
          </cell>
          <cell r="L167">
            <v>8</v>
          </cell>
          <cell r="M167">
            <v>7</v>
          </cell>
        </row>
        <row r="168">
          <cell r="A168" t="str">
            <v>1931242</v>
          </cell>
          <cell r="B168" t="str">
            <v>8499R1</v>
          </cell>
          <cell r="C168" t="str">
            <v>CNV1</v>
          </cell>
          <cell r="D168" t="str">
            <v>X^009^58^68^902^56</v>
          </cell>
          <cell r="E168">
            <v>0</v>
          </cell>
          <cell r="F168" t="str">
            <v>STERILE PAIN TRAY 20/CS</v>
          </cell>
          <cell r="H168">
            <v>13</v>
          </cell>
          <cell r="I168">
            <v>12</v>
          </cell>
          <cell r="K168">
            <v>43759</v>
          </cell>
          <cell r="L168">
            <v>9</v>
          </cell>
          <cell r="M168">
            <v>0.21428571428571427</v>
          </cell>
        </row>
        <row r="169">
          <cell r="A169" t="str">
            <v>1931255</v>
          </cell>
          <cell r="B169">
            <v>7369</v>
          </cell>
          <cell r="C169" t="str">
            <v>CNV1</v>
          </cell>
          <cell r="D169" t="str">
            <v>X^009^58^68^901^56</v>
          </cell>
          <cell r="E169">
            <v>0</v>
          </cell>
          <cell r="F169" t="str">
            <v>Sterile Epidural Tray10EX</v>
          </cell>
          <cell r="H169">
            <v>3</v>
          </cell>
          <cell r="I169">
            <v>45</v>
          </cell>
          <cell r="K169">
            <v>43761</v>
          </cell>
          <cell r="L169">
            <v>9</v>
          </cell>
          <cell r="M169">
            <v>0.625</v>
          </cell>
        </row>
        <row r="170">
          <cell r="A170" t="str">
            <v>1931301</v>
          </cell>
          <cell r="B170" t="str">
            <v>8673R4</v>
          </cell>
          <cell r="C170" t="str">
            <v>CNV1</v>
          </cell>
          <cell r="D170" t="str">
            <v>X^010^58^68^912^73</v>
          </cell>
          <cell r="E170">
            <v>0</v>
          </cell>
          <cell r="F170" t="str">
            <v>Ster Core Biopsy Ty10c/RX</v>
          </cell>
          <cell r="H170">
            <v>3</v>
          </cell>
          <cell r="I170">
            <v>55</v>
          </cell>
          <cell r="J170" t="str">
            <v>EXPEDITE RUSH REQUESTED</v>
          </cell>
          <cell r="K170">
            <v>43769</v>
          </cell>
          <cell r="L170">
            <v>10</v>
          </cell>
          <cell r="M170">
            <v>0.76388888888888884</v>
          </cell>
        </row>
        <row r="171">
          <cell r="A171" t="str">
            <v>1931280S</v>
          </cell>
          <cell r="B171">
            <v>9342</v>
          </cell>
          <cell r="C171" t="str">
            <v>CNV1</v>
          </cell>
          <cell r="D171" t="str">
            <v>X^010^58^68^922^58</v>
          </cell>
          <cell r="E171">
            <v>0</v>
          </cell>
          <cell r="F171" t="str">
            <v>Ster Nerve Block Try 10RX</v>
          </cell>
          <cell r="H171">
            <v>3</v>
          </cell>
          <cell r="I171">
            <v>20</v>
          </cell>
          <cell r="J171" t="str">
            <v>DUE TO CUSTOMER 11/21; EXPEDITE RUSH REQUEST</v>
          </cell>
          <cell r="K171">
            <v>43766</v>
          </cell>
          <cell r="L171">
            <v>10</v>
          </cell>
          <cell r="M171">
            <v>0.31746031746031744</v>
          </cell>
        </row>
        <row r="172">
          <cell r="A172" t="str">
            <v>1931281S</v>
          </cell>
          <cell r="B172" t="str">
            <v>3766R2</v>
          </cell>
          <cell r="C172" t="str">
            <v>CNV1</v>
          </cell>
          <cell r="D172" t="str">
            <v>X^011^58^68^922^58</v>
          </cell>
          <cell r="E172">
            <v>0</v>
          </cell>
          <cell r="F172" t="str">
            <v>Sterile Lumbar Tray 10cRX</v>
          </cell>
          <cell r="H172">
            <v>3</v>
          </cell>
          <cell r="I172">
            <v>20</v>
          </cell>
          <cell r="J172" t="str">
            <v>DUE TO CUSTOMER 11/21; EXPEDITE RUSH REQUEST</v>
          </cell>
          <cell r="K172">
            <v>43766</v>
          </cell>
          <cell r="L172">
            <v>11</v>
          </cell>
          <cell r="M172">
            <v>0.27777777777777779</v>
          </cell>
        </row>
        <row r="173">
          <cell r="A173" t="str">
            <v>1931213</v>
          </cell>
          <cell r="B173" t="str">
            <v>3897R1</v>
          </cell>
          <cell r="C173" t="str">
            <v>CNV1</v>
          </cell>
          <cell r="D173" t="str">
            <v>X^013^58^68^905^54</v>
          </cell>
          <cell r="E173">
            <v>0</v>
          </cell>
          <cell r="F173" t="str">
            <v>Ster Arthrogram Ty 5csRX</v>
          </cell>
          <cell r="H173">
            <v>3</v>
          </cell>
          <cell r="I173">
            <v>100</v>
          </cell>
          <cell r="K173">
            <v>43752</v>
          </cell>
          <cell r="L173">
            <v>13</v>
          </cell>
          <cell r="M173">
            <v>0.52083333333333337</v>
          </cell>
        </row>
        <row r="174">
          <cell r="A174" t="str">
            <v>1931270</v>
          </cell>
          <cell r="B174">
            <v>2115</v>
          </cell>
          <cell r="C174" t="str">
            <v>CNV1</v>
          </cell>
          <cell r="D174" t="str">
            <v>X^009^58^68^902^59</v>
          </cell>
          <cell r="E174">
            <v>0</v>
          </cell>
          <cell r="F174" t="str">
            <v>Ster Universal P/Pk T/10C</v>
          </cell>
          <cell r="H174">
            <v>3</v>
          </cell>
          <cell r="I174">
            <v>60</v>
          </cell>
          <cell r="K174">
            <v>43766</v>
          </cell>
          <cell r="L174">
            <v>9</v>
          </cell>
          <cell r="M174">
            <v>0.83333333333333337</v>
          </cell>
        </row>
        <row r="175">
          <cell r="A175" t="str">
            <v>1931277</v>
          </cell>
          <cell r="B175" t="str">
            <v>8317R1</v>
          </cell>
          <cell r="C175" t="str">
            <v>CNV1</v>
          </cell>
          <cell r="D175" t="str">
            <v>X^008^58^68^922^58</v>
          </cell>
          <cell r="E175">
            <v>0</v>
          </cell>
          <cell r="F175" t="str">
            <v>Sterile Pain Tray 10cs</v>
          </cell>
          <cell r="H175">
            <v>13</v>
          </cell>
          <cell r="I175">
            <v>200</v>
          </cell>
          <cell r="K175">
            <v>43766</v>
          </cell>
          <cell r="L175">
            <v>8</v>
          </cell>
          <cell r="M175">
            <v>3.1746031746031744</v>
          </cell>
        </row>
        <row r="176">
          <cell r="A176" t="str">
            <v>1931296</v>
          </cell>
          <cell r="B176" t="str">
            <v>8937R1</v>
          </cell>
          <cell r="C176" t="str">
            <v>CNV1</v>
          </cell>
          <cell r="D176" t="str">
            <v>X^008^58^68^906^56</v>
          </cell>
          <cell r="E176">
            <v>0</v>
          </cell>
          <cell r="F176" t="str">
            <v>Ster Reconstructive Tr/10</v>
          </cell>
          <cell r="H176">
            <v>13</v>
          </cell>
          <cell r="I176">
            <v>90</v>
          </cell>
          <cell r="K176">
            <v>43769</v>
          </cell>
          <cell r="L176">
            <v>8</v>
          </cell>
          <cell r="M176">
            <v>0.75</v>
          </cell>
        </row>
        <row r="177">
          <cell r="A177" t="str">
            <v>1931307</v>
          </cell>
          <cell r="B177">
            <v>8795</v>
          </cell>
          <cell r="C177" t="str">
            <v>CNV1</v>
          </cell>
          <cell r="D177" t="str">
            <v>X^007^58^68^901^56</v>
          </cell>
          <cell r="E177">
            <v>0</v>
          </cell>
          <cell r="F177" t="str">
            <v>Ster Epidural P/Try 10/cs</v>
          </cell>
          <cell r="H177">
            <v>13</v>
          </cell>
          <cell r="I177">
            <v>10</v>
          </cell>
          <cell r="K177">
            <v>43770</v>
          </cell>
          <cell r="L177">
            <v>7</v>
          </cell>
          <cell r="M177">
            <v>8.3333333333333329E-2</v>
          </cell>
        </row>
        <row r="178">
          <cell r="A178" t="str">
            <v>1931193</v>
          </cell>
          <cell r="B178" t="str">
            <v>B9175R1</v>
          </cell>
          <cell r="C178" t="str">
            <v>CNV1</v>
          </cell>
          <cell r="D178" t="str">
            <v>X^011^58^68^924^56</v>
          </cell>
          <cell r="E178">
            <v>0</v>
          </cell>
          <cell r="F178" t="str">
            <v>Ster F/SS 3.5mm P/Ins T20</v>
          </cell>
          <cell r="H178">
            <v>3</v>
          </cell>
          <cell r="I178">
            <v>50</v>
          </cell>
          <cell r="J178" t="str">
            <v>2257B Make in House;8408C Make in House</v>
          </cell>
          <cell r="K178">
            <v>43748</v>
          </cell>
          <cell r="L178">
            <v>11</v>
          </cell>
          <cell r="M178">
            <v>1.1111111111111112</v>
          </cell>
        </row>
        <row r="179">
          <cell r="A179" t="str">
            <v>1931205</v>
          </cell>
          <cell r="B179">
            <v>5971</v>
          </cell>
          <cell r="C179" t="str">
            <v>CNV1</v>
          </cell>
          <cell r="D179" t="str">
            <v>X^011^58^68^951^58</v>
          </cell>
          <cell r="E179">
            <v>0</v>
          </cell>
          <cell r="F179" t="str">
            <v>Ster S/S/Epidural Ty10CRX</v>
          </cell>
          <cell r="H179">
            <v>3</v>
          </cell>
          <cell r="I179">
            <v>10</v>
          </cell>
          <cell r="K179">
            <v>43752</v>
          </cell>
          <cell r="L179">
            <v>11</v>
          </cell>
          <cell r="M179">
            <v>0.22222222222222221</v>
          </cell>
        </row>
        <row r="180">
          <cell r="A180" t="str">
            <v>1931241</v>
          </cell>
          <cell r="B180">
            <v>8417</v>
          </cell>
          <cell r="C180" t="str">
            <v>CNV1</v>
          </cell>
          <cell r="D180" t="str">
            <v>X^011^58^68^922^59</v>
          </cell>
          <cell r="E180">
            <v>0</v>
          </cell>
          <cell r="F180" t="str">
            <v>Ster S/S/Epidural Ty10/RX</v>
          </cell>
          <cell r="H180">
            <v>3</v>
          </cell>
          <cell r="I180">
            <v>80</v>
          </cell>
          <cell r="K180">
            <v>43759</v>
          </cell>
          <cell r="L180">
            <v>11</v>
          </cell>
          <cell r="M180">
            <v>1.2698412698412698</v>
          </cell>
        </row>
        <row r="181">
          <cell r="A181" t="str">
            <v>1931248</v>
          </cell>
          <cell r="B181">
            <v>8469</v>
          </cell>
          <cell r="C181" t="str">
            <v>CNV1</v>
          </cell>
          <cell r="D181" t="str">
            <v>X^011^58^68^922^56</v>
          </cell>
          <cell r="E181">
            <v>0</v>
          </cell>
          <cell r="F181" t="str">
            <v>Ster Neve Block10cs/RX EX</v>
          </cell>
          <cell r="H181">
            <v>3</v>
          </cell>
          <cell r="I181">
            <v>10</v>
          </cell>
          <cell r="K181">
            <v>43759</v>
          </cell>
          <cell r="L181">
            <v>11</v>
          </cell>
          <cell r="M181">
            <v>0.18518518518518517</v>
          </cell>
        </row>
        <row r="182">
          <cell r="A182" t="str">
            <v>1931235</v>
          </cell>
          <cell r="B182" t="str">
            <v>3188R2</v>
          </cell>
          <cell r="C182" t="str">
            <v>CNV1</v>
          </cell>
          <cell r="D182" t="str">
            <v>X^011^58^68^922^58</v>
          </cell>
          <cell r="E182">
            <v>0</v>
          </cell>
          <cell r="F182" t="str">
            <v>Ster Universal B/Tray10RX</v>
          </cell>
          <cell r="H182">
            <v>3</v>
          </cell>
          <cell r="I182">
            <v>15</v>
          </cell>
          <cell r="K182">
            <v>43759</v>
          </cell>
          <cell r="L182">
            <v>11</v>
          </cell>
          <cell r="M182">
            <v>0.33333333333333331</v>
          </cell>
        </row>
        <row r="183">
          <cell r="A183" t="str">
            <v>1931247</v>
          </cell>
          <cell r="B183">
            <v>7249</v>
          </cell>
          <cell r="C183" t="str">
            <v>CNV1</v>
          </cell>
          <cell r="D183" t="str">
            <v>X^008^58^68^925^56</v>
          </cell>
          <cell r="E183">
            <v>0</v>
          </cell>
          <cell r="F183" t="str">
            <v>Ster Single Shot Epi/Ty10</v>
          </cell>
          <cell r="H183">
            <v>3</v>
          </cell>
          <cell r="I183">
            <v>46</v>
          </cell>
          <cell r="K183">
            <v>43759</v>
          </cell>
          <cell r="L183">
            <v>8</v>
          </cell>
          <cell r="M183">
            <v>0.8214285714285714</v>
          </cell>
        </row>
        <row r="184">
          <cell r="A184" t="str">
            <v>1931240</v>
          </cell>
          <cell r="B184" t="str">
            <v>7841R1</v>
          </cell>
          <cell r="C184" t="str">
            <v>CNV1</v>
          </cell>
          <cell r="D184" t="str">
            <v>X^010^58^68^911^56</v>
          </cell>
          <cell r="E184">
            <v>0</v>
          </cell>
          <cell r="F184" t="str">
            <v>Ster Universal B/Ty10/cs</v>
          </cell>
          <cell r="H184">
            <v>13</v>
          </cell>
          <cell r="I184">
            <v>30</v>
          </cell>
          <cell r="K184">
            <v>43759</v>
          </cell>
          <cell r="L184">
            <v>10</v>
          </cell>
          <cell r="M184">
            <v>0.55555555555555558</v>
          </cell>
        </row>
        <row r="185">
          <cell r="A185" t="str">
            <v>1931265</v>
          </cell>
          <cell r="B185" t="str">
            <v>8598R1</v>
          </cell>
          <cell r="C185" t="str">
            <v>CNV1</v>
          </cell>
          <cell r="D185" t="str">
            <v>X^010^58^68^922^56</v>
          </cell>
          <cell r="E185">
            <v>0</v>
          </cell>
          <cell r="F185" t="str">
            <v>Ster S/S/Epidural T/10/RX</v>
          </cell>
          <cell r="H185">
            <v>3</v>
          </cell>
          <cell r="I185">
            <v>15</v>
          </cell>
          <cell r="K185">
            <v>43766</v>
          </cell>
          <cell r="L185">
            <v>10</v>
          </cell>
          <cell r="M185">
            <v>0.23809523809523808</v>
          </cell>
        </row>
        <row r="186">
          <cell r="A186" t="str">
            <v>1931275</v>
          </cell>
          <cell r="B186">
            <v>6053</v>
          </cell>
          <cell r="C186" t="str">
            <v>CNV1</v>
          </cell>
          <cell r="D186" t="str">
            <v>X^011^58^68^951^58</v>
          </cell>
          <cell r="E186">
            <v>0</v>
          </cell>
          <cell r="F186" t="str">
            <v>Ster S/S/Epdural Ty10cRX</v>
          </cell>
          <cell r="H186">
            <v>3</v>
          </cell>
          <cell r="I186">
            <v>15</v>
          </cell>
          <cell r="K186">
            <v>43766</v>
          </cell>
          <cell r="L186">
            <v>11</v>
          </cell>
          <cell r="M186">
            <v>0.33333333333333331</v>
          </cell>
        </row>
        <row r="187">
          <cell r="A187" t="str">
            <v>1931279</v>
          </cell>
          <cell r="B187">
            <v>6343</v>
          </cell>
          <cell r="C187" t="str">
            <v>CNV1</v>
          </cell>
          <cell r="D187" t="str">
            <v>X^011^58^68^951^58</v>
          </cell>
          <cell r="E187">
            <v>0</v>
          </cell>
          <cell r="F187" t="str">
            <v>Ster P/Support Lumbar/T10</v>
          </cell>
          <cell r="H187">
            <v>3</v>
          </cell>
          <cell r="I187">
            <v>25</v>
          </cell>
          <cell r="K187">
            <v>43766</v>
          </cell>
          <cell r="L187">
            <v>11</v>
          </cell>
          <cell r="M187">
            <v>0.55555555555555558</v>
          </cell>
        </row>
        <row r="188">
          <cell r="A188" t="str">
            <v>1931289</v>
          </cell>
          <cell r="B188" t="str">
            <v>6194R2</v>
          </cell>
          <cell r="C188" t="str">
            <v>CNV1</v>
          </cell>
          <cell r="D188" t="str">
            <v>X^011^32^53^954^58</v>
          </cell>
          <cell r="E188">
            <v>0</v>
          </cell>
          <cell r="F188" t="str">
            <v>Ster S/S/Epidural Ty10cRX</v>
          </cell>
          <cell r="H188">
            <v>3</v>
          </cell>
          <cell r="I188">
            <v>30</v>
          </cell>
          <cell r="K188">
            <v>43767</v>
          </cell>
          <cell r="L188">
            <v>11</v>
          </cell>
          <cell r="M188">
            <v>0.66666666666666663</v>
          </cell>
        </row>
        <row r="189">
          <cell r="A189" t="str">
            <v>1931291</v>
          </cell>
          <cell r="B189">
            <v>9222</v>
          </cell>
          <cell r="C189" t="str">
            <v>CNV1</v>
          </cell>
          <cell r="D189" t="str">
            <v>X^011^58^68^951^56</v>
          </cell>
          <cell r="E189">
            <v>0</v>
          </cell>
          <cell r="F189" t="str">
            <v>Ster Epidural Tray 10RX</v>
          </cell>
          <cell r="H189">
            <v>3</v>
          </cell>
          <cell r="I189">
            <v>20</v>
          </cell>
          <cell r="K189">
            <v>43768</v>
          </cell>
          <cell r="L189">
            <v>11</v>
          </cell>
          <cell r="M189">
            <v>0.44444444444444442</v>
          </cell>
        </row>
        <row r="190">
          <cell r="A190" t="str">
            <v>1931145</v>
          </cell>
          <cell r="B190">
            <v>768</v>
          </cell>
          <cell r="C190" t="str">
            <v>CNV1</v>
          </cell>
          <cell r="D190" t="str">
            <v>X^010^58^68^924^54</v>
          </cell>
          <cell r="E190">
            <v>0</v>
          </cell>
          <cell r="F190" t="str">
            <v>STER LAC TRY SUTR-GLIDE20</v>
          </cell>
          <cell r="H190">
            <v>13</v>
          </cell>
          <cell r="I190">
            <v>25</v>
          </cell>
          <cell r="J190" t="str">
            <v>7660B due 10/28</v>
          </cell>
          <cell r="K190">
            <v>43775</v>
          </cell>
          <cell r="L190">
            <v>10</v>
          </cell>
          <cell r="M190">
            <v>0.55555555555555558</v>
          </cell>
        </row>
        <row r="191">
          <cell r="A191" t="str">
            <v>1931282</v>
          </cell>
          <cell r="B191">
            <v>386</v>
          </cell>
          <cell r="C191" t="str">
            <v>CNV1</v>
          </cell>
          <cell r="D191" t="str">
            <v>X^008^58^68^924^54</v>
          </cell>
          <cell r="E191">
            <v>0</v>
          </cell>
          <cell r="F191" t="str">
            <v>Ster Circumcision Tray10c</v>
          </cell>
          <cell r="H191">
            <v>3</v>
          </cell>
          <cell r="I191">
            <v>30</v>
          </cell>
          <cell r="J191" t="str">
            <v>1922N due 10/24</v>
          </cell>
          <cell r="K191">
            <v>43753</v>
          </cell>
          <cell r="L191">
            <v>8</v>
          </cell>
          <cell r="M191">
            <v>0.41666666666666669</v>
          </cell>
        </row>
        <row r="192">
          <cell r="A192" t="str">
            <v>1931283</v>
          </cell>
          <cell r="B192">
            <v>672</v>
          </cell>
          <cell r="C192" t="str">
            <v>CNV1</v>
          </cell>
          <cell r="D192" t="str">
            <v>X^012^58^68^951^58</v>
          </cell>
          <cell r="E192">
            <v>0</v>
          </cell>
          <cell r="F192" t="str">
            <v>SterBasicNerveB/Tray10 RX</v>
          </cell>
          <cell r="H192">
            <v>3</v>
          </cell>
          <cell r="I192">
            <v>15</v>
          </cell>
          <cell r="J192" t="str">
            <v xml:space="preserve"> EXTRA CASE INCLUDED FOR PYROGEN TESTING </v>
          </cell>
          <cell r="K192">
            <v>43774</v>
          </cell>
          <cell r="L192">
            <v>12</v>
          </cell>
          <cell r="M192">
            <v>0.33333333333333331</v>
          </cell>
        </row>
        <row r="194">
          <cell r="A194" t="str">
            <v>1931239</v>
          </cell>
          <cell r="B194">
            <v>8476</v>
          </cell>
          <cell r="C194" t="str">
            <v>CNV1</v>
          </cell>
          <cell r="D194" t="str">
            <v>X^008^58^68^912^56</v>
          </cell>
          <cell r="E194">
            <v>0</v>
          </cell>
          <cell r="F194" t="str">
            <v>Sterile Nerve BLOCK/T10RX</v>
          </cell>
          <cell r="H194">
            <v>3</v>
          </cell>
          <cell r="I194">
            <v>120</v>
          </cell>
          <cell r="K194">
            <v>43759</v>
          </cell>
          <cell r="L194">
            <v>8</v>
          </cell>
          <cell r="M194">
            <v>1.5384615384615385</v>
          </cell>
        </row>
        <row r="195">
          <cell r="A195" t="str">
            <v>1931288</v>
          </cell>
          <cell r="B195" t="str">
            <v>6193R1</v>
          </cell>
          <cell r="C195" t="str">
            <v>CNV1</v>
          </cell>
          <cell r="D195" t="str">
            <v>X^010^58^68^951^58</v>
          </cell>
          <cell r="E195">
            <v>0</v>
          </cell>
          <cell r="F195" t="str">
            <v>Ster Universal B/Tray10RX</v>
          </cell>
          <cell r="H195">
            <v>3</v>
          </cell>
          <cell r="I195">
            <v>100</v>
          </cell>
          <cell r="K195">
            <v>43767</v>
          </cell>
          <cell r="L195">
            <v>10</v>
          </cell>
          <cell r="M195">
            <v>2.2222222222222223</v>
          </cell>
        </row>
        <row r="196">
          <cell r="A196" t="str">
            <v>1931269</v>
          </cell>
          <cell r="B196">
            <v>1170</v>
          </cell>
          <cell r="C196" t="str">
            <v>CNV1</v>
          </cell>
          <cell r="D196" t="str">
            <v>Z^011^38^59^951^59</v>
          </cell>
          <cell r="E196">
            <v>0</v>
          </cell>
          <cell r="F196" t="str">
            <v>Ster Nerve Block Tray 10c</v>
          </cell>
          <cell r="H196">
            <v>3</v>
          </cell>
          <cell r="I196">
            <v>20</v>
          </cell>
          <cell r="J196" t="str">
            <v>EXPEDITE RUSH REQUESTED</v>
          </cell>
          <cell r="K196">
            <v>43766</v>
          </cell>
          <cell r="L196">
            <v>11</v>
          </cell>
          <cell r="M196">
            <v>0.44444444444444442</v>
          </cell>
        </row>
        <row r="197">
          <cell r="A197" t="str">
            <v>1931299</v>
          </cell>
          <cell r="B197" t="str">
            <v>5663R1</v>
          </cell>
          <cell r="C197" t="str">
            <v>CNV1</v>
          </cell>
          <cell r="D197" t="str">
            <v>X^011^58^68^954^56</v>
          </cell>
          <cell r="E197">
            <v>0</v>
          </cell>
          <cell r="F197" t="str">
            <v>Ster S/S/Epidural Tray10c</v>
          </cell>
          <cell r="H197">
            <v>13</v>
          </cell>
          <cell r="I197">
            <v>65</v>
          </cell>
          <cell r="K197">
            <v>43769</v>
          </cell>
          <cell r="L197">
            <v>11</v>
          </cell>
          <cell r="M197">
            <v>1.3541666666666667</v>
          </cell>
        </row>
        <row r="198">
          <cell r="A198" t="str">
            <v>1931294</v>
          </cell>
          <cell r="B198" t="str">
            <v>3122R1</v>
          </cell>
          <cell r="C198" t="str">
            <v>CNV1</v>
          </cell>
          <cell r="D198" t="str">
            <v>X^011^59^71^906^64</v>
          </cell>
          <cell r="E198">
            <v>0</v>
          </cell>
          <cell r="F198" t="str">
            <v>Sterile Surgery Pack 5 cs</v>
          </cell>
          <cell r="H198">
            <v>13</v>
          </cell>
          <cell r="I198">
            <v>30</v>
          </cell>
          <cell r="J198" t="str">
            <v>3122A Reject ; THIS KIT REQUIRES EXTRA AERATION</v>
          </cell>
          <cell r="K198">
            <v>43769</v>
          </cell>
          <cell r="L198">
            <v>11</v>
          </cell>
          <cell r="M198">
            <v>0.625</v>
          </cell>
        </row>
        <row r="199">
          <cell r="A199" t="str">
            <v>1931238</v>
          </cell>
          <cell r="B199">
            <v>9128</v>
          </cell>
          <cell r="C199" t="str">
            <v>CNV1</v>
          </cell>
          <cell r="D199" t="str">
            <v>X^008^58^68^901^56</v>
          </cell>
          <cell r="E199">
            <v>0</v>
          </cell>
          <cell r="F199" t="str">
            <v>Ster Support Tray 10cs</v>
          </cell>
          <cell r="H199">
            <v>3</v>
          </cell>
          <cell r="I199">
            <v>20</v>
          </cell>
          <cell r="K199">
            <v>43759</v>
          </cell>
          <cell r="L199">
            <v>8</v>
          </cell>
          <cell r="M199">
            <v>0.18518518518518517</v>
          </cell>
        </row>
        <row r="200">
          <cell r="A200" t="str">
            <v>1931232</v>
          </cell>
          <cell r="B200" t="str">
            <v>B1954R1</v>
          </cell>
          <cell r="C200" t="str">
            <v>CNV1</v>
          </cell>
          <cell r="D200" t="str">
            <v>X^009^58^68^901^56</v>
          </cell>
          <cell r="E200">
            <v>0</v>
          </cell>
          <cell r="F200" t="str">
            <v>Ster 3.2MM Pellet/In/T20C</v>
          </cell>
          <cell r="H200">
            <v>3</v>
          </cell>
          <cell r="I200">
            <v>100</v>
          </cell>
          <cell r="K200">
            <v>43759</v>
          </cell>
          <cell r="L200">
            <v>9</v>
          </cell>
          <cell r="M200">
            <v>2.2222222222222223</v>
          </cell>
        </row>
        <row r="201">
          <cell r="A201" t="str">
            <v>1931303</v>
          </cell>
          <cell r="B201" t="str">
            <v>1728R3</v>
          </cell>
          <cell r="C201" t="str">
            <v>CNV1</v>
          </cell>
          <cell r="D201" t="str">
            <v>X^010^58^68^924^54</v>
          </cell>
          <cell r="E201">
            <v>0</v>
          </cell>
          <cell r="F201" t="str">
            <v>Ster S/S Epidural Ty10/cs</v>
          </cell>
          <cell r="H201">
            <v>3</v>
          </cell>
          <cell r="I201">
            <v>20</v>
          </cell>
          <cell r="K201">
            <v>43770</v>
          </cell>
          <cell r="L201">
            <v>10</v>
          </cell>
          <cell r="M201">
            <v>0.41666666666666669</v>
          </cell>
        </row>
        <row r="202">
          <cell r="A202" t="str">
            <v>1931313</v>
          </cell>
          <cell r="B202" t="str">
            <v>9671R1</v>
          </cell>
          <cell r="C202" t="str">
            <v>CNV1</v>
          </cell>
          <cell r="D202" t="str">
            <v>X^008^58^68^953^56</v>
          </cell>
          <cell r="E202">
            <v>0</v>
          </cell>
          <cell r="F202" t="str">
            <v>Ster Basic Pain Tray 10CS</v>
          </cell>
          <cell r="H202">
            <v>3</v>
          </cell>
          <cell r="I202">
            <v>30</v>
          </cell>
          <cell r="K202">
            <v>43770</v>
          </cell>
          <cell r="L202">
            <v>8</v>
          </cell>
          <cell r="M202">
            <v>0.625</v>
          </cell>
        </row>
        <row r="203">
          <cell r="A203" t="str">
            <v>1931325</v>
          </cell>
          <cell r="B203">
            <v>7908</v>
          </cell>
          <cell r="C203" t="str">
            <v>CNV1</v>
          </cell>
          <cell r="D203" t="str">
            <v>X^014^58^68^922^56</v>
          </cell>
          <cell r="E203">
            <v>0</v>
          </cell>
          <cell r="F203" t="str">
            <v>Sterile Epidural Ty10 RX</v>
          </cell>
          <cell r="H203">
            <v>3</v>
          </cell>
          <cell r="I203">
            <v>10</v>
          </cell>
          <cell r="J203" t="str">
            <v>1505I Make in House</v>
          </cell>
          <cell r="K203">
            <v>43773</v>
          </cell>
          <cell r="L203">
            <v>14</v>
          </cell>
          <cell r="M203">
            <v>0.1388888888888889</v>
          </cell>
        </row>
        <row r="204">
          <cell r="A204" t="str">
            <v>1931337</v>
          </cell>
          <cell r="B204">
            <v>7248</v>
          </cell>
          <cell r="C204" t="str">
            <v>CNV1</v>
          </cell>
          <cell r="D204" t="str">
            <v>X^009^58^68^924^56</v>
          </cell>
          <cell r="E204">
            <v>0</v>
          </cell>
          <cell r="F204" t="str">
            <v>Ster Universal Block Ty10</v>
          </cell>
          <cell r="H204">
            <v>3</v>
          </cell>
          <cell r="I204">
            <v>60</v>
          </cell>
          <cell r="K204">
            <v>43773</v>
          </cell>
          <cell r="L204">
            <v>9</v>
          </cell>
          <cell r="M204">
            <v>1.3333333333333333</v>
          </cell>
        </row>
        <row r="205">
          <cell r="A205" t="str">
            <v>1931316</v>
          </cell>
          <cell r="B205">
            <v>677</v>
          </cell>
          <cell r="C205" t="str">
            <v>CNV1</v>
          </cell>
          <cell r="D205" t="str">
            <v>X^011^58^68^951^56</v>
          </cell>
          <cell r="E205">
            <v>0</v>
          </cell>
          <cell r="F205" t="str">
            <v>STER SS EPID TRY 20G LL10</v>
          </cell>
          <cell r="H205">
            <v>3</v>
          </cell>
          <cell r="I205">
            <v>45</v>
          </cell>
          <cell r="J205" t="str">
            <v>EXTRA CASE INCLUDED FOR PYROGEN TESTING</v>
          </cell>
          <cell r="K205">
            <v>43788</v>
          </cell>
          <cell r="L205">
            <v>11</v>
          </cell>
          <cell r="M205">
            <v>1</v>
          </cell>
        </row>
        <row r="206">
          <cell r="A206" t="str">
            <v>1931250</v>
          </cell>
          <cell r="B206" t="str">
            <v>2178R1</v>
          </cell>
          <cell r="C206" t="str">
            <v>CNV1</v>
          </cell>
          <cell r="D206" t="str">
            <v>X^009^58^68^924^56</v>
          </cell>
          <cell r="E206">
            <v>0</v>
          </cell>
          <cell r="F206" t="str">
            <v>Ster Ultrasound Ty 10cs</v>
          </cell>
          <cell r="H206">
            <v>3</v>
          </cell>
          <cell r="I206">
            <v>30</v>
          </cell>
          <cell r="K206">
            <v>43760</v>
          </cell>
          <cell r="L206">
            <v>9</v>
          </cell>
          <cell r="M206">
            <v>0.625</v>
          </cell>
        </row>
        <row r="207">
          <cell r="A207" t="str">
            <v>1931249</v>
          </cell>
          <cell r="B207" t="str">
            <v>5458R1</v>
          </cell>
          <cell r="C207" t="str">
            <v>CNV1</v>
          </cell>
          <cell r="D207" t="str">
            <v>X^009^58^68^924^56</v>
          </cell>
          <cell r="E207">
            <v>0</v>
          </cell>
          <cell r="F207" t="str">
            <v>Sterile M.R.I. Tray 10CS</v>
          </cell>
          <cell r="H207">
            <v>13</v>
          </cell>
          <cell r="I207">
            <v>16</v>
          </cell>
          <cell r="K207">
            <v>43760</v>
          </cell>
          <cell r="L207">
            <v>9</v>
          </cell>
          <cell r="M207">
            <v>0.22222222222222221</v>
          </cell>
        </row>
        <row r="208">
          <cell r="A208" t="str">
            <v>1931278</v>
          </cell>
          <cell r="B208">
            <v>9184</v>
          </cell>
          <cell r="C208" t="str">
            <v>CNV1</v>
          </cell>
          <cell r="D208" t="str">
            <v>X^008^58^68^901^56</v>
          </cell>
          <cell r="E208">
            <v>0</v>
          </cell>
          <cell r="F208" t="str">
            <v>Ster Dr. Kim Univ/B/Ty/10</v>
          </cell>
          <cell r="H208">
            <v>13</v>
          </cell>
          <cell r="I208">
            <v>36</v>
          </cell>
          <cell r="K208">
            <v>43766</v>
          </cell>
          <cell r="L208">
            <v>8</v>
          </cell>
          <cell r="M208">
            <v>0.33333333333333331</v>
          </cell>
        </row>
        <row r="209">
          <cell r="A209" t="str">
            <v>1931305</v>
          </cell>
          <cell r="B209">
            <v>8489</v>
          </cell>
          <cell r="C209" t="str">
            <v>CNV1</v>
          </cell>
          <cell r="D209" t="str">
            <v>X^009^58^68^924^58</v>
          </cell>
          <cell r="E209">
            <v>0</v>
          </cell>
          <cell r="F209" t="str">
            <v>Ster C/General Biopsy T10</v>
          </cell>
          <cell r="H209">
            <v>3</v>
          </cell>
          <cell r="I209">
            <v>40</v>
          </cell>
          <cell r="J209" t="str">
            <v>4204 Use 420</v>
          </cell>
          <cell r="K209">
            <v>43770</v>
          </cell>
          <cell r="L209">
            <v>9</v>
          </cell>
          <cell r="M209">
            <v>0.88888888888888884</v>
          </cell>
        </row>
        <row r="210">
          <cell r="A210" t="str">
            <v>1931320</v>
          </cell>
          <cell r="B210">
            <v>674</v>
          </cell>
          <cell r="C210" t="str">
            <v>CNV1</v>
          </cell>
          <cell r="D210" t="str">
            <v>X^010^58^68^951^56</v>
          </cell>
          <cell r="E210">
            <v>0</v>
          </cell>
          <cell r="F210" t="str">
            <v>Ster Basic Pain Tray 10cs</v>
          </cell>
          <cell r="H210">
            <v>3</v>
          </cell>
          <cell r="I210">
            <v>180</v>
          </cell>
          <cell r="J210" t="str">
            <v>EXTRA CASE INCLUDED FOR PYROGEN TESTING</v>
          </cell>
          <cell r="K210">
            <v>43784</v>
          </cell>
          <cell r="L210">
            <v>10</v>
          </cell>
          <cell r="M210">
            <v>4</v>
          </cell>
        </row>
        <row r="211">
          <cell r="A211" t="str">
            <v>1931332</v>
          </cell>
          <cell r="B211">
            <v>8812</v>
          </cell>
          <cell r="C211" t="str">
            <v>CNV1</v>
          </cell>
          <cell r="D211" t="str">
            <v>X^010^58^68^951^56</v>
          </cell>
          <cell r="E211">
            <v>0</v>
          </cell>
          <cell r="F211" t="str">
            <v>Ster Universal Block T/10</v>
          </cell>
          <cell r="H211">
            <v>3</v>
          </cell>
          <cell r="I211">
            <v>20</v>
          </cell>
          <cell r="K211">
            <v>43773</v>
          </cell>
          <cell r="L211">
            <v>10</v>
          </cell>
          <cell r="M211">
            <v>0.27777777777777779</v>
          </cell>
        </row>
        <row r="212">
          <cell r="A212" t="str">
            <v>1931340</v>
          </cell>
          <cell r="B212">
            <v>7899</v>
          </cell>
          <cell r="C212" t="str">
            <v>CNV1</v>
          </cell>
          <cell r="D212" t="str">
            <v>X^008^58^68^901^56</v>
          </cell>
          <cell r="E212">
            <v>0</v>
          </cell>
          <cell r="F212" t="str">
            <v>Sterile Breast Biop/T10EX</v>
          </cell>
          <cell r="H212">
            <v>3</v>
          </cell>
          <cell r="I212">
            <v>20</v>
          </cell>
          <cell r="K212">
            <v>43774</v>
          </cell>
          <cell r="L212">
            <v>8</v>
          </cell>
          <cell r="M212">
            <v>0.27777777777777779</v>
          </cell>
        </row>
        <row r="213">
          <cell r="A213" t="str">
            <v>1931271</v>
          </cell>
          <cell r="B213" t="str">
            <v>5188R1</v>
          </cell>
          <cell r="C213" t="str">
            <v>CNV1</v>
          </cell>
          <cell r="D213" t="str">
            <v>X^014^59^71^924^68</v>
          </cell>
          <cell r="E213">
            <v>0</v>
          </cell>
          <cell r="F213" t="str">
            <v>Sterile Neuro Tray 4cs</v>
          </cell>
          <cell r="H213">
            <v>13</v>
          </cell>
          <cell r="I213">
            <v>25</v>
          </cell>
          <cell r="J213" t="str">
            <v>1110A Reject;1561A-1 in Q3;THIS KIT REQUIRES EXTRA AERATION</v>
          </cell>
          <cell r="K213">
            <v>43766</v>
          </cell>
          <cell r="L213">
            <v>14</v>
          </cell>
          <cell r="M213">
            <v>0.625</v>
          </cell>
        </row>
        <row r="214">
          <cell r="A214" t="str">
            <v>1931304</v>
          </cell>
          <cell r="B214" t="str">
            <v>3282R4</v>
          </cell>
          <cell r="C214" t="str">
            <v>CNV1</v>
          </cell>
          <cell r="D214" t="str">
            <v>X^009^58^68^953^56</v>
          </cell>
          <cell r="E214">
            <v>0</v>
          </cell>
          <cell r="F214" t="str">
            <v>Ster Facet Block Ty 10cs</v>
          </cell>
          <cell r="H214">
            <v>3</v>
          </cell>
          <cell r="I214">
            <v>20</v>
          </cell>
          <cell r="K214">
            <v>43770</v>
          </cell>
          <cell r="L214">
            <v>9</v>
          </cell>
          <cell r="M214">
            <v>0.41666666666666669</v>
          </cell>
        </row>
        <row r="215">
          <cell r="A215" t="str">
            <v>1931285</v>
          </cell>
          <cell r="B215">
            <v>679</v>
          </cell>
          <cell r="C215" t="str">
            <v>CNV1</v>
          </cell>
          <cell r="D215" t="str">
            <v>X^011^58^68^951^56</v>
          </cell>
          <cell r="E215">
            <v>0</v>
          </cell>
          <cell r="F215" t="str">
            <v>STER SS EPID TRY 18G LL10</v>
          </cell>
          <cell r="H215">
            <v>3</v>
          </cell>
          <cell r="I215">
            <v>15</v>
          </cell>
          <cell r="K215">
            <v>43776</v>
          </cell>
          <cell r="L215">
            <v>11</v>
          </cell>
          <cell r="M215">
            <v>0.33333333333333331</v>
          </cell>
        </row>
        <row r="216">
          <cell r="A216" t="str">
            <v>1931185</v>
          </cell>
          <cell r="B216" t="str">
            <v>PCDA</v>
          </cell>
          <cell r="C216" t="str">
            <v>CNV1</v>
          </cell>
          <cell r="D216" t="str">
            <v>X^019^58^71^926^57</v>
          </cell>
          <cell r="E216">
            <v>0</v>
          </cell>
          <cell r="F216" t="str">
            <v>S/PYROGEN PROCESS D/R/C12</v>
          </cell>
          <cell r="H216">
            <v>13</v>
          </cell>
          <cell r="I216">
            <v>1</v>
          </cell>
          <cell r="J216" t="str">
            <v>1923N due 10/24 ;4TH QUARTER BIO-BURDEN TESTING</v>
          </cell>
          <cell r="K216">
            <v>44417</v>
          </cell>
          <cell r="L216">
            <v>19</v>
          </cell>
          <cell r="M216">
            <v>5.5555555555555552E-2</v>
          </cell>
        </row>
        <row r="218">
          <cell r="F218" t="str">
            <v>SHORTAGES</v>
          </cell>
        </row>
        <row r="220">
          <cell r="A220" t="str">
            <v>1931341</v>
          </cell>
          <cell r="B220" t="str">
            <v>41065R3</v>
          </cell>
          <cell r="C220" t="str">
            <v>CNV1</v>
          </cell>
          <cell r="D220" t="str">
            <v>X^011^58^68^924^56</v>
          </cell>
          <cell r="E220">
            <v>0</v>
          </cell>
          <cell r="F220" t="str">
            <v>Ster Port Access T20EX/RX</v>
          </cell>
          <cell r="H220">
            <v>3</v>
          </cell>
          <cell r="I220">
            <v>40</v>
          </cell>
          <cell r="J220" t="str">
            <v>4106A due 10/28 ; BALANCE OF ORDER; EXPEDITE RUSH REQUESTED</v>
          </cell>
          <cell r="K220">
            <v>43735</v>
          </cell>
          <cell r="L220">
            <v>11</v>
          </cell>
          <cell r="M220">
            <v>0.88888888888888884</v>
          </cell>
        </row>
        <row r="221">
          <cell r="A221" t="str">
            <v>1931168</v>
          </cell>
          <cell r="B221">
            <v>3937</v>
          </cell>
          <cell r="C221" t="str">
            <v>CNV1</v>
          </cell>
          <cell r="D221" t="str">
            <v>X^008^58^68^901^56</v>
          </cell>
          <cell r="E221">
            <v>0</v>
          </cell>
          <cell r="F221" t="str">
            <v>Sterile Procedure Tray 10</v>
          </cell>
          <cell r="H221">
            <v>3</v>
          </cell>
          <cell r="I221">
            <v>24</v>
          </cell>
          <cell r="J221" t="str">
            <v>7937B due 10/23 ;EXPEDITE RUSH REQUESTED</v>
          </cell>
          <cell r="K221">
            <v>43742</v>
          </cell>
          <cell r="L221">
            <v>8</v>
          </cell>
          <cell r="M221">
            <v>0.3</v>
          </cell>
        </row>
        <row r="222">
          <cell r="A222" t="str">
            <v>1931284</v>
          </cell>
          <cell r="B222">
            <v>5823</v>
          </cell>
          <cell r="C222" t="str">
            <v>CNV1</v>
          </cell>
          <cell r="D222" t="str">
            <v>X^010^58^68^924^54</v>
          </cell>
          <cell r="E222">
            <v>0</v>
          </cell>
          <cell r="F222" t="str">
            <v>STER HS ER LAC112-5823/20</v>
          </cell>
          <cell r="H222">
            <v>13</v>
          </cell>
          <cell r="I222">
            <v>225</v>
          </cell>
          <cell r="J222" t="str">
            <v>7493 due 10/30;1922N due 10/24;7526L due 10/24</v>
          </cell>
          <cell r="K222">
            <v>43776</v>
          </cell>
          <cell r="L222">
            <v>10</v>
          </cell>
          <cell r="M222">
            <v>5</v>
          </cell>
        </row>
        <row r="223">
          <cell r="A223" t="str">
            <v>1931184</v>
          </cell>
          <cell r="B223" t="str">
            <v>PCDB</v>
          </cell>
          <cell r="C223" t="str">
            <v>CNV1</v>
          </cell>
          <cell r="D223" t="str">
            <v>X^022^58^71^915^59</v>
          </cell>
          <cell r="E223">
            <v>0</v>
          </cell>
          <cell r="F223" t="str">
            <v>S/PYROGEN/PROCESS D/R/6</v>
          </cell>
          <cell r="H223">
            <v>13</v>
          </cell>
          <cell r="I223">
            <v>6</v>
          </cell>
          <cell r="J223" t="str">
            <v>3731 Use 373;7493 due 10/30;4255D-2 due 10/25;6300A Make in House;6460B due 11/4;6520G-1 Reject;7937B due 10/30;8809A due 11/4;4TH QUARTER BIO-BURDEN TESTING</v>
          </cell>
          <cell r="K223">
            <v>44417</v>
          </cell>
          <cell r="L223">
            <v>22</v>
          </cell>
          <cell r="M223">
            <v>0.33333333333333331</v>
          </cell>
        </row>
        <row r="224">
          <cell r="A224" t="str">
            <v>1931060</v>
          </cell>
          <cell r="B224">
            <v>1045</v>
          </cell>
          <cell r="C224" t="str">
            <v>CNV1</v>
          </cell>
          <cell r="D224" t="str">
            <v>X^007^58^68^923^56</v>
          </cell>
          <cell r="E224">
            <v>0</v>
          </cell>
          <cell r="F224" t="str">
            <v>Ster Suture Tray 10/CS</v>
          </cell>
          <cell r="H224">
            <v>13</v>
          </cell>
          <cell r="I224">
            <v>60</v>
          </cell>
          <cell r="J224" t="str">
            <v>7821A due 10/31;7822A due 10/31</v>
          </cell>
          <cell r="K224">
            <v>43717</v>
          </cell>
          <cell r="L224">
            <v>7</v>
          </cell>
          <cell r="M224">
            <v>1.3333333333333333</v>
          </cell>
        </row>
        <row r="225">
          <cell r="A225" t="str">
            <v>1931190</v>
          </cell>
          <cell r="B225" t="str">
            <v>B8109</v>
          </cell>
          <cell r="C225" t="str">
            <v>CNV1</v>
          </cell>
          <cell r="D225" t="str">
            <v>X^009^58^68^901^56</v>
          </cell>
          <cell r="E225">
            <v>0</v>
          </cell>
          <cell r="F225" t="str">
            <v>SterSS 3.2MM P/I MEDPVP20</v>
          </cell>
          <cell r="H225">
            <v>3</v>
          </cell>
          <cell r="I225">
            <v>50</v>
          </cell>
          <cell r="J225" t="str">
            <v>CS8108A due 10/31</v>
          </cell>
          <cell r="K225">
            <v>43748</v>
          </cell>
          <cell r="L225">
            <v>9</v>
          </cell>
          <cell r="M225">
            <v>1.1111111111111112</v>
          </cell>
        </row>
        <row r="226">
          <cell r="A226" t="str">
            <v>1931176</v>
          </cell>
          <cell r="B226">
            <v>9103</v>
          </cell>
          <cell r="C226" t="str">
            <v>CNV1</v>
          </cell>
          <cell r="D226" t="str">
            <v>X^011^45^66^931^56</v>
          </cell>
          <cell r="E226">
            <v>0</v>
          </cell>
          <cell r="F226" t="str">
            <v>SterEndoTestopk5000492/10</v>
          </cell>
          <cell r="H226">
            <v>3</v>
          </cell>
          <cell r="I226">
            <v>1200</v>
          </cell>
          <cell r="J226" t="str">
            <v>1923N due 10/24;8243A due 11/4;9103C Run Out;9103CS due 11/5;9103D Run Out;9103G due 11/6;9103K due 10/31</v>
          </cell>
          <cell r="K226">
            <v>43742</v>
          </cell>
          <cell r="L226">
            <v>11</v>
          </cell>
          <cell r="M226">
            <v>10</v>
          </cell>
        </row>
        <row r="227">
          <cell r="A227" t="str">
            <v>1931317</v>
          </cell>
          <cell r="B227">
            <v>7478</v>
          </cell>
          <cell r="C227" t="str">
            <v>CNV1</v>
          </cell>
          <cell r="D227" t="str">
            <v>X^008^58^68^924^54</v>
          </cell>
          <cell r="E227">
            <v>0</v>
          </cell>
          <cell r="F227" t="str">
            <v>STER MOORE 82768 TRAY/20</v>
          </cell>
          <cell r="H227">
            <v>13</v>
          </cell>
          <cell r="I227">
            <v>90</v>
          </cell>
          <cell r="J227" t="str">
            <v>7470A due 10/31;7573SFN due 10/31;8424D due 12/6;</v>
          </cell>
          <cell r="K227">
            <v>43774</v>
          </cell>
          <cell r="L227">
            <v>8</v>
          </cell>
          <cell r="M227">
            <v>2</v>
          </cell>
        </row>
        <row r="228">
          <cell r="A228" t="str">
            <v>1931318</v>
          </cell>
          <cell r="B228">
            <v>748</v>
          </cell>
          <cell r="C228" t="str">
            <v>CNV1</v>
          </cell>
          <cell r="D228" t="str">
            <v>X^011^58^68^924^54</v>
          </cell>
          <cell r="E228">
            <v>0</v>
          </cell>
          <cell r="F228" t="str">
            <v>Ster E.R.Laceration Ty/20</v>
          </cell>
          <cell r="H228">
            <v>13</v>
          </cell>
          <cell r="I228">
            <v>90</v>
          </cell>
          <cell r="J228" t="str">
            <v>7493 due 10/30;9264 due 11/11;1922N due 11/24;7032A-2 due 10/28;7526L due 10/24;7660B due 10/28;8424D due 12/6;</v>
          </cell>
          <cell r="K228">
            <v>43777</v>
          </cell>
          <cell r="L228">
            <v>11</v>
          </cell>
          <cell r="M228">
            <v>2</v>
          </cell>
        </row>
        <row r="229">
          <cell r="A229" t="str">
            <v>1931286</v>
          </cell>
          <cell r="B229">
            <v>749</v>
          </cell>
          <cell r="C229" t="str">
            <v>CNV1</v>
          </cell>
          <cell r="D229" t="str">
            <v>X^010^58^68^924^54</v>
          </cell>
          <cell r="E229">
            <v>0</v>
          </cell>
          <cell r="F229" t="str">
            <v>Ster E.R.Laceration Ty 20</v>
          </cell>
          <cell r="H229">
            <v>13</v>
          </cell>
          <cell r="I229">
            <v>225</v>
          </cell>
          <cell r="J229" t="str">
            <v>7493 due 10/30;1922N due 11/24;7526L due 10/24;8424D due 12/6;</v>
          </cell>
          <cell r="K229">
            <v>43783</v>
          </cell>
          <cell r="L229">
            <v>10</v>
          </cell>
          <cell r="M229">
            <v>5</v>
          </cell>
        </row>
        <row r="230">
          <cell r="A230" t="str">
            <v>1931219</v>
          </cell>
          <cell r="B230">
            <v>4247</v>
          </cell>
          <cell r="C230" t="str">
            <v>CNV1</v>
          </cell>
          <cell r="D230" t="str">
            <v>X^008^58^68^925^54</v>
          </cell>
          <cell r="E230">
            <v>0</v>
          </cell>
          <cell r="F230" t="str">
            <v>Ster Basic Suture Tray,20</v>
          </cell>
          <cell r="H230">
            <v>13</v>
          </cell>
          <cell r="I230">
            <v>25</v>
          </cell>
          <cell r="J230" t="str">
            <v>9264 due 11/11;7032A-2 due 10/28;7470A due 10/31;7526L due 10/24;8424D due 12/6;</v>
          </cell>
          <cell r="K230">
            <v>43754</v>
          </cell>
          <cell r="L230">
            <v>8</v>
          </cell>
          <cell r="M230">
            <v>0.55555555555555558</v>
          </cell>
        </row>
        <row r="231">
          <cell r="A231" t="str">
            <v>1931223</v>
          </cell>
          <cell r="B231">
            <v>1107</v>
          </cell>
          <cell r="C231" t="str">
            <v>CNV1</v>
          </cell>
          <cell r="D231" t="str">
            <v>X^019^58^68^905^56</v>
          </cell>
          <cell r="E231">
            <v>0</v>
          </cell>
          <cell r="F231" t="str">
            <v>Ster Neurological 10RX,EX</v>
          </cell>
          <cell r="H231">
            <v>3</v>
          </cell>
          <cell r="I231">
            <v>20</v>
          </cell>
          <cell r="J231" t="str">
            <v>7493 due 10/30;1052B Reject;1052D due 11/27;1107A due 11/11;1107CS due 11/4;7470A due 10/31;7822A due 10/31;8408C Make in House;</v>
          </cell>
          <cell r="K231">
            <v>43755</v>
          </cell>
          <cell r="L231">
            <v>19</v>
          </cell>
          <cell r="M231">
            <v>0.35714285714285715</v>
          </cell>
        </row>
        <row r="232">
          <cell r="A232" t="str">
            <v>1931222</v>
          </cell>
          <cell r="B232">
            <v>3937</v>
          </cell>
          <cell r="C232" t="str">
            <v>CNV1</v>
          </cell>
          <cell r="D232" t="str">
            <v>X^008^58^68^901^56</v>
          </cell>
          <cell r="E232">
            <v>0</v>
          </cell>
          <cell r="F232" t="str">
            <v>Sterile Procedure Tray 10</v>
          </cell>
          <cell r="H232">
            <v>3</v>
          </cell>
          <cell r="I232">
            <v>50</v>
          </cell>
          <cell r="J232" t="str">
            <v>7937B due 10/30;8809A due 11/4;</v>
          </cell>
          <cell r="K232">
            <v>43755</v>
          </cell>
          <cell r="L232">
            <v>8</v>
          </cell>
          <cell r="M232">
            <v>0.625</v>
          </cell>
        </row>
        <row r="233">
          <cell r="A233" t="str">
            <v>1931226</v>
          </cell>
          <cell r="B233">
            <v>4247</v>
          </cell>
          <cell r="C233" t="str">
            <v>CNV1</v>
          </cell>
          <cell r="D233" t="str">
            <v>X^008^58^68^925^54</v>
          </cell>
          <cell r="E233">
            <v>0</v>
          </cell>
          <cell r="F233" t="str">
            <v>Ster Basic Suture Tray,20</v>
          </cell>
          <cell r="H233">
            <v>13</v>
          </cell>
          <cell r="I233">
            <v>33</v>
          </cell>
          <cell r="J233" t="str">
            <v>9264 due 11/11;7032A-2 due 10/28;7470A due 10/31;7526L due 10/24;7573L due 10/31;8424D due 12/6;</v>
          </cell>
          <cell r="K233">
            <v>43756</v>
          </cell>
          <cell r="L233">
            <v>8</v>
          </cell>
          <cell r="M233">
            <v>0.73333333333333328</v>
          </cell>
        </row>
        <row r="234">
          <cell r="A234" t="str">
            <v>1931234</v>
          </cell>
          <cell r="B234">
            <v>7637</v>
          </cell>
          <cell r="C234" t="str">
            <v>CNV1</v>
          </cell>
          <cell r="D234" t="str">
            <v>X^007^58^68^901^56</v>
          </cell>
          <cell r="E234">
            <v>0</v>
          </cell>
          <cell r="F234" t="str">
            <v>Ster Pump Refill Kit 10cs</v>
          </cell>
          <cell r="H234">
            <v>3</v>
          </cell>
          <cell r="I234">
            <v>15</v>
          </cell>
          <cell r="J234" t="str">
            <v>7937B due 10/30</v>
          </cell>
          <cell r="K234">
            <v>43759</v>
          </cell>
          <cell r="L234">
            <v>7</v>
          </cell>
          <cell r="M234">
            <v>0.20833333333333334</v>
          </cell>
        </row>
        <row r="235">
          <cell r="A235" t="str">
            <v>1931233</v>
          </cell>
          <cell r="B235">
            <v>5535</v>
          </cell>
          <cell r="C235" t="str">
            <v>CNV1</v>
          </cell>
          <cell r="D235" t="str">
            <v>X^013^32^53^953^62</v>
          </cell>
          <cell r="E235">
            <v>0</v>
          </cell>
          <cell r="F235" t="str">
            <v>Ster DR Murphy N/B/Ty10rx</v>
          </cell>
          <cell r="H235">
            <v>3</v>
          </cell>
          <cell r="I235">
            <v>10</v>
          </cell>
          <cell r="J235" t="str">
            <v>8436D due 12/6</v>
          </cell>
          <cell r="K235">
            <v>43759</v>
          </cell>
          <cell r="L235">
            <v>13</v>
          </cell>
          <cell r="M235">
            <v>0.20833333333333334</v>
          </cell>
        </row>
        <row r="236">
          <cell r="A236" t="str">
            <v>1931252</v>
          </cell>
          <cell r="B236">
            <v>9267</v>
          </cell>
          <cell r="C236" t="str">
            <v>CNV1</v>
          </cell>
          <cell r="D236" t="str">
            <v>X^012^58^68^922^56</v>
          </cell>
          <cell r="E236">
            <v>0</v>
          </cell>
          <cell r="F236" t="str">
            <v>Ster Anesthesia T 10RX EX</v>
          </cell>
          <cell r="H236">
            <v>3</v>
          </cell>
          <cell r="I236">
            <v>20</v>
          </cell>
          <cell r="J236" t="str">
            <v>7493 due 10/30;2487B due 11/1;</v>
          </cell>
          <cell r="K236">
            <v>43760</v>
          </cell>
          <cell r="L236">
            <v>12</v>
          </cell>
          <cell r="M236">
            <v>0.37037037037037035</v>
          </cell>
        </row>
        <row r="237">
          <cell r="A237" t="str">
            <v>1931319</v>
          </cell>
          <cell r="B237">
            <v>747</v>
          </cell>
          <cell r="C237" t="str">
            <v>CNV1</v>
          </cell>
          <cell r="D237" t="str">
            <v>X^008^58^68^924^54</v>
          </cell>
          <cell r="E237">
            <v>0</v>
          </cell>
          <cell r="F237" t="str">
            <v>Ster Suturing Tray/20</v>
          </cell>
          <cell r="H237">
            <v>13</v>
          </cell>
          <cell r="I237">
            <v>135</v>
          </cell>
          <cell r="J237" t="str">
            <v>9264 due 11/11;7032-2 due 10/28;7470A due 10/31;7573SFN due 10/31;8424D due 12/6;</v>
          </cell>
          <cell r="K237">
            <v>43790</v>
          </cell>
          <cell r="L237">
            <v>8</v>
          </cell>
          <cell r="M237">
            <v>3</v>
          </cell>
        </row>
        <row r="238">
          <cell r="A238" t="str">
            <v>1931231</v>
          </cell>
          <cell r="B238">
            <v>549</v>
          </cell>
          <cell r="C238" t="str">
            <v>CNV1</v>
          </cell>
          <cell r="D238" t="str">
            <v>X^010^58^68^924^54</v>
          </cell>
          <cell r="E238">
            <v>0</v>
          </cell>
          <cell r="F238" t="str">
            <v>Ster ER Lacer Ty Safety20</v>
          </cell>
          <cell r="H238">
            <v>13</v>
          </cell>
          <cell r="I238">
            <v>45</v>
          </cell>
          <cell r="J238" t="str">
            <v>9264 due 11/11;1922N due 11/24;7032A-2 due 10/28;7526L due 10/24;7573L due 10/31;8424D due 12/6;</v>
          </cell>
          <cell r="K238">
            <v>43797</v>
          </cell>
          <cell r="L238">
            <v>10</v>
          </cell>
          <cell r="M238">
            <v>1</v>
          </cell>
        </row>
        <row r="239">
          <cell r="A239" t="str">
            <v>1931251</v>
          </cell>
          <cell r="B239">
            <v>7995</v>
          </cell>
          <cell r="C239" t="str">
            <v>CNV1</v>
          </cell>
          <cell r="D239" t="str">
            <v>X^011^58^68^951^59</v>
          </cell>
          <cell r="E239">
            <v>0</v>
          </cell>
          <cell r="F239" t="str">
            <v>Ster Univ B/Ty/W/LID10/RX</v>
          </cell>
          <cell r="H239">
            <v>3</v>
          </cell>
          <cell r="I239">
            <v>100</v>
          </cell>
          <cell r="J239" t="str">
            <v>6460B due 11/4;8809A due 11/4;</v>
          </cell>
          <cell r="K239">
            <v>43760</v>
          </cell>
          <cell r="L239">
            <v>11</v>
          </cell>
          <cell r="M239">
            <v>1.3888888888888888</v>
          </cell>
        </row>
        <row r="240">
          <cell r="A240" t="str">
            <v>1931253</v>
          </cell>
          <cell r="B240">
            <v>2411</v>
          </cell>
          <cell r="C240" t="str">
            <v>CNV1</v>
          </cell>
          <cell r="D240" t="str">
            <v>X^010^58^68^953^56</v>
          </cell>
          <cell r="E240">
            <v>6</v>
          </cell>
          <cell r="F240" t="str">
            <v>Ster Universal B/Tray10RX</v>
          </cell>
          <cell r="H240">
            <v>3</v>
          </cell>
          <cell r="I240">
            <v>50</v>
          </cell>
          <cell r="J240" t="str">
            <v>1756A due 11/6</v>
          </cell>
          <cell r="K240">
            <v>43761</v>
          </cell>
          <cell r="L240">
            <v>10</v>
          </cell>
          <cell r="M240">
            <v>1.0416666666666667</v>
          </cell>
        </row>
        <row r="241">
          <cell r="A241" t="str">
            <v>1931254</v>
          </cell>
          <cell r="B241">
            <v>6791</v>
          </cell>
          <cell r="C241" t="str">
            <v>CNV1</v>
          </cell>
          <cell r="D241" t="str">
            <v>X^012^58^68^951^58</v>
          </cell>
          <cell r="E241">
            <v>0</v>
          </cell>
          <cell r="F241" t="str">
            <v>Ster S/S/Epidural Ty10cRX</v>
          </cell>
          <cell r="H241">
            <v>3</v>
          </cell>
          <cell r="I241">
            <v>10</v>
          </cell>
          <cell r="J241" t="str">
            <v>7493 due 10/30;8262-2 due 10/28;</v>
          </cell>
          <cell r="K241">
            <v>43761</v>
          </cell>
          <cell r="L241">
            <v>12</v>
          </cell>
          <cell r="M241">
            <v>0.22222222222222221</v>
          </cell>
        </row>
        <row r="242">
          <cell r="A242" t="str">
            <v>1931256</v>
          </cell>
          <cell r="B242">
            <v>3285</v>
          </cell>
          <cell r="C242" t="str">
            <v>CNV1</v>
          </cell>
          <cell r="D242" t="str">
            <v>X^007^58^68^901^56</v>
          </cell>
          <cell r="E242">
            <v>0</v>
          </cell>
          <cell r="F242" t="str">
            <v>Sterile Procedure Ty10/cs</v>
          </cell>
          <cell r="H242">
            <v>3</v>
          </cell>
          <cell r="I242">
            <v>40</v>
          </cell>
          <cell r="J242" t="str">
            <v>7937B due 10/30;8260-1 due 11/1;</v>
          </cell>
          <cell r="K242">
            <v>43762</v>
          </cell>
          <cell r="L242">
            <v>7</v>
          </cell>
          <cell r="M242">
            <v>0.55555555555555558</v>
          </cell>
        </row>
        <row r="243">
          <cell r="A243" t="str">
            <v>1931257</v>
          </cell>
          <cell r="B243">
            <v>8143</v>
          </cell>
          <cell r="C243" t="str">
            <v>CNV1</v>
          </cell>
          <cell r="D243" t="str">
            <v>X^009^58^68^924^56</v>
          </cell>
          <cell r="E243">
            <v>0</v>
          </cell>
          <cell r="F243" t="str">
            <v>Ster Biopsy Tray 10cs/EX</v>
          </cell>
          <cell r="H243">
            <v>3</v>
          </cell>
          <cell r="I243">
            <v>80</v>
          </cell>
          <cell r="J243" t="str">
            <v>1932A due 11/1;7563-2 due 10/28;7581-1 due 11/12;8809A due 11/4;</v>
          </cell>
          <cell r="K243">
            <v>43762</v>
          </cell>
          <cell r="L243">
            <v>9</v>
          </cell>
          <cell r="M243">
            <v>0.83333333333333337</v>
          </cell>
        </row>
        <row r="244">
          <cell r="A244" t="str">
            <v>1931259</v>
          </cell>
          <cell r="B244" t="str">
            <v>3057R3</v>
          </cell>
          <cell r="C244" t="str">
            <v>CNV1</v>
          </cell>
          <cell r="D244" t="str">
            <v>X^010^58^68^922^54</v>
          </cell>
          <cell r="E244">
            <v>0</v>
          </cell>
          <cell r="F244" t="str">
            <v>Ster Epidur/Tray 10cRX/EX</v>
          </cell>
          <cell r="H244">
            <v>3</v>
          </cell>
          <cell r="I244">
            <v>18</v>
          </cell>
          <cell r="J244" t="str">
            <v>1932A due 11/1;8424D due 12/6;</v>
          </cell>
          <cell r="K244">
            <v>43762</v>
          </cell>
          <cell r="L244">
            <v>10</v>
          </cell>
          <cell r="M244">
            <v>0.4</v>
          </cell>
        </row>
        <row r="245">
          <cell r="A245" t="str">
            <v>1931260</v>
          </cell>
          <cell r="B245" t="str">
            <v>B6705R1</v>
          </cell>
          <cell r="C245" t="str">
            <v>CNV1</v>
          </cell>
          <cell r="D245" t="str">
            <v>X^009^58^68^901^56</v>
          </cell>
          <cell r="E245">
            <v>0</v>
          </cell>
          <cell r="F245" t="str">
            <v>Ster 3.22 PELL/IN/Ty#2/20</v>
          </cell>
          <cell r="H245">
            <v>3</v>
          </cell>
          <cell r="I245">
            <v>50</v>
          </cell>
          <cell r="J245" t="str">
            <v>7581-1 due 11/12;8260-1 due 11/1;8380A due 11/29;</v>
          </cell>
          <cell r="K245">
            <v>43763</v>
          </cell>
          <cell r="L245">
            <v>9</v>
          </cell>
          <cell r="M245">
            <v>1.1111111111111112</v>
          </cell>
        </row>
        <row r="246">
          <cell r="A246" t="str">
            <v>1931262</v>
          </cell>
          <cell r="B246" t="str">
            <v>B8110R1</v>
          </cell>
          <cell r="C246" t="str">
            <v>CNV1</v>
          </cell>
          <cell r="D246" t="str">
            <v>X^010^58^68^924^56</v>
          </cell>
          <cell r="E246">
            <v>0</v>
          </cell>
          <cell r="F246" t="str">
            <v>Ster SS 3.2mm P/Ins/Ty20</v>
          </cell>
          <cell r="H246">
            <v>3</v>
          </cell>
          <cell r="I246">
            <v>50</v>
          </cell>
          <cell r="J246" t="str">
            <v>9264 due 11/11;1731D due 11/4;7494-1 due 11/22;7581-1 due 11/12;CS8108A due 10/31;</v>
          </cell>
          <cell r="K246">
            <v>43763</v>
          </cell>
          <cell r="L246">
            <v>10</v>
          </cell>
          <cell r="M246">
            <v>1.1111111111111112</v>
          </cell>
        </row>
        <row r="247">
          <cell r="A247" t="str">
            <v>1931261</v>
          </cell>
          <cell r="B247" t="str">
            <v>B8120R1</v>
          </cell>
          <cell r="C247" t="str">
            <v>CNV1</v>
          </cell>
          <cell r="D247" t="str">
            <v>X^009^58^68^901^56</v>
          </cell>
          <cell r="E247">
            <v>0</v>
          </cell>
          <cell r="F247" t="str">
            <v>Ster 4.5MM/P/I/M/PVP T20C</v>
          </cell>
          <cell r="H247">
            <v>3</v>
          </cell>
          <cell r="I247">
            <v>50</v>
          </cell>
          <cell r="J247" t="str">
            <v>7581-1 due 11/12;8260-1 due 11/1;8380A due 11/29;</v>
          </cell>
          <cell r="K247">
            <v>43763</v>
          </cell>
          <cell r="L247">
            <v>9</v>
          </cell>
          <cell r="M247">
            <v>1.1111111111111112</v>
          </cell>
        </row>
        <row r="248">
          <cell r="A248" t="str">
            <v>1931263</v>
          </cell>
          <cell r="B248" t="str">
            <v>B9176R1</v>
          </cell>
          <cell r="C248" t="str">
            <v>CNV1</v>
          </cell>
          <cell r="D248" t="str">
            <v>X^011^58^68^924^56</v>
          </cell>
          <cell r="E248">
            <v>0</v>
          </cell>
          <cell r="F248" t="str">
            <v>Ster M/SS 4.5MM P/Ins T20</v>
          </cell>
          <cell r="H248">
            <v>3</v>
          </cell>
          <cell r="I248">
            <v>50</v>
          </cell>
          <cell r="J248" t="str">
            <v>9264 due 11/11;1731C due 11/4;1731D due 11/4;2257B Make in House;7494-1 due 11/22;7581-1 due 11/12;8408C Make in House;9175C due 1/6;CS9176A due 11/8;CS9176B due 11/4;</v>
          </cell>
          <cell r="K248">
            <v>43763</v>
          </cell>
          <cell r="L248">
            <v>11</v>
          </cell>
          <cell r="M248">
            <v>1.1111111111111112</v>
          </cell>
        </row>
        <row r="249">
          <cell r="A249" t="str">
            <v>1931272</v>
          </cell>
          <cell r="B249">
            <v>1114</v>
          </cell>
          <cell r="C249" t="str">
            <v>CNV1</v>
          </cell>
          <cell r="D249" t="str">
            <v>X^010^58^68^901^56</v>
          </cell>
          <cell r="E249">
            <v>0</v>
          </cell>
          <cell r="F249" t="str">
            <v>Ster S/S Epidural Tray 10</v>
          </cell>
          <cell r="H249">
            <v>3</v>
          </cell>
          <cell r="I249">
            <v>10</v>
          </cell>
          <cell r="J249" t="str">
            <v>7245 due 10/30;7494-1 due 11/22;8260-1 due 11/1;</v>
          </cell>
          <cell r="K249">
            <v>43766</v>
          </cell>
          <cell r="L249">
            <v>10</v>
          </cell>
          <cell r="M249">
            <v>0.11363636363636363</v>
          </cell>
        </row>
        <row r="250">
          <cell r="A250" t="str">
            <v>1931273</v>
          </cell>
          <cell r="B250">
            <v>1115</v>
          </cell>
          <cell r="C250" t="str">
            <v>CNV1</v>
          </cell>
          <cell r="D250" t="str">
            <v>X^010^58^68^901^56</v>
          </cell>
          <cell r="E250">
            <v>0</v>
          </cell>
          <cell r="F250" t="str">
            <v>Ster Universal Block T10c</v>
          </cell>
          <cell r="H250">
            <v>3</v>
          </cell>
          <cell r="I250">
            <v>10</v>
          </cell>
          <cell r="J250" t="str">
            <v>7245 due 10/30;7494-1 due 11/22;8260-1 due 11/1;</v>
          </cell>
          <cell r="K250">
            <v>43766</v>
          </cell>
          <cell r="L250">
            <v>10</v>
          </cell>
          <cell r="M250">
            <v>0.11363636363636363</v>
          </cell>
        </row>
        <row r="251">
          <cell r="A251" t="str">
            <v>1931266</v>
          </cell>
          <cell r="B251">
            <v>5535</v>
          </cell>
          <cell r="C251" t="str">
            <v>CNV1</v>
          </cell>
          <cell r="D251" t="str">
            <v>X^013^32^53^953^62</v>
          </cell>
          <cell r="E251">
            <v>0</v>
          </cell>
          <cell r="F251" t="str">
            <v>Ster DR Murphy N/B/Ty10rx</v>
          </cell>
          <cell r="H251">
            <v>3</v>
          </cell>
          <cell r="I251">
            <v>10</v>
          </cell>
          <cell r="J251" t="str">
            <v>8436D due 12/6</v>
          </cell>
          <cell r="K251">
            <v>43766</v>
          </cell>
          <cell r="L251">
            <v>13</v>
          </cell>
          <cell r="M251">
            <v>0.20833333333333334</v>
          </cell>
        </row>
        <row r="252">
          <cell r="A252" t="str">
            <v>1931274</v>
          </cell>
          <cell r="B252">
            <v>5857</v>
          </cell>
          <cell r="C252" t="str">
            <v>CNV1</v>
          </cell>
          <cell r="D252" t="str">
            <v>X^012^58^68^951^59</v>
          </cell>
          <cell r="E252">
            <v>0</v>
          </cell>
          <cell r="F252" t="str">
            <v>Ster Nerve Block Tray 10c</v>
          </cell>
          <cell r="H252">
            <v>3</v>
          </cell>
          <cell r="I252">
            <v>10</v>
          </cell>
          <cell r="J252" t="str">
            <v>9264 due 11/11;2487B due 11/1;6460B due 11/4;7032A-2 due 10/28;</v>
          </cell>
          <cell r="K252">
            <v>43766</v>
          </cell>
          <cell r="L252">
            <v>12</v>
          </cell>
          <cell r="M252">
            <v>0.22222222222222221</v>
          </cell>
        </row>
        <row r="253">
          <cell r="A253" t="str">
            <v>1931276</v>
          </cell>
          <cell r="B253">
            <v>8171</v>
          </cell>
          <cell r="C253" t="str">
            <v>CNV1</v>
          </cell>
          <cell r="D253" t="str">
            <v>X^009^39^60^000^59</v>
          </cell>
          <cell r="E253">
            <v>0</v>
          </cell>
          <cell r="F253" t="str">
            <v>Ster Amniocentesis T/10RX</v>
          </cell>
          <cell r="H253">
            <v>3</v>
          </cell>
          <cell r="I253">
            <v>12</v>
          </cell>
          <cell r="J253" t="str">
            <v>7493 due 10/30;6460B due 11/4;8260-1 due 11/1;8262-2 due 10/28;8809A due 11/4;</v>
          </cell>
          <cell r="K253">
            <v>43766</v>
          </cell>
          <cell r="L253">
            <v>9</v>
          </cell>
          <cell r="M253">
            <v>0.25</v>
          </cell>
        </row>
        <row r="254">
          <cell r="A254" t="str">
            <v>1931220</v>
          </cell>
          <cell r="B254" t="str">
            <v>2066R1</v>
          </cell>
          <cell r="C254" t="str">
            <v>CNV1</v>
          </cell>
          <cell r="D254" t="str">
            <v>X^009^58^68^924^56</v>
          </cell>
          <cell r="E254">
            <v>0</v>
          </cell>
          <cell r="F254" t="str">
            <v>Ster V.A.D.Acces/T20EX/RX</v>
          </cell>
          <cell r="H254">
            <v>3</v>
          </cell>
          <cell r="I254">
            <v>15</v>
          </cell>
          <cell r="J254" t="str">
            <v>9264 due 11/11;4106A due 10/28;8262-2 due 10/28;</v>
          </cell>
          <cell r="K254">
            <v>43754</v>
          </cell>
          <cell r="L254">
            <v>9</v>
          </cell>
          <cell r="M254">
            <v>0.33333333333333331</v>
          </cell>
        </row>
        <row r="255">
          <cell r="A255" t="str">
            <v>1931267</v>
          </cell>
          <cell r="B255" t="str">
            <v>8563R1</v>
          </cell>
          <cell r="C255" t="str">
            <v>CNV1</v>
          </cell>
          <cell r="D255" t="str">
            <v>X^010^58^68^951^56</v>
          </cell>
          <cell r="E255">
            <v>0</v>
          </cell>
          <cell r="F255" t="str">
            <v>Ster Spine Inject/T10/RX</v>
          </cell>
          <cell r="H255">
            <v>3</v>
          </cell>
          <cell r="I255">
            <v>40</v>
          </cell>
          <cell r="J255" t="str">
            <v>7032A-2 due 10/28;8561B due 11/4;</v>
          </cell>
          <cell r="K255">
            <v>43766</v>
          </cell>
          <cell r="L255">
            <v>10</v>
          </cell>
          <cell r="M255">
            <v>0.55555555555555558</v>
          </cell>
        </row>
        <row r="256">
          <cell r="A256" t="str">
            <v>1931268</v>
          </cell>
          <cell r="B256" t="str">
            <v>9078R1</v>
          </cell>
          <cell r="C256" t="str">
            <v>CNV1</v>
          </cell>
          <cell r="D256" t="str">
            <v>X^011^58^68^922^56</v>
          </cell>
          <cell r="E256">
            <v>0</v>
          </cell>
          <cell r="F256" t="str">
            <v>Ster Spinal Tray 10 RX EX</v>
          </cell>
          <cell r="H256">
            <v>3</v>
          </cell>
          <cell r="I256">
            <v>30</v>
          </cell>
          <cell r="J256" t="str">
            <v>2541A due 11/1;6480I in Q3;7563-2 due 10/28;</v>
          </cell>
          <cell r="K256">
            <v>43766</v>
          </cell>
          <cell r="L256">
            <v>11</v>
          </cell>
          <cell r="M256">
            <v>0.55555555555555558</v>
          </cell>
        </row>
        <row r="257">
          <cell r="A257" t="str">
            <v>1931264</v>
          </cell>
          <cell r="B257" t="str">
            <v>B8123R1</v>
          </cell>
          <cell r="C257" t="str">
            <v>CNV1</v>
          </cell>
          <cell r="D257" t="str">
            <v>X^009^58^68^901^56</v>
          </cell>
          <cell r="E257">
            <v>0</v>
          </cell>
          <cell r="F257" t="str">
            <v>STER SS 4.5MM P/INS/TY/20</v>
          </cell>
          <cell r="H257">
            <v>3</v>
          </cell>
          <cell r="I257">
            <v>50</v>
          </cell>
          <cell r="J257" t="str">
            <v>7494-1 due 11/22;7581-1 due 11/12;8260-1 due 11/1;CS8123A due 11/6;</v>
          </cell>
          <cell r="K257">
            <v>43766</v>
          </cell>
          <cell r="L257">
            <v>9</v>
          </cell>
          <cell r="M257">
            <v>1.1111111111111112</v>
          </cell>
        </row>
        <row r="258">
          <cell r="A258" t="str">
            <v>1931287</v>
          </cell>
          <cell r="B258" t="str">
            <v>1422R1</v>
          </cell>
          <cell r="C258" t="str">
            <v>CNV1</v>
          </cell>
          <cell r="D258" t="str">
            <v>X^009^58^68^953^56</v>
          </cell>
          <cell r="E258">
            <v>0</v>
          </cell>
          <cell r="F258" t="str">
            <v>Ster Nerve Block Kit/10cs</v>
          </cell>
          <cell r="H258">
            <v>3</v>
          </cell>
          <cell r="I258">
            <v>40</v>
          </cell>
          <cell r="J258" t="str">
            <v>1108A in Q3 ;7563-2 due 10/28;DUE TO CUSTOMER 12/16/19</v>
          </cell>
          <cell r="K258">
            <v>43770</v>
          </cell>
          <cell r="L258">
            <v>9</v>
          </cell>
          <cell r="M258">
            <v>0.83333333333333337</v>
          </cell>
        </row>
        <row r="259">
          <cell r="A259" t="str">
            <v>1931290</v>
          </cell>
          <cell r="B259">
            <v>9585</v>
          </cell>
          <cell r="C259" t="str">
            <v>CNV1</v>
          </cell>
          <cell r="D259" t="str">
            <v>X^009^58^68^922^56</v>
          </cell>
          <cell r="E259">
            <v>0</v>
          </cell>
          <cell r="F259" t="str">
            <v>Ster Spinal Tray 10/CS RX</v>
          </cell>
          <cell r="H259">
            <v>3</v>
          </cell>
          <cell r="I259">
            <v>16</v>
          </cell>
          <cell r="J259" t="str">
            <v>1756A due 11/6;6480I in Q3;7032A-2 due 10/28;</v>
          </cell>
          <cell r="K259">
            <v>43767</v>
          </cell>
          <cell r="L259">
            <v>9</v>
          </cell>
          <cell r="M259">
            <v>0.35555555555555557</v>
          </cell>
        </row>
        <row r="260">
          <cell r="A260" t="str">
            <v>1931292</v>
          </cell>
          <cell r="B260">
            <v>1550</v>
          </cell>
          <cell r="C260" t="str">
            <v>CNV1</v>
          </cell>
          <cell r="D260" t="str">
            <v>X^011^58^68^951^56</v>
          </cell>
          <cell r="E260">
            <v>0</v>
          </cell>
          <cell r="F260" t="str">
            <v>Ster Epidural Tray 10/cs</v>
          </cell>
          <cell r="H260">
            <v>3</v>
          </cell>
          <cell r="I260">
            <v>20</v>
          </cell>
          <cell r="J260" t="str">
            <v>8262-2 due 10/28;8809A due 11/4;</v>
          </cell>
          <cell r="K260">
            <v>43769</v>
          </cell>
          <cell r="L260">
            <v>11</v>
          </cell>
          <cell r="M260">
            <v>0.44444444444444442</v>
          </cell>
        </row>
        <row r="261">
          <cell r="A261" t="str">
            <v>1931300</v>
          </cell>
          <cell r="B261">
            <v>5925</v>
          </cell>
          <cell r="C261" t="str">
            <v>CNV1</v>
          </cell>
          <cell r="D261" t="str">
            <v>X^012^58^68^922^56</v>
          </cell>
          <cell r="E261">
            <v>0</v>
          </cell>
          <cell r="F261" t="str">
            <v>Ster Epidural Ty 10cEX/RX</v>
          </cell>
          <cell r="H261">
            <v>3</v>
          </cell>
          <cell r="I261">
            <v>40</v>
          </cell>
          <cell r="J261" t="str">
            <v>6480I in Q3;7032-2 due 10/28;</v>
          </cell>
          <cell r="K261">
            <v>43769</v>
          </cell>
          <cell r="L261">
            <v>12</v>
          </cell>
          <cell r="M261">
            <v>0.63492063492063489</v>
          </cell>
        </row>
        <row r="262">
          <cell r="A262" t="str">
            <v>1931293</v>
          </cell>
          <cell r="B262">
            <v>6388</v>
          </cell>
          <cell r="C262" t="str">
            <v>CNV1</v>
          </cell>
          <cell r="D262" t="str">
            <v>X^011^58^68^951^58</v>
          </cell>
          <cell r="E262">
            <v>0</v>
          </cell>
          <cell r="F262" t="str">
            <v>Ster Nerve Block Ty 10cRX</v>
          </cell>
          <cell r="H262">
            <v>3</v>
          </cell>
          <cell r="I262">
            <v>15</v>
          </cell>
          <cell r="J262" t="str">
            <v>6480I in Q3;7032-2 due 10/28;</v>
          </cell>
          <cell r="K262">
            <v>43769</v>
          </cell>
          <cell r="L262">
            <v>11</v>
          </cell>
          <cell r="M262">
            <v>0.33333333333333331</v>
          </cell>
        </row>
        <row r="263">
          <cell r="A263" t="str">
            <v>1931343</v>
          </cell>
          <cell r="B263" t="str">
            <v>41065R3</v>
          </cell>
          <cell r="C263" t="str">
            <v>CNV1</v>
          </cell>
          <cell r="D263" t="str">
            <v>X^011^58^68^924^56</v>
          </cell>
          <cell r="E263">
            <v>0</v>
          </cell>
          <cell r="F263" t="str">
            <v>Ster Port Access T20EX/RX</v>
          </cell>
          <cell r="H263">
            <v>3</v>
          </cell>
          <cell r="I263">
            <v>150</v>
          </cell>
          <cell r="J263" t="str">
            <v>3016 due 11/5;9264 due 11/11;71021 Run 12/2;1527B due 11/11;41065A due 10/29;4106A due 10/28;7032-2 due 10/28;</v>
          </cell>
          <cell r="K263">
            <v>43776</v>
          </cell>
          <cell r="L263">
            <v>11</v>
          </cell>
          <cell r="M263">
            <v>3.3333333333333335</v>
          </cell>
        </row>
        <row r="264">
          <cell r="A264" t="str">
            <v>1931298</v>
          </cell>
          <cell r="B264">
            <v>7287</v>
          </cell>
          <cell r="C264" t="str">
            <v>CNV1</v>
          </cell>
          <cell r="D264" t="str">
            <v>X^008^58^68^922^56</v>
          </cell>
          <cell r="E264">
            <v>0</v>
          </cell>
          <cell r="F264" t="str">
            <v>Ster S/S/Epidural Tray10c</v>
          </cell>
          <cell r="H264">
            <v>3</v>
          </cell>
          <cell r="I264">
            <v>10</v>
          </cell>
          <cell r="J264" t="str">
            <v>8260-1 due 11/1</v>
          </cell>
          <cell r="K264">
            <v>43769</v>
          </cell>
          <cell r="L264">
            <v>8</v>
          </cell>
          <cell r="M264">
            <v>0.15873015873015872</v>
          </cell>
        </row>
        <row r="265">
          <cell r="A265" t="str">
            <v>1931297</v>
          </cell>
          <cell r="B265">
            <v>9662</v>
          </cell>
          <cell r="C265" t="str">
            <v>CNV1</v>
          </cell>
          <cell r="D265" t="str">
            <v>X^009^58^68^901^56</v>
          </cell>
          <cell r="E265">
            <v>0</v>
          </cell>
          <cell r="F265" t="str">
            <v>Ster S/Tissue B/Tray 10EX</v>
          </cell>
          <cell r="H265">
            <v>3</v>
          </cell>
          <cell r="I265">
            <v>20</v>
          </cell>
          <cell r="J265" t="str">
            <v>9627 due 10/28;7581-1 due 11/12;8809A due 11/4;</v>
          </cell>
          <cell r="K265">
            <v>43769</v>
          </cell>
          <cell r="L265">
            <v>9</v>
          </cell>
          <cell r="M265">
            <v>0.27777777777777779</v>
          </cell>
        </row>
        <row r="266">
          <cell r="A266" t="str">
            <v>1931295</v>
          </cell>
          <cell r="B266" t="str">
            <v>8139R2</v>
          </cell>
          <cell r="C266" t="str">
            <v>CNV1</v>
          </cell>
          <cell r="D266" t="str">
            <v>X^010^58^68^951^71</v>
          </cell>
          <cell r="E266">
            <v>0</v>
          </cell>
          <cell r="F266" t="str">
            <v>Ster 18G S/S/Epid Ty10cRX</v>
          </cell>
          <cell r="H266">
            <v>3</v>
          </cell>
          <cell r="I266">
            <v>10</v>
          </cell>
          <cell r="J266" t="str">
            <v>6480I in Q3;7563-2 due 10/28;</v>
          </cell>
          <cell r="K266">
            <v>43769</v>
          </cell>
          <cell r="L266">
            <v>10</v>
          </cell>
          <cell r="M266">
            <v>0.1388888888888889</v>
          </cell>
        </row>
        <row r="267">
          <cell r="A267" t="str">
            <v>1931306</v>
          </cell>
          <cell r="B267">
            <v>3611</v>
          </cell>
          <cell r="C267" t="str">
            <v>CNV1</v>
          </cell>
          <cell r="D267" t="str">
            <v>X^008^58^68^924^54</v>
          </cell>
          <cell r="E267">
            <v>0</v>
          </cell>
          <cell r="F267" t="str">
            <v>Ster S/S/Epidural Ty 10c</v>
          </cell>
          <cell r="H267">
            <v>3</v>
          </cell>
          <cell r="I267">
            <v>30</v>
          </cell>
          <cell r="J267" t="str">
            <v>7563-2 due 10/28;8260-1 due 11/1;8424D due 12/6;</v>
          </cell>
          <cell r="K267">
            <v>43770</v>
          </cell>
          <cell r="L267">
            <v>8</v>
          </cell>
          <cell r="M267">
            <v>0.41666666666666669</v>
          </cell>
        </row>
        <row r="268">
          <cell r="A268" t="str">
            <v>1931314</v>
          </cell>
          <cell r="B268">
            <v>7339</v>
          </cell>
          <cell r="C268" t="str">
            <v>CNV1</v>
          </cell>
          <cell r="D268" t="str">
            <v>X^009^58^68^902^56</v>
          </cell>
          <cell r="E268">
            <v>0</v>
          </cell>
          <cell r="F268" t="str">
            <v>Sterile Suture Tray 10/cs</v>
          </cell>
          <cell r="H268">
            <v>13</v>
          </cell>
          <cell r="I268">
            <v>20</v>
          </cell>
          <cell r="J268" t="str">
            <v>7493 due 10/30;1923N due 10/24;5317N due 10/24;7526L due 10/24;</v>
          </cell>
          <cell r="K268">
            <v>43770</v>
          </cell>
          <cell r="L268">
            <v>9</v>
          </cell>
          <cell r="M268">
            <v>0.27777777777777779</v>
          </cell>
        </row>
        <row r="269">
          <cell r="A269" t="str">
            <v>1931315</v>
          </cell>
          <cell r="B269">
            <v>7916</v>
          </cell>
          <cell r="C269" t="str">
            <v>CNV1</v>
          </cell>
          <cell r="D269" t="str">
            <v>X^011^58^68^951^71</v>
          </cell>
          <cell r="E269">
            <v>0</v>
          </cell>
          <cell r="F269" t="str">
            <v>Ster Nerve Block Ty2/10EX</v>
          </cell>
          <cell r="H269">
            <v>3</v>
          </cell>
          <cell r="I269">
            <v>40</v>
          </cell>
          <cell r="J269" t="str">
            <v>7493 due 10/30;7494-1 due 11/22;8262-2 due 10/28;</v>
          </cell>
          <cell r="K269">
            <v>43770</v>
          </cell>
          <cell r="L269">
            <v>11</v>
          </cell>
          <cell r="M269">
            <v>0.88888888888888884</v>
          </cell>
        </row>
        <row r="270">
          <cell r="A270" t="str">
            <v>1931302</v>
          </cell>
          <cell r="B270">
            <v>9039</v>
          </cell>
          <cell r="C270" t="str">
            <v>CNV1</v>
          </cell>
          <cell r="D270" t="str">
            <v>X^009^58^68^901^56</v>
          </cell>
          <cell r="E270">
            <v>0</v>
          </cell>
          <cell r="F270" t="str">
            <v>Ster Nerve Block Ty 10 EX</v>
          </cell>
          <cell r="H270">
            <v>3</v>
          </cell>
          <cell r="I270">
            <v>32</v>
          </cell>
          <cell r="J270" t="str">
            <v>7032A-2 due 10/28</v>
          </cell>
          <cell r="K270">
            <v>43770</v>
          </cell>
          <cell r="L270">
            <v>9</v>
          </cell>
          <cell r="M270">
            <v>0.22222222222222221</v>
          </cell>
        </row>
        <row r="271">
          <cell r="A271" t="str">
            <v>1931311</v>
          </cell>
          <cell r="B271">
            <v>9363</v>
          </cell>
          <cell r="C271" t="str">
            <v>CNV1</v>
          </cell>
          <cell r="D271" t="str">
            <v>X^009^58^68^924^56</v>
          </cell>
          <cell r="E271">
            <v>0</v>
          </cell>
          <cell r="F271" t="str">
            <v>Ster Basic Pain Tray 10EX</v>
          </cell>
          <cell r="H271">
            <v>3</v>
          </cell>
          <cell r="I271">
            <v>20</v>
          </cell>
          <cell r="J271" t="str">
            <v>1932A due 11/1;7032-2 due 10/28;</v>
          </cell>
          <cell r="K271">
            <v>43770</v>
          </cell>
          <cell r="L271">
            <v>9</v>
          </cell>
          <cell r="M271">
            <v>0.37037037037037035</v>
          </cell>
        </row>
        <row r="272">
          <cell r="A272" t="str">
            <v>1931310</v>
          </cell>
          <cell r="B272">
            <v>9372</v>
          </cell>
          <cell r="C272" t="str">
            <v>CNV1</v>
          </cell>
          <cell r="D272" t="str">
            <v>X^007^58^68^924^54</v>
          </cell>
          <cell r="E272">
            <v>0</v>
          </cell>
          <cell r="F272" t="str">
            <v>Ster E.R. Laceration T/20</v>
          </cell>
          <cell r="H272">
            <v>13</v>
          </cell>
          <cell r="I272">
            <v>40</v>
          </cell>
          <cell r="J272" t="str">
            <v>9264 due 11/11;1922N due 11/24;7526L due 10/24;7573L due 10/31;8424D due 12/6;</v>
          </cell>
          <cell r="K272">
            <v>43770</v>
          </cell>
          <cell r="L272">
            <v>7</v>
          </cell>
          <cell r="M272">
            <v>0.88888888888888884</v>
          </cell>
        </row>
        <row r="273">
          <cell r="A273" t="str">
            <v>1931312</v>
          </cell>
          <cell r="B273" t="str">
            <v>3705R5</v>
          </cell>
          <cell r="C273" t="str">
            <v>CNV1</v>
          </cell>
          <cell r="D273" t="str">
            <v>X^011^58^68^951^56</v>
          </cell>
          <cell r="E273">
            <v>0</v>
          </cell>
          <cell r="F273" t="str">
            <v>Ster Epidural Pain Ty10RX</v>
          </cell>
          <cell r="H273">
            <v>3</v>
          </cell>
          <cell r="I273">
            <v>20</v>
          </cell>
          <cell r="J273" t="str">
            <v>3705A-1 Run Out (2/cs Short);6480H in Q3;6480I in Q3;7032A-2 due 10/28;7494-1 due 11/22;</v>
          </cell>
          <cell r="K273">
            <v>43770</v>
          </cell>
          <cell r="L273">
            <v>11</v>
          </cell>
          <cell r="M273">
            <v>0.44444444444444442</v>
          </cell>
        </row>
        <row r="274">
          <cell r="A274" t="str">
            <v>1931365</v>
          </cell>
          <cell r="B274">
            <v>7478</v>
          </cell>
          <cell r="C274" t="str">
            <v>CNV1</v>
          </cell>
          <cell r="D274" t="str">
            <v>X^008^58^68^924^54</v>
          </cell>
          <cell r="E274">
            <v>0</v>
          </cell>
          <cell r="F274" t="str">
            <v>STER MOORE 82768 TRAY/20</v>
          </cell>
          <cell r="H274">
            <v>13</v>
          </cell>
          <cell r="I274">
            <v>135</v>
          </cell>
          <cell r="J274" t="str">
            <v>9264 due 11/11;1922SFN due 11/29;7032-2 due 10/28;7470A due 10/31;7478CC-1 due 11/11;7573SFN due 10/31;8424D due 12/6;</v>
          </cell>
          <cell r="K274">
            <v>43790</v>
          </cell>
          <cell r="L274">
            <v>8</v>
          </cell>
          <cell r="M274">
            <v>3</v>
          </cell>
        </row>
        <row r="275">
          <cell r="A275" t="str">
            <v>1931309</v>
          </cell>
          <cell r="B275" t="str">
            <v>7815R2</v>
          </cell>
          <cell r="C275" t="str">
            <v>CNV1</v>
          </cell>
          <cell r="D275" t="str">
            <v>X^009^58^68^901^59</v>
          </cell>
          <cell r="E275">
            <v>0</v>
          </cell>
          <cell r="F275" t="str">
            <v>Ster Nerve Block Tray10RX</v>
          </cell>
          <cell r="H275">
            <v>3</v>
          </cell>
          <cell r="I275">
            <v>60</v>
          </cell>
          <cell r="J275" t="str">
            <v>6460B due 11/4;6480H in Q3;6480I in Q3;7032-2 due 10/28;</v>
          </cell>
          <cell r="K275">
            <v>43770</v>
          </cell>
          <cell r="L275">
            <v>9</v>
          </cell>
          <cell r="M275">
            <v>0.83333333333333337</v>
          </cell>
        </row>
        <row r="276">
          <cell r="A276" t="str">
            <v>1931308</v>
          </cell>
          <cell r="B276" t="str">
            <v>8234R1</v>
          </cell>
          <cell r="C276" t="str">
            <v>CNV1</v>
          </cell>
          <cell r="D276" t="str">
            <v>X^009^58^68^901^59</v>
          </cell>
          <cell r="E276">
            <v>0</v>
          </cell>
          <cell r="F276" t="str">
            <v>Ster 25GX3.5"NERV/B/T10RX</v>
          </cell>
          <cell r="H276">
            <v>3</v>
          </cell>
          <cell r="I276">
            <v>10</v>
          </cell>
          <cell r="J276" t="str">
            <v>7549 due 11/6;6460B due 11/4;6480H in Q3;6480I in Q3;7032-2 due 10/28;</v>
          </cell>
          <cell r="K276">
            <v>43770</v>
          </cell>
          <cell r="L276">
            <v>9</v>
          </cell>
          <cell r="M276">
            <v>8.3333333333333329E-2</v>
          </cell>
        </row>
        <row r="277">
          <cell r="A277" t="str">
            <v>1931327</v>
          </cell>
          <cell r="B277">
            <v>5291</v>
          </cell>
          <cell r="C277" t="str">
            <v>CNV1</v>
          </cell>
          <cell r="D277" t="str">
            <v>Z^009^38^59^922^56</v>
          </cell>
          <cell r="E277">
            <v>0</v>
          </cell>
          <cell r="F277" t="str">
            <v>Ster S/S/Epid Tray10cEX</v>
          </cell>
          <cell r="H277">
            <v>3</v>
          </cell>
          <cell r="I277">
            <v>10</v>
          </cell>
          <cell r="J277" t="str">
            <v>1756B;1932A due 11/1;7032-2 due 10/28;</v>
          </cell>
          <cell r="K277">
            <v>43773</v>
          </cell>
          <cell r="L277">
            <v>9</v>
          </cell>
          <cell r="M277">
            <v>0.15873015873015872</v>
          </cell>
        </row>
        <row r="278">
          <cell r="A278" t="str">
            <v>1931331</v>
          </cell>
          <cell r="B278">
            <v>6054</v>
          </cell>
          <cell r="C278" t="str">
            <v>CNV1</v>
          </cell>
          <cell r="D278" t="str">
            <v>X^011^58^68^951^58</v>
          </cell>
          <cell r="E278">
            <v>0</v>
          </cell>
          <cell r="F278" t="str">
            <v>Ster Nerve Block Ty 10cRX</v>
          </cell>
          <cell r="H278">
            <v>3</v>
          </cell>
          <cell r="I278">
            <v>10</v>
          </cell>
          <cell r="J278" t="str">
            <v>2135A due 11/4;6480H in Q3;6480I in Q3;</v>
          </cell>
          <cell r="K278">
            <v>43773</v>
          </cell>
          <cell r="L278">
            <v>11</v>
          </cell>
          <cell r="M278">
            <v>0.22222222222222221</v>
          </cell>
        </row>
        <row r="279">
          <cell r="A279" t="str">
            <v>1931334</v>
          </cell>
          <cell r="B279">
            <v>8171</v>
          </cell>
          <cell r="C279" t="str">
            <v>CNV1</v>
          </cell>
          <cell r="D279" t="str">
            <v>X^009^39^60^000^59</v>
          </cell>
          <cell r="E279">
            <v>0</v>
          </cell>
          <cell r="F279" t="str">
            <v>Ster Amniocentesis T/10RX</v>
          </cell>
          <cell r="H279">
            <v>3</v>
          </cell>
          <cell r="I279">
            <v>12</v>
          </cell>
          <cell r="J279" t="str">
            <v>7493 due 10/30;6460B due 11/4;6480H in Q3;6480I in Q3;8171A due 11/6;8260-1 due 11/1;8262-2 due 10/28;8809A due 11/4;</v>
          </cell>
          <cell r="K279">
            <v>43773</v>
          </cell>
          <cell r="L279">
            <v>9</v>
          </cell>
          <cell r="M279">
            <v>0.25</v>
          </cell>
        </row>
        <row r="280">
          <cell r="A280" t="str">
            <v>1931330</v>
          </cell>
          <cell r="B280">
            <v>8913</v>
          </cell>
          <cell r="C280" t="str">
            <v>CNV1</v>
          </cell>
          <cell r="D280" t="str">
            <v>X^008^58^68^924^56</v>
          </cell>
          <cell r="E280">
            <v>0</v>
          </cell>
          <cell r="F280" t="str">
            <v>Ster Nerve Block Tray 10c</v>
          </cell>
          <cell r="H280">
            <v>13</v>
          </cell>
          <cell r="I280">
            <v>60</v>
          </cell>
          <cell r="J280" t="str">
            <v>7563-2 due 10/28</v>
          </cell>
          <cell r="K280">
            <v>43773</v>
          </cell>
          <cell r="L280">
            <v>8</v>
          </cell>
          <cell r="M280">
            <v>1.1111111111111112</v>
          </cell>
        </row>
        <row r="281">
          <cell r="A281" t="str">
            <v>1931333</v>
          </cell>
          <cell r="B281" t="str">
            <v>1892R1</v>
          </cell>
          <cell r="C281" t="str">
            <v>CNV1</v>
          </cell>
          <cell r="D281" t="str">
            <v>X^010^58^68^924^54</v>
          </cell>
          <cell r="E281">
            <v>0</v>
          </cell>
          <cell r="F281" t="str">
            <v>Ster Laceration Tray/20</v>
          </cell>
          <cell r="H281">
            <v>13</v>
          </cell>
          <cell r="I281">
            <v>15</v>
          </cell>
          <cell r="J281" t="str">
            <v>9264 due 11/11;1922N due 11/24;1923N due 10/24;7032A-2 due 10/28;7470A due 10/31;8424D due 12/6;</v>
          </cell>
          <cell r="K281">
            <v>43773</v>
          </cell>
          <cell r="L281">
            <v>10</v>
          </cell>
          <cell r="M281">
            <v>0.33333333333333331</v>
          </cell>
        </row>
        <row r="282">
          <cell r="A282" t="str">
            <v>1931326</v>
          </cell>
          <cell r="B282" t="str">
            <v>2454R3</v>
          </cell>
          <cell r="C282" t="str">
            <v>CNV1</v>
          </cell>
          <cell r="D282" t="str">
            <v>X^008^58^68^924^56</v>
          </cell>
          <cell r="E282">
            <v>0</v>
          </cell>
          <cell r="F282" t="str">
            <v>Ster Medial Branch T10EX</v>
          </cell>
          <cell r="H282">
            <v>3</v>
          </cell>
          <cell r="I282">
            <v>55</v>
          </cell>
          <cell r="J282" t="str">
            <v>1932A due 11/1;2392A due 11/8;7494-1 due 11/22;</v>
          </cell>
          <cell r="K282">
            <v>43773</v>
          </cell>
          <cell r="L282">
            <v>8</v>
          </cell>
          <cell r="M282">
            <v>0.57291666666666663</v>
          </cell>
        </row>
        <row r="283">
          <cell r="A283" t="str">
            <v>1931338</v>
          </cell>
          <cell r="B283" t="str">
            <v>6183R1</v>
          </cell>
          <cell r="C283" t="str">
            <v>CNV1</v>
          </cell>
          <cell r="D283" t="str">
            <v>X^009^58^68^924^58</v>
          </cell>
          <cell r="E283">
            <v>0</v>
          </cell>
          <cell r="F283" t="str">
            <v>Ster S/S/Epidural Tray10c</v>
          </cell>
          <cell r="H283">
            <v>3</v>
          </cell>
          <cell r="I283">
            <v>20</v>
          </cell>
          <cell r="J283" t="str">
            <v>2135A due 11/4</v>
          </cell>
          <cell r="K283">
            <v>43773</v>
          </cell>
          <cell r="L283">
            <v>9</v>
          </cell>
          <cell r="M283">
            <v>0.44444444444444442</v>
          </cell>
        </row>
        <row r="284">
          <cell r="A284" t="str">
            <v>1931328</v>
          </cell>
          <cell r="B284" t="str">
            <v>7347R1</v>
          </cell>
          <cell r="C284" t="str">
            <v>CNV1</v>
          </cell>
          <cell r="D284" t="str">
            <v>X^009^58^68^901^56</v>
          </cell>
          <cell r="E284">
            <v>0</v>
          </cell>
          <cell r="F284" t="str">
            <v>Ster Pump Refill Kit 10cs</v>
          </cell>
          <cell r="H284">
            <v>3</v>
          </cell>
          <cell r="I284">
            <v>10</v>
          </cell>
          <cell r="J284" t="str">
            <v>1731C due 11/4;1731D due 11/4;7032-2 due 10/28;7937B due 10/30;8809A due 11/4;</v>
          </cell>
          <cell r="K284">
            <v>43773</v>
          </cell>
          <cell r="L284">
            <v>9</v>
          </cell>
          <cell r="M284">
            <v>0.1388888888888889</v>
          </cell>
        </row>
        <row r="285">
          <cell r="A285" t="str">
            <v>1931329</v>
          </cell>
          <cell r="B285" t="str">
            <v>7812R1</v>
          </cell>
          <cell r="C285" t="str">
            <v>CNV1</v>
          </cell>
          <cell r="D285" t="str">
            <v>X^009^58^68^906^56</v>
          </cell>
          <cell r="E285">
            <v>0</v>
          </cell>
          <cell r="F285" t="str">
            <v>STERILE NERVE BLOCK T/20C</v>
          </cell>
          <cell r="H285">
            <v>13</v>
          </cell>
          <cell r="I285">
            <v>300</v>
          </cell>
          <cell r="J285" t="str">
            <v>9627 due 10/28;3431A due 11/7;</v>
          </cell>
          <cell r="K285">
            <v>43773</v>
          </cell>
          <cell r="L285">
            <v>9</v>
          </cell>
          <cell r="M285">
            <v>6.666666666666667</v>
          </cell>
        </row>
        <row r="286">
          <cell r="A286" t="str">
            <v>1931342</v>
          </cell>
          <cell r="B286">
            <v>8413</v>
          </cell>
          <cell r="C286" t="str">
            <v>CNV1</v>
          </cell>
          <cell r="D286" t="str">
            <v>X^010^58^68^951^59</v>
          </cell>
          <cell r="E286">
            <v>0</v>
          </cell>
          <cell r="F286" t="str">
            <v>Ster P/Management Ty10/RX</v>
          </cell>
          <cell r="H286">
            <v>3</v>
          </cell>
          <cell r="I286">
            <v>20</v>
          </cell>
          <cell r="J286" t="str">
            <v>6460B due 11/4</v>
          </cell>
          <cell r="K286">
            <v>43776</v>
          </cell>
          <cell r="L286">
            <v>10</v>
          </cell>
          <cell r="M286">
            <v>0.27777777777777779</v>
          </cell>
        </row>
        <row r="287">
          <cell r="A287" t="str">
            <v>1931367</v>
          </cell>
          <cell r="B287">
            <v>5823</v>
          </cell>
          <cell r="C287" t="str">
            <v>CNV1</v>
          </cell>
          <cell r="D287" t="str">
            <v>X^010^58^68^924^54</v>
          </cell>
          <cell r="E287">
            <v>0</v>
          </cell>
          <cell r="F287" t="str">
            <v>STER HS ER LAC112-5823/20</v>
          </cell>
          <cell r="H287">
            <v>13</v>
          </cell>
          <cell r="I287">
            <v>225</v>
          </cell>
          <cell r="J287" t="str">
            <v>7493 due 11/22;9264 due 11/11;1922N due 11/24;5317L-1 due 10/31;7032A-2 due 10/28;7494-1 due 11/22;7526L due 10/24;7573L due 10/31;8424D due 12/6;</v>
          </cell>
          <cell r="K287">
            <v>43797</v>
          </cell>
          <cell r="L287">
            <v>10</v>
          </cell>
          <cell r="M287">
            <v>5</v>
          </cell>
        </row>
        <row r="288">
          <cell r="A288" t="str">
            <v>1931368</v>
          </cell>
          <cell r="B288">
            <v>747</v>
          </cell>
          <cell r="C288" t="str">
            <v>CNV1</v>
          </cell>
          <cell r="D288" t="str">
            <v>X^008^58^68^924^54</v>
          </cell>
          <cell r="E288">
            <v>0</v>
          </cell>
          <cell r="F288" t="str">
            <v>Ster Suturing Tray/20</v>
          </cell>
          <cell r="H288">
            <v>13</v>
          </cell>
          <cell r="I288">
            <v>270</v>
          </cell>
          <cell r="J288" t="str">
            <v>9264 due 11/11;1922SFN due 10/31;7032-2 due 10/28;7470A due 10/31;7573SFN due 10/31;8424D due 12/6;</v>
          </cell>
          <cell r="K288">
            <v>43798</v>
          </cell>
          <cell r="L288">
            <v>8</v>
          </cell>
          <cell r="M288">
            <v>6</v>
          </cell>
        </row>
        <row r="289">
          <cell r="A289" t="str">
            <v>1931369</v>
          </cell>
          <cell r="B289">
            <v>386</v>
          </cell>
          <cell r="C289" t="str">
            <v>CNV1</v>
          </cell>
          <cell r="D289" t="str">
            <v>X^008^58^68^924^54</v>
          </cell>
          <cell r="E289">
            <v>0</v>
          </cell>
          <cell r="F289" t="str">
            <v>Ster Circumcision Tray10c</v>
          </cell>
          <cell r="H289">
            <v>3</v>
          </cell>
          <cell r="I289">
            <v>30</v>
          </cell>
          <cell r="J289" t="str">
            <v>1618A due 11/20;1922N due 11/24;1924N due 11/29;7451B in Q3;7526L due 10/24;7563-2 due 10/28;8424D due 12/6;</v>
          </cell>
          <cell r="K289">
            <v>43798</v>
          </cell>
          <cell r="L289">
            <v>8</v>
          </cell>
          <cell r="M289">
            <v>0.41666666666666669</v>
          </cell>
        </row>
        <row r="290">
          <cell r="A290" t="str">
            <v>1931366</v>
          </cell>
          <cell r="B290">
            <v>674</v>
          </cell>
          <cell r="C290" t="str">
            <v>CNV1</v>
          </cell>
          <cell r="D290" t="str">
            <v>X^010^58^68^951^56</v>
          </cell>
          <cell r="E290">
            <v>0</v>
          </cell>
          <cell r="F290" t="str">
            <v>Ster Basic Pain Tray 10cs</v>
          </cell>
          <cell r="H290">
            <v>3</v>
          </cell>
          <cell r="I290">
            <v>270</v>
          </cell>
          <cell r="J290" t="str">
            <v>6710E due 11/20; EXTRA CASE INCLUDED FOR PYROGEN TESTING</v>
          </cell>
          <cell r="K290">
            <v>43798</v>
          </cell>
          <cell r="L290">
            <v>10</v>
          </cell>
          <cell r="M290">
            <v>6</v>
          </cell>
        </row>
        <row r="291">
          <cell r="A291" t="str">
            <v>1931370</v>
          </cell>
          <cell r="B291">
            <v>930</v>
          </cell>
          <cell r="C291" t="str">
            <v>CNV1</v>
          </cell>
          <cell r="D291" t="str">
            <v>X^011^59^71^904^69</v>
          </cell>
          <cell r="E291">
            <v>0</v>
          </cell>
          <cell r="F291" t="str">
            <v>Ster Hysteroscopy Pack 5c</v>
          </cell>
          <cell r="H291">
            <v>3</v>
          </cell>
          <cell r="I291">
            <v>15</v>
          </cell>
          <cell r="J291" t="str">
            <v>2541D;2880A in Q3;7230A Hold;</v>
          </cell>
          <cell r="K291">
            <v>43803</v>
          </cell>
          <cell r="L291">
            <v>11</v>
          </cell>
          <cell r="M291">
            <v>0.33333333333333331</v>
          </cell>
        </row>
        <row r="292">
          <cell r="A292" t="str">
            <v>1931335</v>
          </cell>
          <cell r="B292" t="str">
            <v>9259R1</v>
          </cell>
          <cell r="C292" t="str">
            <v>CNV1</v>
          </cell>
          <cell r="D292" t="str">
            <v>X^010^58^68^922^56</v>
          </cell>
          <cell r="E292">
            <v>0</v>
          </cell>
          <cell r="F292" t="str">
            <v>Ster Nerve Block T 10RXEX</v>
          </cell>
          <cell r="H292">
            <v>3</v>
          </cell>
          <cell r="I292">
            <v>10</v>
          </cell>
          <cell r="J292" t="str">
            <v>1932A due 11/1;6480H in Q3;6480I in Q3;7032A-2 due 10/28;</v>
          </cell>
          <cell r="K292">
            <v>43773</v>
          </cell>
          <cell r="L292">
            <v>10</v>
          </cell>
          <cell r="M292">
            <v>0.15873015873015872</v>
          </cell>
        </row>
        <row r="293">
          <cell r="A293" t="str">
            <v>1931336</v>
          </cell>
          <cell r="B293">
            <v>1170</v>
          </cell>
          <cell r="C293" t="str">
            <v>CNV1</v>
          </cell>
          <cell r="D293" t="str">
            <v>Z^011^38^59^951^59</v>
          </cell>
          <cell r="E293">
            <v>0</v>
          </cell>
          <cell r="F293" t="str">
            <v>Ster Nerve Block Tray 10c</v>
          </cell>
          <cell r="H293">
            <v>3</v>
          </cell>
          <cell r="I293">
            <v>20</v>
          </cell>
          <cell r="J293" t="str">
            <v>9264 due 11/11;2487B due 11/1;6460B due 11/4;6710E due 11/20;7032A-2 due 10/28;8267-2 due 11/11;</v>
          </cell>
          <cell r="K293">
            <v>43773</v>
          </cell>
          <cell r="L293">
            <v>11</v>
          </cell>
          <cell r="M293">
            <v>0.44444444444444442</v>
          </cell>
        </row>
        <row r="294">
          <cell r="A294" t="str">
            <v>1931324</v>
          </cell>
          <cell r="B294" t="str">
            <v>B6705R1</v>
          </cell>
          <cell r="C294" t="str">
            <v>CNV1</v>
          </cell>
          <cell r="D294" t="str">
            <v>X^009^58^68^901^56</v>
          </cell>
          <cell r="E294">
            <v>0</v>
          </cell>
          <cell r="F294" t="str">
            <v>Ster 3.22 PELL/IN/Ty#2/20</v>
          </cell>
          <cell r="H294">
            <v>3</v>
          </cell>
          <cell r="I294">
            <v>50</v>
          </cell>
          <cell r="J294" t="str">
            <v>1954G due 11/18;7494-1 due 11/22;7522C due 11/22;7581-1 due 11/12;8260-1 due 11/1;8380A due 11/29;</v>
          </cell>
          <cell r="K294">
            <v>43773</v>
          </cell>
          <cell r="L294">
            <v>9</v>
          </cell>
          <cell r="M294">
            <v>1.1111111111111112</v>
          </cell>
        </row>
        <row r="295">
          <cell r="A295" t="str">
            <v>1931323</v>
          </cell>
          <cell r="B295" t="str">
            <v>B8109</v>
          </cell>
          <cell r="C295" t="str">
            <v>CNV1</v>
          </cell>
          <cell r="D295" t="str">
            <v>X^009^58^68^901^56</v>
          </cell>
          <cell r="E295">
            <v>0</v>
          </cell>
          <cell r="F295" t="str">
            <v>SterSS 3.2MM P/I MEDPVP20</v>
          </cell>
          <cell r="H295">
            <v>3</v>
          </cell>
          <cell r="I295">
            <v>50</v>
          </cell>
          <cell r="J295" t="str">
            <v>1954G due 11/18;7494-1 due 11/22;7522C due 11/22;7581-1 due 11/12;8260-1 due 11/1;8380A due 11/29;CS8108A due 10/31;</v>
          </cell>
          <cell r="K295">
            <v>43773</v>
          </cell>
          <cell r="L295">
            <v>9</v>
          </cell>
          <cell r="M295">
            <v>1.1111111111111112</v>
          </cell>
        </row>
        <row r="296">
          <cell r="A296" t="str">
            <v>1931322</v>
          </cell>
          <cell r="B296" t="str">
            <v>B8128R1</v>
          </cell>
          <cell r="C296" t="str">
            <v>CNV1</v>
          </cell>
          <cell r="D296" t="str">
            <v>X^010^58^68^924^56</v>
          </cell>
          <cell r="E296">
            <v>0</v>
          </cell>
          <cell r="F296" t="str">
            <v>Ster SS 4.5MM P/INS/Ty20c</v>
          </cell>
          <cell r="H296">
            <v>3</v>
          </cell>
          <cell r="I296">
            <v>50</v>
          </cell>
          <cell r="J296" t="str">
            <v>9264 due 11/11;1731C due 11/4;1731D due 11/4;7494-1 due 11/22;7581-1 due 11/12;CS8123A due 11/6;</v>
          </cell>
          <cell r="K296">
            <v>43773</v>
          </cell>
          <cell r="L296">
            <v>10</v>
          </cell>
          <cell r="M296">
            <v>1.1111111111111112</v>
          </cell>
        </row>
        <row r="299">
          <cell r="A299" t="str">
            <v>1931345</v>
          </cell>
          <cell r="B299">
            <v>9777</v>
          </cell>
          <cell r="C299" t="str">
            <v>CNV1</v>
          </cell>
          <cell r="D299" t="str">
            <v>Z^011^38^59^953^56</v>
          </cell>
          <cell r="E299">
            <v>0</v>
          </cell>
          <cell r="F299" t="str">
            <v>Ster Custom Pain Tray 10c</v>
          </cell>
          <cell r="H299">
            <v>3</v>
          </cell>
          <cell r="I299">
            <v>20</v>
          </cell>
          <cell r="J299" t="str">
            <v>71021 Run 12/2;6710E due 11/20;8262-2 due 10/28;8267-2 due 11/11;</v>
          </cell>
          <cell r="K299">
            <v>43776</v>
          </cell>
          <cell r="L299">
            <v>11</v>
          </cell>
          <cell r="M299">
            <v>0.5</v>
          </cell>
        </row>
        <row r="300">
          <cell r="A300" t="str">
            <v>1931344</v>
          </cell>
          <cell r="B300" t="str">
            <v>5576R2</v>
          </cell>
          <cell r="C300" t="str">
            <v>CNV1</v>
          </cell>
          <cell r="D300" t="str">
            <v>X^009^58^68^951^58</v>
          </cell>
          <cell r="E300">
            <v>0</v>
          </cell>
          <cell r="F300" t="str">
            <v>Ster General Tray 10/cs</v>
          </cell>
          <cell r="H300">
            <v>3</v>
          </cell>
          <cell r="I300">
            <v>30</v>
          </cell>
          <cell r="J300" t="str">
            <v>2135A due 11/4;6710E due 11/20;</v>
          </cell>
          <cell r="K300">
            <v>43776</v>
          </cell>
          <cell r="L300">
            <v>9</v>
          </cell>
          <cell r="M300">
            <v>0.66666666666666663</v>
          </cell>
        </row>
        <row r="301">
          <cell r="A301" t="str">
            <v>1931321</v>
          </cell>
          <cell r="B301" t="str">
            <v>B9175R1</v>
          </cell>
          <cell r="C301" t="str">
            <v>CNV1</v>
          </cell>
          <cell r="D301" t="str">
            <v>X^011^58^68^924^56</v>
          </cell>
          <cell r="E301">
            <v>0</v>
          </cell>
          <cell r="F301" t="str">
            <v>Ster F/SS 3.5mm P/Ins T20</v>
          </cell>
          <cell r="H301">
            <v>3</v>
          </cell>
          <cell r="I301">
            <v>100</v>
          </cell>
          <cell r="J301" t="str">
            <v>9264 due 11/11;71021 Run 12/2;1731C due 11/4;1731D due 11/4;2257A due 11/4;2257B Make in House;5423-2 due 11/15;7494-1 due 11/22;7522C due 11/22;7581-1 due 11/14;8408C Make in House;9175C due 1/6;CS9175A due 11/6;CS9175B due 11/6;</v>
          </cell>
          <cell r="K301">
            <v>43773</v>
          </cell>
          <cell r="L301">
            <v>11</v>
          </cell>
          <cell r="M301">
            <v>2.2222222222222223</v>
          </cell>
        </row>
        <row r="302">
          <cell r="A302" t="str">
            <v>1931346</v>
          </cell>
          <cell r="B302">
            <v>1168</v>
          </cell>
          <cell r="C302" t="str">
            <v>CNV1</v>
          </cell>
          <cell r="D302" t="str">
            <v>X^011^38^68^924^56</v>
          </cell>
          <cell r="E302">
            <v>0</v>
          </cell>
          <cell r="F302" t="str">
            <v>Ster Arthrogram Tray 10cs</v>
          </cell>
          <cell r="H302">
            <v>3</v>
          </cell>
          <cell r="I302">
            <v>20</v>
          </cell>
          <cell r="J302" t="str">
            <v>7493 due 11/22;71021 Run 12/2;5423-2 due 11/15;6880S due 10/30;8809A due 11/4;</v>
          </cell>
          <cell r="K302">
            <v>43777</v>
          </cell>
          <cell r="L302">
            <v>11</v>
          </cell>
          <cell r="M302">
            <v>0.37037037037037035</v>
          </cell>
        </row>
        <row r="303">
          <cell r="A303" t="str">
            <v>1931347</v>
          </cell>
          <cell r="B303" t="str">
            <v>9593R1</v>
          </cell>
          <cell r="C303" t="str">
            <v>CNV1</v>
          </cell>
          <cell r="D303" t="str">
            <v>X^011^58^68^924^56</v>
          </cell>
          <cell r="E303">
            <v>0</v>
          </cell>
          <cell r="F303" t="str">
            <v>Ster Cesi Tray 10/RX/EX</v>
          </cell>
          <cell r="H303">
            <v>3</v>
          </cell>
          <cell r="I303">
            <v>15</v>
          </cell>
          <cell r="J303" t="str">
            <v>71021 Run 12/2;6480H in Q3;6480I in Q3;7032A-2 due 10/28;</v>
          </cell>
          <cell r="K303">
            <v>43777</v>
          </cell>
          <cell r="L303">
            <v>11</v>
          </cell>
          <cell r="M303">
            <v>0.33333333333333331</v>
          </cell>
        </row>
        <row r="304">
          <cell r="A304" t="str">
            <v>1931348</v>
          </cell>
          <cell r="B304" t="str">
            <v>6543R1</v>
          </cell>
          <cell r="C304" t="str">
            <v>CNV1</v>
          </cell>
          <cell r="D304" t="str">
            <v>X^011^58^68^922^58</v>
          </cell>
          <cell r="E304">
            <v>0</v>
          </cell>
          <cell r="F304" t="str">
            <v>Ster Basic Biop/T10 EX/RX</v>
          </cell>
          <cell r="H304">
            <v>3</v>
          </cell>
          <cell r="I304">
            <v>60</v>
          </cell>
          <cell r="J304" t="str">
            <v>7493 due 11/22;2135A due 11/4;4515B due 11/1;5423-2 due 11/15;6480H in Q3;6480I in Q3;6530E due 11/14;8809A due 11/4;</v>
          </cell>
          <cell r="K304">
            <v>43777</v>
          </cell>
          <cell r="L304">
            <v>11</v>
          </cell>
          <cell r="M304">
            <v>0.95238095238095233</v>
          </cell>
        </row>
        <row r="305">
          <cell r="A305" t="str">
            <v>1931358</v>
          </cell>
          <cell r="B305">
            <v>2893</v>
          </cell>
          <cell r="C305" t="str">
            <v>CNV1</v>
          </cell>
          <cell r="D305" t="str">
            <v>X^008^58^68^902^56</v>
          </cell>
          <cell r="E305">
            <v>0</v>
          </cell>
          <cell r="F305" t="str">
            <v>Ster S/S Epidural Tray10c</v>
          </cell>
          <cell r="H305">
            <v>13</v>
          </cell>
          <cell r="I305">
            <v>50</v>
          </cell>
          <cell r="K305">
            <v>43780</v>
          </cell>
          <cell r="L305">
            <v>8</v>
          </cell>
          <cell r="M305">
            <v>0.55555555555555558</v>
          </cell>
        </row>
        <row r="306">
          <cell r="A306" t="str">
            <v>1931354</v>
          </cell>
          <cell r="B306">
            <v>2916</v>
          </cell>
          <cell r="C306" t="str">
            <v>CNV1</v>
          </cell>
          <cell r="D306" t="str">
            <v>X^007^59^71^000^57</v>
          </cell>
          <cell r="E306">
            <v>0</v>
          </cell>
          <cell r="F306" t="str">
            <v>Ster Vetinary B/Pack 5/cs</v>
          </cell>
          <cell r="H306">
            <v>13</v>
          </cell>
          <cell r="I306">
            <v>120</v>
          </cell>
          <cell r="J306" t="str">
            <v>THIS KIT REQUIRES EXTRA AERATION</v>
          </cell>
          <cell r="K306">
            <v>43780</v>
          </cell>
          <cell r="L306">
            <v>7</v>
          </cell>
          <cell r="M306">
            <v>4</v>
          </cell>
        </row>
        <row r="307">
          <cell r="A307" t="str">
            <v>1931355</v>
          </cell>
          <cell r="B307">
            <v>5535</v>
          </cell>
          <cell r="C307" t="str">
            <v>CNV1</v>
          </cell>
          <cell r="D307" t="str">
            <v>X^013^32^53^953^62</v>
          </cell>
          <cell r="E307">
            <v>0</v>
          </cell>
          <cell r="F307" t="str">
            <v>Ster DR Murphy N/B/Ty10rx</v>
          </cell>
          <cell r="H307">
            <v>3</v>
          </cell>
          <cell r="I307">
            <v>20</v>
          </cell>
          <cell r="J307" t="str">
            <v>71021 Run 12/2;6480H in Q3;6480I in Q3;6710E due 11/20;8329A;8436D due 12/6;</v>
          </cell>
          <cell r="K307">
            <v>43780</v>
          </cell>
          <cell r="L307">
            <v>13</v>
          </cell>
          <cell r="M307">
            <v>0.41666666666666669</v>
          </cell>
        </row>
        <row r="308">
          <cell r="A308" t="str">
            <v>1931356</v>
          </cell>
          <cell r="B308">
            <v>6222</v>
          </cell>
          <cell r="C308" t="str">
            <v>CNV1</v>
          </cell>
          <cell r="D308" t="str">
            <v>X^010^58^68^951^56</v>
          </cell>
          <cell r="E308">
            <v>0</v>
          </cell>
          <cell r="F308" t="str">
            <v>Ster 25G Nerve BlockTy10c</v>
          </cell>
          <cell r="H308">
            <v>3</v>
          </cell>
          <cell r="I308">
            <v>30</v>
          </cell>
          <cell r="J308" t="str">
            <v>6710E due 11/20;7494-1 due 11/22;</v>
          </cell>
          <cell r="K308">
            <v>43780</v>
          </cell>
          <cell r="L308">
            <v>10</v>
          </cell>
          <cell r="M308">
            <v>0.66666666666666663</v>
          </cell>
        </row>
        <row r="309">
          <cell r="A309" t="str">
            <v>1931360</v>
          </cell>
          <cell r="B309">
            <v>6774</v>
          </cell>
          <cell r="C309" t="str">
            <v>CNV1</v>
          </cell>
          <cell r="D309" t="str">
            <v>X^009^58^68^922^58</v>
          </cell>
          <cell r="E309">
            <v>0</v>
          </cell>
          <cell r="F309" t="str">
            <v>Ster Universal B/Tray 10c</v>
          </cell>
          <cell r="H309">
            <v>13</v>
          </cell>
          <cell r="I309">
            <v>20</v>
          </cell>
          <cell r="J309" t="str">
            <v>2135A due 11/4;6880S due 10/30;8262-2 due 10/28;</v>
          </cell>
          <cell r="K309">
            <v>43780</v>
          </cell>
          <cell r="L309">
            <v>9</v>
          </cell>
          <cell r="M309">
            <v>0.37037037037037035</v>
          </cell>
        </row>
        <row r="310">
          <cell r="A310" t="str">
            <v>1931361</v>
          </cell>
          <cell r="B310">
            <v>7360</v>
          </cell>
          <cell r="C310" t="str">
            <v>CNV1</v>
          </cell>
          <cell r="D310" t="str">
            <v>X^008^58^68^928^56</v>
          </cell>
          <cell r="E310">
            <v>0</v>
          </cell>
          <cell r="F310" t="str">
            <v>Ster Arthrogram Tray 10c</v>
          </cell>
          <cell r="H310">
            <v>13</v>
          </cell>
          <cell r="I310">
            <v>20</v>
          </cell>
          <cell r="J310" t="str">
            <v>7563-2 due 10/28;8809A due 11/4;9732-1 due 11/8;</v>
          </cell>
          <cell r="K310">
            <v>43780</v>
          </cell>
          <cell r="L310">
            <v>8</v>
          </cell>
          <cell r="M310">
            <v>0.17857142857142858</v>
          </cell>
        </row>
        <row r="311">
          <cell r="A311" t="str">
            <v>1931362</v>
          </cell>
          <cell r="B311">
            <v>9105</v>
          </cell>
          <cell r="C311" t="str">
            <v>CNV1</v>
          </cell>
          <cell r="D311" t="str">
            <v>X^008^58^68^901^59</v>
          </cell>
          <cell r="E311">
            <v>0</v>
          </cell>
          <cell r="F311" t="str">
            <v>Ster Lumbar Tray 10/CS</v>
          </cell>
          <cell r="H311">
            <v>3</v>
          </cell>
          <cell r="I311">
            <v>80</v>
          </cell>
          <cell r="J311" t="str">
            <v>7245 due 10/30;6460B due 11/4;7032A-2 due 10/28;8260-1 due 11/1;</v>
          </cell>
          <cell r="K311">
            <v>43780</v>
          </cell>
          <cell r="L311">
            <v>8</v>
          </cell>
          <cell r="M311">
            <v>0.90909090909090906</v>
          </cell>
        </row>
        <row r="312">
          <cell r="A312" t="str">
            <v>1931353</v>
          </cell>
          <cell r="B312" t="str">
            <v>2740R2</v>
          </cell>
          <cell r="C312" t="str">
            <v>CNV1</v>
          </cell>
          <cell r="D312" t="str">
            <v>X^008^58^68^922^56</v>
          </cell>
          <cell r="E312">
            <v>0</v>
          </cell>
          <cell r="F312" t="str">
            <v>Ster Nerve Block Ty10cs</v>
          </cell>
          <cell r="H312">
            <v>3</v>
          </cell>
          <cell r="I312">
            <v>40</v>
          </cell>
          <cell r="J312" t="str">
            <v>9627 due 10/28;7494-1 due 11/22;8260-1 due 11/1;</v>
          </cell>
          <cell r="K312">
            <v>43780</v>
          </cell>
          <cell r="L312">
            <v>8</v>
          </cell>
          <cell r="M312">
            <v>0.63492063492063489</v>
          </cell>
        </row>
        <row r="313">
          <cell r="A313" t="str">
            <v>1931350</v>
          </cell>
          <cell r="B313" t="str">
            <v>5685R1</v>
          </cell>
          <cell r="C313" t="str">
            <v>CNV1</v>
          </cell>
          <cell r="D313" t="str">
            <v>X^010^58^68^922^56</v>
          </cell>
          <cell r="E313">
            <v>0</v>
          </cell>
          <cell r="F313" t="str">
            <v>Ster Nerve B/Ty22gx 10/EX</v>
          </cell>
          <cell r="H313">
            <v>3</v>
          </cell>
          <cell r="I313">
            <v>40</v>
          </cell>
          <cell r="J313" t="str">
            <v>1932A due 11/1;2135A due 11/4;</v>
          </cell>
          <cell r="K313">
            <v>43780</v>
          </cell>
          <cell r="L313">
            <v>11</v>
          </cell>
          <cell r="M313">
            <v>0.63492063492063489</v>
          </cell>
        </row>
        <row r="314">
          <cell r="A314" t="str">
            <v>1931359</v>
          </cell>
          <cell r="B314" t="str">
            <v>6133R1</v>
          </cell>
          <cell r="C314" t="str">
            <v>CNV1</v>
          </cell>
          <cell r="D314" t="str">
            <v>X^008^58^68^906^58</v>
          </cell>
          <cell r="E314">
            <v>0</v>
          </cell>
          <cell r="F314" t="str">
            <v>Ster Nerve Block Tray 10c</v>
          </cell>
          <cell r="H314">
            <v>13</v>
          </cell>
          <cell r="I314">
            <v>12</v>
          </cell>
          <cell r="J314" t="str">
            <v>2135A due 11/4</v>
          </cell>
          <cell r="K314">
            <v>43780</v>
          </cell>
          <cell r="L314">
            <v>8</v>
          </cell>
          <cell r="M314">
            <v>8.3333333333333329E-2</v>
          </cell>
        </row>
        <row r="315">
          <cell r="A315" t="str">
            <v>1931364</v>
          </cell>
          <cell r="B315" t="str">
            <v>7110R1</v>
          </cell>
          <cell r="C315" t="str">
            <v>CNV1</v>
          </cell>
          <cell r="D315" t="str">
            <v>X^011^58^68^951^56</v>
          </cell>
          <cell r="E315">
            <v>0</v>
          </cell>
          <cell r="F315" t="str">
            <v>Ster Universal B/T10RX</v>
          </cell>
          <cell r="H315">
            <v>3</v>
          </cell>
          <cell r="I315">
            <v>45</v>
          </cell>
          <cell r="J315" t="str">
            <v>6480H in Q3;6480I in Q3;6710E due 11/20;</v>
          </cell>
          <cell r="K315">
            <v>43747</v>
          </cell>
          <cell r="L315">
            <v>11</v>
          </cell>
          <cell r="M315">
            <v>1</v>
          </cell>
        </row>
        <row r="316">
          <cell r="A316" t="str">
            <v>1931351</v>
          </cell>
          <cell r="B316" t="str">
            <v>7860R2</v>
          </cell>
          <cell r="C316" t="str">
            <v>CNV1</v>
          </cell>
          <cell r="D316" t="str">
            <v>X^011^58^68^951^56</v>
          </cell>
          <cell r="E316">
            <v>0</v>
          </cell>
          <cell r="F316" t="str">
            <v>Ster S/S/Epidural Ty10CRX</v>
          </cell>
          <cell r="H316">
            <v>3</v>
          </cell>
          <cell r="I316">
            <v>10</v>
          </cell>
          <cell r="J316" t="str">
            <v>2100A due 11/8;6480H in Q3;6480I in Q3;6710E due 11/20;7494-1 due 11/22;8262-2 due 10/28;</v>
          </cell>
          <cell r="K316">
            <v>43780</v>
          </cell>
          <cell r="L316">
            <v>11</v>
          </cell>
          <cell r="M316">
            <v>0.22222222222222221</v>
          </cell>
        </row>
        <row r="317">
          <cell r="A317" t="str">
            <v>1931363</v>
          </cell>
          <cell r="B317" t="str">
            <v>8477R2</v>
          </cell>
          <cell r="C317" t="str">
            <v>CNV1</v>
          </cell>
          <cell r="D317" t="str">
            <v>X^009^58^68^901^59</v>
          </cell>
          <cell r="E317">
            <v>0</v>
          </cell>
          <cell r="F317" t="str">
            <v>Ster Unive Pain Tray 10RX</v>
          </cell>
          <cell r="H317">
            <v>3</v>
          </cell>
          <cell r="I317">
            <v>30</v>
          </cell>
          <cell r="J317" t="str">
            <v>6460B due 11/4;6480H in Q3;6480I in Q3;7032-2 due 10/28;</v>
          </cell>
          <cell r="K317">
            <v>43780</v>
          </cell>
          <cell r="L317">
            <v>9</v>
          </cell>
          <cell r="M317">
            <v>0.41666666666666669</v>
          </cell>
        </row>
        <row r="318">
          <cell r="A318" t="str">
            <v>1931352</v>
          </cell>
          <cell r="B318" t="str">
            <v>8488R1</v>
          </cell>
          <cell r="C318" t="str">
            <v>CNV1</v>
          </cell>
          <cell r="D318" t="str">
            <v>X^008^58^68^924^56</v>
          </cell>
          <cell r="E318">
            <v>0</v>
          </cell>
          <cell r="F318" t="str">
            <v>Ster Nerve Block Tray 10c</v>
          </cell>
          <cell r="H318">
            <v>13</v>
          </cell>
          <cell r="I318">
            <v>150</v>
          </cell>
          <cell r="J318" t="str">
            <v>71021 Run 12/2;7494-1 due 11/22;8424D due 12/6;</v>
          </cell>
          <cell r="K318">
            <v>43780</v>
          </cell>
          <cell r="L318">
            <v>8</v>
          </cell>
          <cell r="M318">
            <v>1.5625</v>
          </cell>
        </row>
        <row r="319">
          <cell r="A319" t="str">
            <v>1931357</v>
          </cell>
          <cell r="B319" t="str">
            <v>8561R1</v>
          </cell>
          <cell r="C319" t="str">
            <v>CNV1</v>
          </cell>
          <cell r="D319" t="str">
            <v>X^010^58^68^922^56</v>
          </cell>
          <cell r="E319">
            <v>0</v>
          </cell>
          <cell r="F319" t="str">
            <v>Ster J/Injection Tray10RX</v>
          </cell>
          <cell r="H319">
            <v>3</v>
          </cell>
          <cell r="I319">
            <v>80</v>
          </cell>
          <cell r="J319" t="str">
            <v>6480H in Q3;6480I in Q3;7032A-2 due 10/28;8561A due 11/8;8561B due 11/4;</v>
          </cell>
          <cell r="K319">
            <v>43780</v>
          </cell>
          <cell r="L319">
            <v>10</v>
          </cell>
          <cell r="M319">
            <v>1.2698412698412698</v>
          </cell>
        </row>
        <row r="320">
          <cell r="A320" t="str">
            <v>1931349</v>
          </cell>
          <cell r="B320" t="str">
            <v>B7419</v>
          </cell>
          <cell r="C320" t="str">
            <v>CNV1</v>
          </cell>
          <cell r="D320" t="str">
            <v>X^010^58^68^901^56</v>
          </cell>
          <cell r="E320">
            <v>0</v>
          </cell>
          <cell r="F320" t="str">
            <v>Ster 3.2MM P/I/T/X-LG/G20</v>
          </cell>
          <cell r="H320">
            <v>3</v>
          </cell>
          <cell r="I320">
            <v>25</v>
          </cell>
          <cell r="J320" t="str">
            <v>1954G due 11/18;5423-2 due 11/15;7494-1 due 11/22;7522C due 11/22;7581-1 due 11/14;8260-1 due 11/1;</v>
          </cell>
          <cell r="K320">
            <v>43796</v>
          </cell>
          <cell r="L320">
            <v>10</v>
          </cell>
          <cell r="M320">
            <v>0.55555555555555558</v>
          </cell>
        </row>
        <row r="321">
          <cell r="A321" t="str">
            <v>1931371</v>
          </cell>
          <cell r="B321">
            <v>1091</v>
          </cell>
          <cell r="C321" t="str">
            <v>CNV1</v>
          </cell>
          <cell r="D321" t="str">
            <v>X^011^58^68^922^58</v>
          </cell>
          <cell r="E321">
            <v>0</v>
          </cell>
          <cell r="F321" t="str">
            <v>Ster Lumbar Tray 10cs/RX</v>
          </cell>
          <cell r="H321">
            <v>3</v>
          </cell>
          <cell r="I321">
            <v>32</v>
          </cell>
          <cell r="J321" t="str">
            <v>1878B;2135A due 11/4;6480H in Q3;6480I in Q3;8262-2 due 10/28;</v>
          </cell>
          <cell r="K321">
            <v>43782</v>
          </cell>
          <cell r="L321">
            <v>11</v>
          </cell>
          <cell r="M321">
            <v>0.44444444444444442</v>
          </cell>
        </row>
        <row r="322">
          <cell r="A322" t="str">
            <v>1931372</v>
          </cell>
          <cell r="B322" t="str">
            <v>3887R1</v>
          </cell>
          <cell r="C322" t="str">
            <v>CNV1</v>
          </cell>
          <cell r="D322" t="str">
            <v>X^013^58^68^951^56</v>
          </cell>
          <cell r="E322">
            <v>0</v>
          </cell>
          <cell r="F322" t="str">
            <v>Ster S/S/Epidural Ty 10cs</v>
          </cell>
          <cell r="H322">
            <v>3</v>
          </cell>
          <cell r="I322">
            <v>20</v>
          </cell>
          <cell r="J322" t="str">
            <v>6710E due 11/20;7494-1 due 11/22;</v>
          </cell>
          <cell r="K322">
            <v>43782</v>
          </cell>
          <cell r="L322">
            <v>13</v>
          </cell>
          <cell r="M322">
            <v>0.44444444444444442</v>
          </cell>
        </row>
        <row r="323">
          <cell r="A323" t="str">
            <v>1931373</v>
          </cell>
          <cell r="B323" t="str">
            <v>6543R1</v>
          </cell>
          <cell r="C323" t="str">
            <v>CNV1</v>
          </cell>
          <cell r="D323" t="str">
            <v>X^011^58^68^922^58</v>
          </cell>
          <cell r="E323">
            <v>0</v>
          </cell>
          <cell r="F323" t="str">
            <v>Ster Basic Biop/T10 EX/RX</v>
          </cell>
          <cell r="H323">
            <v>3</v>
          </cell>
          <cell r="I323">
            <v>20</v>
          </cell>
          <cell r="J323" t="str">
            <v>7493 due 11/22;2135A due 11/4;4515B due 11/1;5423-2 due 11/15;6480H in Q3;6480I in Q3;6530E due 11/14;8296-2 due 11/22;8809A due 11/4;</v>
          </cell>
          <cell r="K323">
            <v>43782</v>
          </cell>
          <cell r="L323">
            <v>11</v>
          </cell>
          <cell r="M323">
            <v>0.31746031746031744</v>
          </cell>
        </row>
        <row r="324">
          <cell r="A324" t="str">
            <v>1931375</v>
          </cell>
          <cell r="B324" t="str">
            <v>3325R1</v>
          </cell>
          <cell r="C324" t="str">
            <v>CNV1</v>
          </cell>
          <cell r="D324" t="str">
            <v>X^013^59^71^924^68</v>
          </cell>
          <cell r="E324">
            <v>0</v>
          </cell>
          <cell r="F324" t="str">
            <v>STER SURGICAL Pk 5CS</v>
          </cell>
          <cell r="H324">
            <v>13</v>
          </cell>
          <cell r="I324">
            <v>10</v>
          </cell>
          <cell r="J324" t="str">
            <v>4904 Use 490;71021 Run 12/2;3325B due 11/13;</v>
          </cell>
          <cell r="K324">
            <v>43783</v>
          </cell>
          <cell r="L324">
            <v>13</v>
          </cell>
          <cell r="M324">
            <v>0.25</v>
          </cell>
        </row>
        <row r="325">
          <cell r="A325" t="str">
            <v>1931376</v>
          </cell>
          <cell r="B325" t="str">
            <v>8786R1</v>
          </cell>
          <cell r="C325" t="str">
            <v>CNV1</v>
          </cell>
          <cell r="D325" t="str">
            <v>X^008^58^68^901^56</v>
          </cell>
          <cell r="E325">
            <v>0</v>
          </cell>
          <cell r="F325" t="str">
            <v>Ster Pellet INSERT Ty20cs</v>
          </cell>
          <cell r="H325">
            <v>3</v>
          </cell>
          <cell r="I325">
            <v>10</v>
          </cell>
          <cell r="J325" t="str">
            <v>1954G due 11/18;5423-2 due 11/15;7494-1 due 11/22;7522C due 11/22;7581-1 due 11/14;8243A</v>
          </cell>
          <cell r="K325">
            <v>43783</v>
          </cell>
          <cell r="L325">
            <v>8</v>
          </cell>
          <cell r="M325">
            <v>0.22222222222222221</v>
          </cell>
        </row>
        <row r="326">
          <cell r="A326" t="str">
            <v>1931377</v>
          </cell>
          <cell r="B326" t="str">
            <v>B9175R1</v>
          </cell>
          <cell r="C326" t="str">
            <v>CNV1</v>
          </cell>
          <cell r="D326" t="str">
            <v>X^011^58^68^924^56</v>
          </cell>
          <cell r="E326">
            <v>0</v>
          </cell>
          <cell r="F326" t="str">
            <v>Ster F/SS 3.5mm P/Ins T20</v>
          </cell>
          <cell r="H326">
            <v>3</v>
          </cell>
          <cell r="I326">
            <v>100</v>
          </cell>
          <cell r="J326" t="str">
            <v>9264 due 11/11;71021 Run 12/2;1731C due 11/20;1731D due 11/20;2257A due 11/4;2257B Make in House;2862D due 11/8;5423-2 due 11/15;7494-1 due 11/22;7522C due 11/22;7581-1 due 11/14;8408C Make in House;9175C due 1/6;CS9175A due 11/6;CS9175B due 11/6;</v>
          </cell>
          <cell r="K326">
            <v>43783</v>
          </cell>
          <cell r="L326">
            <v>11</v>
          </cell>
          <cell r="M326">
            <v>2.2222222222222223</v>
          </cell>
        </row>
        <row r="327">
          <cell r="A327" t="str">
            <v>1931378</v>
          </cell>
          <cell r="B327" t="str">
            <v>B9176R1</v>
          </cell>
          <cell r="C327" t="str">
            <v>CNV1</v>
          </cell>
          <cell r="D327" t="str">
            <v>X^011^58^68^924^56</v>
          </cell>
          <cell r="E327">
            <v>0</v>
          </cell>
          <cell r="F327" t="str">
            <v>Ster M/SS 4.5MM P/Ins T20</v>
          </cell>
          <cell r="H327">
            <v>3</v>
          </cell>
          <cell r="I327">
            <v>50</v>
          </cell>
          <cell r="J327" t="str">
            <v>9264 due 11/11;71021 Run 12/2;1731C due 11/20;1731D due 11/20;2257A due 11/4;2257B Make in House;2862D due 11/8;4383D due 11/18;5423-2 due 11/15;7494-1 due 11/22;7522C due 11/22;7581-1 due 11/14;8408B due 11/11;8408C Make in House;9175C due 1/6;CS9176A due 11/8;CS9176B due 11/4;</v>
          </cell>
          <cell r="K327">
            <v>43783</v>
          </cell>
          <cell r="L327">
            <v>11</v>
          </cell>
          <cell r="M327">
            <v>1.1111111111111112</v>
          </cell>
        </row>
        <row r="328">
          <cell r="A328" t="str">
            <v>1931379</v>
          </cell>
          <cell r="B328" t="str">
            <v>3292R1</v>
          </cell>
          <cell r="C328" t="str">
            <v>CNV1</v>
          </cell>
          <cell r="D328" t="str">
            <v>X^020^30^50^908^85</v>
          </cell>
          <cell r="E328">
            <v>0</v>
          </cell>
          <cell r="F328" t="str">
            <v>Ster Angiogram Ty5cs EX</v>
          </cell>
          <cell r="H328">
            <v>3</v>
          </cell>
          <cell r="I328">
            <v>18</v>
          </cell>
          <cell r="J328" t="str">
            <v>4904 Use 490;1922N due 11/24;2764A-1;3292D-1 due 11/22;3292G-1 due 11/13;3292I due 11/13;3292K due 11/22;3292L due 11/13;3292N;5317L-1 due 10/31;7526L due 10/24;7542N due 11/29;7581-1 due 11/14;8260-1 due 11/1;8756A-1 due 11/15;9732-1 due 11/8;THIS KIT REQUIRES EXTRA AERATION</v>
          </cell>
          <cell r="K328">
            <v>43818</v>
          </cell>
          <cell r="L328">
            <v>20</v>
          </cell>
          <cell r="M328">
            <v>3</v>
          </cell>
        </row>
        <row r="329">
          <cell r="A329" t="str">
            <v>1931382</v>
          </cell>
          <cell r="B329">
            <v>747</v>
          </cell>
          <cell r="C329" t="str">
            <v>CNV1</v>
          </cell>
          <cell r="D329" t="str">
            <v>X^008^58^68^924^54</v>
          </cell>
          <cell r="E329">
            <v>0</v>
          </cell>
          <cell r="F329" t="str">
            <v>Ster Suturing Tray/20</v>
          </cell>
          <cell r="H329">
            <v>13</v>
          </cell>
          <cell r="I329">
            <v>135</v>
          </cell>
          <cell r="J329" t="str">
            <v>9264;71021 Run 12/3;1922SFN due 11/29;7032-2 due 10/28;7470A due 10/31;7573SFN due 10/31;8261-2 due 10/28;8424D due 12/6;</v>
          </cell>
          <cell r="K329">
            <v>43817</v>
          </cell>
          <cell r="L329">
            <v>8</v>
          </cell>
          <cell r="M329">
            <v>3</v>
          </cell>
        </row>
        <row r="330">
          <cell r="A330" t="str">
            <v>1931381</v>
          </cell>
          <cell r="B330">
            <v>749</v>
          </cell>
          <cell r="C330" t="str">
            <v>CNV1</v>
          </cell>
          <cell r="D330" t="str">
            <v>X^010^58^68^924^54</v>
          </cell>
          <cell r="E330">
            <v>0</v>
          </cell>
          <cell r="F330" t="str">
            <v>Ster E.R.Laceration Ty 20</v>
          </cell>
          <cell r="H330">
            <v>13</v>
          </cell>
          <cell r="I330">
            <v>135</v>
          </cell>
          <cell r="J330" t="str">
            <v>7493 due 11/22;9264 due 11/11;71021 Run 12/3;1922N due 11/24;5317L-1 due 10/31;7032A-2 due 10/28;7494-1 due 11/22;7526L due 11/24;7573L due 10/31;8261-2 due 10/28;8424D due 12/6;</v>
          </cell>
          <cell r="K330">
            <v>43808</v>
          </cell>
          <cell r="L330">
            <v>10</v>
          </cell>
          <cell r="M330">
            <v>3</v>
          </cell>
        </row>
        <row r="331">
          <cell r="A331" t="str">
            <v>1931380</v>
          </cell>
          <cell r="B331" t="str">
            <v>7111R1</v>
          </cell>
          <cell r="C331" t="str">
            <v>CNV1</v>
          </cell>
          <cell r="D331" t="str">
            <v>X^013^58^68^922^56</v>
          </cell>
          <cell r="E331">
            <v>0</v>
          </cell>
          <cell r="F331" t="str">
            <v>Ster S/S/Epid/Ty/10cRX</v>
          </cell>
          <cell r="H331">
            <v>3</v>
          </cell>
          <cell r="I331">
            <v>12</v>
          </cell>
          <cell r="J331" t="str">
            <v>6480H in Q3;6480I in Q3;6710E due 11/20;</v>
          </cell>
          <cell r="K331">
            <v>43815</v>
          </cell>
          <cell r="L331">
            <v>13</v>
          </cell>
          <cell r="M331">
            <v>0.26666666666666666</v>
          </cell>
        </row>
        <row r="332">
          <cell r="A332" t="str">
            <v>1931398</v>
          </cell>
          <cell r="B332">
            <v>1003</v>
          </cell>
          <cell r="C332" t="str">
            <v>CNV1</v>
          </cell>
          <cell r="D332" t="str">
            <v>X^013^32^53^953^62</v>
          </cell>
          <cell r="E332">
            <v>0</v>
          </cell>
          <cell r="F332" t="str">
            <v>Ster Dr.Murphy Epi/Ty10RX</v>
          </cell>
          <cell r="H332">
            <v>3</v>
          </cell>
          <cell r="I332">
            <v>10</v>
          </cell>
          <cell r="J332" t="str">
            <v>71021 Run 12/3;6480H in Q3;6480I in Q3;6710E due 11/20;8329A;8436D due 12/6;</v>
          </cell>
          <cell r="K332">
            <v>43787</v>
          </cell>
          <cell r="L332">
            <v>13</v>
          </cell>
          <cell r="M332">
            <v>0.20833333333333334</v>
          </cell>
        </row>
        <row r="333">
          <cell r="A333" t="str">
            <v>1931399</v>
          </cell>
          <cell r="B333">
            <v>3661</v>
          </cell>
          <cell r="C333" t="str">
            <v>CNV1</v>
          </cell>
          <cell r="D333" t="str">
            <v>X^012^32^53^953^57</v>
          </cell>
          <cell r="E333">
            <v>0</v>
          </cell>
          <cell r="F333" t="str">
            <v>Ster Epidural Tray 10csRX</v>
          </cell>
          <cell r="H333">
            <v>3</v>
          </cell>
          <cell r="I333">
            <v>15</v>
          </cell>
          <cell r="J333" t="str">
            <v>71021 Run 12/3;6480H in Q3;6480I in Q3;6710E due 11/20;7494-1 due 11/22;8329A</v>
          </cell>
          <cell r="K333">
            <v>43787</v>
          </cell>
          <cell r="L333">
            <v>12</v>
          </cell>
          <cell r="M333">
            <v>0.3125</v>
          </cell>
        </row>
        <row r="334">
          <cell r="A334" t="str">
            <v>1931386</v>
          </cell>
          <cell r="B334">
            <v>5392</v>
          </cell>
          <cell r="C334" t="str">
            <v>CNV1</v>
          </cell>
          <cell r="D334" t="str">
            <v>X^008^58^68^924^56</v>
          </cell>
          <cell r="E334">
            <v>0</v>
          </cell>
          <cell r="F334" t="str">
            <v>Sterile Facet Tray 10cEX</v>
          </cell>
          <cell r="H334">
            <v>3</v>
          </cell>
          <cell r="I334">
            <v>12</v>
          </cell>
          <cell r="J334" t="str">
            <v>71021 Run 12/3;1932A due 11/1;7032-2 due 10/28;</v>
          </cell>
          <cell r="K334">
            <v>43787</v>
          </cell>
          <cell r="L334">
            <v>8</v>
          </cell>
          <cell r="M334">
            <v>0.16666666666666666</v>
          </cell>
        </row>
        <row r="335">
          <cell r="A335" t="str">
            <v>1931401</v>
          </cell>
          <cell r="B335">
            <v>7040</v>
          </cell>
          <cell r="C335" t="str">
            <v>CNV1</v>
          </cell>
          <cell r="D335" t="str">
            <v>X^012^32^53^953^62</v>
          </cell>
          <cell r="E335">
            <v>0</v>
          </cell>
          <cell r="F335" t="str">
            <v>Ster Nerve Block Ty 10cRX</v>
          </cell>
          <cell r="H335">
            <v>3</v>
          </cell>
          <cell r="I335">
            <v>25</v>
          </cell>
          <cell r="J335" t="str">
            <v>71021 Run 12/3;6480H in Q3;6480I in Q3;6710E due 11/20;7494-1 due 11/22;8329A;8436D due 12/6;</v>
          </cell>
          <cell r="K335">
            <v>43787</v>
          </cell>
          <cell r="L335">
            <v>12</v>
          </cell>
          <cell r="M335">
            <v>0.52083333333333337</v>
          </cell>
        </row>
        <row r="336">
          <cell r="A336" t="str">
            <v>1931402</v>
          </cell>
          <cell r="B336">
            <v>7637</v>
          </cell>
          <cell r="C336" t="str">
            <v>CNV1</v>
          </cell>
          <cell r="D336" t="str">
            <v>X^007^58^68^901^56</v>
          </cell>
          <cell r="E336">
            <v>0</v>
          </cell>
          <cell r="F336" t="str">
            <v>Ster Pump Refill Kit 10cs</v>
          </cell>
          <cell r="H336">
            <v>3</v>
          </cell>
          <cell r="I336">
            <v>30</v>
          </cell>
          <cell r="J336" t="str">
            <v>7937B due 10/30;8260-1 due 11/1;</v>
          </cell>
          <cell r="K336">
            <v>43787</v>
          </cell>
          <cell r="L336">
            <v>7</v>
          </cell>
          <cell r="M336">
            <v>0.41666666666666669</v>
          </cell>
        </row>
        <row r="337">
          <cell r="A337" t="str">
            <v>1931394</v>
          </cell>
          <cell r="B337">
            <v>7664</v>
          </cell>
          <cell r="C337" t="str">
            <v>CNV1</v>
          </cell>
          <cell r="D337" t="str">
            <v>X^009^58^68^922^71</v>
          </cell>
          <cell r="E337">
            <v>0</v>
          </cell>
          <cell r="F337" t="str">
            <v>Ster Epidural Tray 10CS</v>
          </cell>
          <cell r="H337">
            <v>13</v>
          </cell>
          <cell r="I337">
            <v>45</v>
          </cell>
          <cell r="J337" t="str">
            <v>1756A;1884B;6730B Run 10/31;8262-2 due 10/28;8809A due 11/4;</v>
          </cell>
          <cell r="K337">
            <v>43787</v>
          </cell>
          <cell r="L337">
            <v>9</v>
          </cell>
          <cell r="M337">
            <v>0.7142857142857143</v>
          </cell>
        </row>
        <row r="338">
          <cell r="A338" t="str">
            <v>1931383</v>
          </cell>
          <cell r="B338">
            <v>8413</v>
          </cell>
          <cell r="C338" t="str">
            <v>CNV1</v>
          </cell>
          <cell r="D338" t="str">
            <v>X^010^58^68^951^59</v>
          </cell>
          <cell r="E338">
            <v>0</v>
          </cell>
          <cell r="F338" t="str">
            <v>Ster P/Management Ty10/RX</v>
          </cell>
          <cell r="H338">
            <v>3</v>
          </cell>
          <cell r="I338">
            <v>20</v>
          </cell>
          <cell r="J338" t="str">
            <v>6460B due 11/4;6480H in Q3;6480I in Q3;</v>
          </cell>
          <cell r="K338">
            <v>43787</v>
          </cell>
          <cell r="L338">
            <v>10</v>
          </cell>
          <cell r="M338">
            <v>0.27777777777777779</v>
          </cell>
        </row>
        <row r="339">
          <cell r="A339" t="str">
            <v>1931397</v>
          </cell>
          <cell r="B339">
            <v>8660</v>
          </cell>
          <cell r="C339" t="str">
            <v>CNV1</v>
          </cell>
          <cell r="D339" t="str">
            <v>X^008^58^68^924^56</v>
          </cell>
          <cell r="E339">
            <v>0</v>
          </cell>
          <cell r="F339" t="str">
            <v>DR.Gage sterile Pain Ty20</v>
          </cell>
          <cell r="H339">
            <v>13</v>
          </cell>
          <cell r="I339">
            <v>12</v>
          </cell>
          <cell r="J339" t="str">
            <v>71021 Run 12/3</v>
          </cell>
          <cell r="K339">
            <v>43787</v>
          </cell>
          <cell r="L339">
            <v>8</v>
          </cell>
          <cell r="M339">
            <v>0.21428571428571427</v>
          </cell>
        </row>
        <row r="340">
          <cell r="A340" t="str">
            <v>1931393</v>
          </cell>
          <cell r="B340">
            <v>9048</v>
          </cell>
          <cell r="C340" t="str">
            <v>CNV1</v>
          </cell>
          <cell r="D340" t="str">
            <v>X^011^58^68^951^56</v>
          </cell>
          <cell r="E340">
            <v>0</v>
          </cell>
          <cell r="F340" t="str">
            <v>Ster Nerve Block Ty 10RX</v>
          </cell>
          <cell r="H340">
            <v>3</v>
          </cell>
          <cell r="I340">
            <v>10</v>
          </cell>
          <cell r="J340" t="str">
            <v>6480H in Q3;6480I in Q3;6710E due 11/20;</v>
          </cell>
          <cell r="K340">
            <v>43787</v>
          </cell>
          <cell r="L340">
            <v>11</v>
          </cell>
          <cell r="M340">
            <v>0.15873015873015872</v>
          </cell>
        </row>
        <row r="341">
          <cell r="A341" t="str">
            <v>1931389</v>
          </cell>
          <cell r="B341">
            <v>9118</v>
          </cell>
          <cell r="C341" t="str">
            <v>CNV1</v>
          </cell>
          <cell r="D341" t="str">
            <v>X^010^58^68^954^56</v>
          </cell>
          <cell r="E341">
            <v>0</v>
          </cell>
          <cell r="F341" t="str">
            <v>Ster Nerve Block Tray 10</v>
          </cell>
          <cell r="H341">
            <v>3</v>
          </cell>
          <cell r="I341">
            <v>60</v>
          </cell>
          <cell r="J341" t="str">
            <v>71021 Run 12/3;6710E due 11/20;7563-2 due 10/28;</v>
          </cell>
          <cell r="K341">
            <v>43787</v>
          </cell>
          <cell r="L341">
            <v>10</v>
          </cell>
          <cell r="M341">
            <v>1.25</v>
          </cell>
        </row>
        <row r="342">
          <cell r="A342" t="str">
            <v>1931390</v>
          </cell>
          <cell r="B342">
            <v>9882</v>
          </cell>
          <cell r="C342" t="str">
            <v>CNV1</v>
          </cell>
          <cell r="D342" t="str">
            <v>X^010^58^68^906^56</v>
          </cell>
          <cell r="E342">
            <v>0</v>
          </cell>
          <cell r="F342" t="str">
            <v>Ster MBB Tray 10/CS RX</v>
          </cell>
          <cell r="H342">
            <v>3</v>
          </cell>
          <cell r="I342">
            <v>20</v>
          </cell>
          <cell r="J342" t="str">
            <v>1878B;7563-2 due 10/28;9882A</v>
          </cell>
          <cell r="K342">
            <v>43787</v>
          </cell>
          <cell r="L342">
            <v>10</v>
          </cell>
          <cell r="M342">
            <v>0.3125</v>
          </cell>
        </row>
        <row r="343">
          <cell r="A343" t="str">
            <v>1931395</v>
          </cell>
          <cell r="B343" t="str">
            <v>2740R2</v>
          </cell>
          <cell r="C343" t="str">
            <v>CNV1</v>
          </cell>
          <cell r="D343" t="str">
            <v>X^008^58^68^922^56</v>
          </cell>
          <cell r="E343">
            <v>0</v>
          </cell>
          <cell r="F343" t="str">
            <v>Ster Nerve Block Ty10cs</v>
          </cell>
          <cell r="H343">
            <v>3</v>
          </cell>
          <cell r="I343">
            <v>20</v>
          </cell>
          <cell r="J343" t="str">
            <v>9627 due 10/28;6730B Run 10/31;7494-1 due 11/22;8260-1 due 11/1;</v>
          </cell>
          <cell r="K343">
            <v>43787</v>
          </cell>
          <cell r="L343">
            <v>8</v>
          </cell>
          <cell r="M343">
            <v>0.31746031746031744</v>
          </cell>
        </row>
        <row r="344">
          <cell r="A344" t="str">
            <v>1931391</v>
          </cell>
          <cell r="B344" t="str">
            <v>5651R2</v>
          </cell>
          <cell r="C344" t="str">
            <v>CNV1</v>
          </cell>
          <cell r="D344" t="str">
            <v>X^017^33^54^904^68</v>
          </cell>
          <cell r="E344">
            <v>0</v>
          </cell>
          <cell r="F344" t="str">
            <v>Sterile Breast Pack 3/cs</v>
          </cell>
          <cell r="H344">
            <v>13</v>
          </cell>
          <cell r="I344">
            <v>20</v>
          </cell>
          <cell r="J344" t="str">
            <v>9627 due 10/28;1110A Reject;1561A-1;2541D;3141G;5406C-1;5651C;5651D Make in House;8756A-1THIS KIT REQUIRES EXTRA AERATION</v>
          </cell>
          <cell r="K344">
            <v>43787</v>
          </cell>
          <cell r="L344">
            <v>17</v>
          </cell>
          <cell r="M344">
            <v>0.83333333333333337</v>
          </cell>
        </row>
        <row r="345">
          <cell r="A345" t="str">
            <v>1931392</v>
          </cell>
          <cell r="B345" t="str">
            <v>6183R1</v>
          </cell>
          <cell r="C345" t="str">
            <v>CNV1</v>
          </cell>
          <cell r="D345" t="str">
            <v>X^009^58^68^924^58</v>
          </cell>
          <cell r="E345">
            <v>0</v>
          </cell>
          <cell r="F345" t="str">
            <v>Ster S/S/Epidural Tray10c</v>
          </cell>
          <cell r="H345">
            <v>3</v>
          </cell>
          <cell r="I345">
            <v>40</v>
          </cell>
          <cell r="J345" t="str">
            <v>71021 Run 12/3;1878A;1878B;2135A due 11/4;</v>
          </cell>
          <cell r="K345">
            <v>43787</v>
          </cell>
          <cell r="L345">
            <v>9</v>
          </cell>
          <cell r="M345">
            <v>0.88888888888888884</v>
          </cell>
        </row>
        <row r="346">
          <cell r="A346" t="str">
            <v>1931400</v>
          </cell>
          <cell r="B346" t="str">
            <v>6294R1</v>
          </cell>
          <cell r="C346" t="str">
            <v>CNV1</v>
          </cell>
          <cell r="D346" t="str">
            <v>X^010^58^68^951^58</v>
          </cell>
          <cell r="E346">
            <v>0</v>
          </cell>
          <cell r="F346" t="str">
            <v>Ster Nerve Block Ty 10/RX</v>
          </cell>
          <cell r="H346">
            <v>3</v>
          </cell>
          <cell r="I346">
            <v>12</v>
          </cell>
          <cell r="J346" t="str">
            <v>2135A due 11/4;6480H in Q3;6480I in Q3;6710E due 11/20;6730B Run 10/31;7032A-2 due 10/28;</v>
          </cell>
          <cell r="K346">
            <v>43787</v>
          </cell>
          <cell r="L346">
            <v>10</v>
          </cell>
          <cell r="M346">
            <v>0.26666666666666666</v>
          </cell>
        </row>
        <row r="347">
          <cell r="A347" t="str">
            <v>1931387</v>
          </cell>
          <cell r="B347" t="str">
            <v>7883R1</v>
          </cell>
          <cell r="C347" t="str">
            <v>CNV1</v>
          </cell>
          <cell r="D347" t="str">
            <v>X^010^58^68^951^56</v>
          </cell>
          <cell r="E347">
            <v>0</v>
          </cell>
          <cell r="F347" t="str">
            <v>Ster Transform/Tray 10cs</v>
          </cell>
          <cell r="H347">
            <v>3</v>
          </cell>
          <cell r="I347">
            <v>10</v>
          </cell>
          <cell r="J347" t="str">
            <v>6710E due 11/20;7494-1 due 11/22;</v>
          </cell>
          <cell r="K347">
            <v>43787</v>
          </cell>
          <cell r="L347">
            <v>10</v>
          </cell>
          <cell r="M347">
            <v>0.1388888888888889</v>
          </cell>
        </row>
        <row r="348">
          <cell r="A348" t="str">
            <v>1931396</v>
          </cell>
          <cell r="B348" t="str">
            <v>8499R1</v>
          </cell>
          <cell r="C348" t="str">
            <v>CNV1</v>
          </cell>
          <cell r="D348" t="str">
            <v>X^009^58^68^902^56</v>
          </cell>
          <cell r="E348">
            <v>0</v>
          </cell>
          <cell r="F348" t="str">
            <v>STERILE PAIN TRAY 20/CS</v>
          </cell>
          <cell r="H348">
            <v>13</v>
          </cell>
          <cell r="I348">
            <v>12</v>
          </cell>
          <cell r="K348">
            <v>43787</v>
          </cell>
          <cell r="L348">
            <v>9</v>
          </cell>
          <cell r="M348">
            <v>0.21428571428571427</v>
          </cell>
        </row>
        <row r="349">
          <cell r="A349" t="str">
            <v>1931384</v>
          </cell>
          <cell r="B349" t="str">
            <v>8600R1</v>
          </cell>
          <cell r="C349" t="str">
            <v>CNV1</v>
          </cell>
          <cell r="D349" t="str">
            <v>X^011^58^68^922^56</v>
          </cell>
          <cell r="E349">
            <v>0</v>
          </cell>
          <cell r="F349" t="str">
            <v>Ster C/Epid/Anest T10/RX</v>
          </cell>
          <cell r="H349">
            <v>3</v>
          </cell>
          <cell r="I349">
            <v>15</v>
          </cell>
          <cell r="J349" t="str">
            <v>5940A-1 due 10/31;6880S due 10/30;</v>
          </cell>
          <cell r="K349">
            <v>43787</v>
          </cell>
          <cell r="L349">
            <v>11</v>
          </cell>
          <cell r="M349">
            <v>0.23809523809523808</v>
          </cell>
        </row>
        <row r="350">
          <cell r="A350" t="str">
            <v>1931388</v>
          </cell>
          <cell r="B350" t="str">
            <v>9074R1</v>
          </cell>
          <cell r="C350" t="str">
            <v>CNV1</v>
          </cell>
          <cell r="D350" t="str">
            <v>X^009^58^68^924^56</v>
          </cell>
          <cell r="E350">
            <v>0</v>
          </cell>
          <cell r="F350" t="str">
            <v>Ster Set Up Tray 10/cs</v>
          </cell>
          <cell r="H350">
            <v>13</v>
          </cell>
          <cell r="I350">
            <v>500</v>
          </cell>
          <cell r="J350" t="str">
            <v>71021 Run 12/3;1593A;6821A</v>
          </cell>
          <cell r="K350">
            <v>43787</v>
          </cell>
          <cell r="L350">
            <v>9</v>
          </cell>
          <cell r="M350">
            <v>11.111111111111111</v>
          </cell>
        </row>
        <row r="351">
          <cell r="A351" t="str">
            <v>1931385</v>
          </cell>
          <cell r="B351" t="str">
            <v>9387R1</v>
          </cell>
          <cell r="C351" t="str">
            <v>CNV1</v>
          </cell>
          <cell r="D351" t="str">
            <v>X^008^59^71^909^62</v>
          </cell>
          <cell r="E351">
            <v>0</v>
          </cell>
          <cell r="F351" t="str">
            <v>Ster Hystero Tray 5/cs</v>
          </cell>
          <cell r="H351">
            <v>3</v>
          </cell>
          <cell r="I351">
            <v>16</v>
          </cell>
          <cell r="J351" t="str">
            <v>4000 due 10/24;1108A Hold;7032A-2 due 10/28;8436D due 12/6;9387A</v>
          </cell>
          <cell r="K351">
            <v>43787</v>
          </cell>
          <cell r="L351">
            <v>8</v>
          </cell>
          <cell r="M351">
            <v>0.35555555555555557</v>
          </cell>
        </row>
        <row r="352">
          <cell r="A352" t="str">
            <v>1931405</v>
          </cell>
          <cell r="B352">
            <v>3398</v>
          </cell>
          <cell r="C352" t="str">
            <v>CNV1</v>
          </cell>
          <cell r="D352" t="str">
            <v>X^010^58^68^951^56</v>
          </cell>
          <cell r="E352">
            <v>0</v>
          </cell>
          <cell r="F352" t="str">
            <v>Ster S/S/Epidural Tray10c</v>
          </cell>
          <cell r="H352">
            <v>13</v>
          </cell>
          <cell r="I352">
            <v>20</v>
          </cell>
          <cell r="J352" t="str">
            <v>6730B Run 10/31;7032-2 due 10/28;7494-1 due 11/22;</v>
          </cell>
          <cell r="K352">
            <v>43787</v>
          </cell>
          <cell r="L352">
            <v>10</v>
          </cell>
          <cell r="M352">
            <v>0.44444444444444442</v>
          </cell>
        </row>
        <row r="353">
          <cell r="A353" t="str">
            <v>1931408</v>
          </cell>
          <cell r="B353">
            <v>5304</v>
          </cell>
          <cell r="C353" t="str">
            <v>CNV1</v>
          </cell>
          <cell r="D353" t="str">
            <v>X^009^58^68^910^58</v>
          </cell>
          <cell r="E353">
            <v>0</v>
          </cell>
          <cell r="F353" t="str">
            <v>Ster Winston Bone/O/Ty10c</v>
          </cell>
          <cell r="H353">
            <v>13</v>
          </cell>
          <cell r="I353">
            <v>10</v>
          </cell>
          <cell r="J353" t="str">
            <v>2135A due 11/4;5304A Run Out (1/cs Short);6880S due 10/30;7494-1 due 11/22;</v>
          </cell>
          <cell r="K353">
            <v>43787</v>
          </cell>
          <cell r="L353">
            <v>9</v>
          </cell>
          <cell r="M353">
            <v>0.15873015873015872</v>
          </cell>
        </row>
        <row r="354">
          <cell r="A354" t="str">
            <v>1931404</v>
          </cell>
          <cell r="B354">
            <v>6343</v>
          </cell>
          <cell r="C354" t="str">
            <v>CNV1</v>
          </cell>
          <cell r="D354" t="str">
            <v>X^011^58^68^951^58</v>
          </cell>
          <cell r="E354">
            <v>0</v>
          </cell>
          <cell r="F354" t="str">
            <v>Ster P/Support Lumbar/T10</v>
          </cell>
          <cell r="H354">
            <v>3</v>
          </cell>
          <cell r="I354">
            <v>25</v>
          </cell>
          <cell r="J354" t="str">
            <v>2135A due 11/4;6710E due 11/20;6730B Run 10/31;8262-2 due 10/28;</v>
          </cell>
          <cell r="K354">
            <v>43787</v>
          </cell>
          <cell r="L354">
            <v>11</v>
          </cell>
          <cell r="M354">
            <v>0.55555555555555558</v>
          </cell>
        </row>
        <row r="355">
          <cell r="A355" t="str">
            <v>1931403</v>
          </cell>
          <cell r="B355" t="str">
            <v>1668R1</v>
          </cell>
          <cell r="C355" t="str">
            <v>CNV1</v>
          </cell>
          <cell r="D355" t="str">
            <v>X^006^58^68^928^54</v>
          </cell>
          <cell r="E355">
            <v>0</v>
          </cell>
          <cell r="F355" t="str">
            <v>Ster Suturing Tray/20cs</v>
          </cell>
          <cell r="H355">
            <v>13</v>
          </cell>
          <cell r="I355">
            <v>12</v>
          </cell>
          <cell r="J355" t="str">
            <v>9264;8424D due 12/6;</v>
          </cell>
          <cell r="K355">
            <v>43787</v>
          </cell>
          <cell r="L355">
            <v>6</v>
          </cell>
          <cell r="M355">
            <v>0.26666666666666666</v>
          </cell>
        </row>
        <row r="356">
          <cell r="A356" t="str">
            <v>1931406</v>
          </cell>
          <cell r="B356" t="str">
            <v>9498R1</v>
          </cell>
          <cell r="C356" t="str">
            <v>CNV1</v>
          </cell>
          <cell r="D356" t="str">
            <v>X^012^58^68^951^59</v>
          </cell>
          <cell r="E356">
            <v>0</v>
          </cell>
          <cell r="F356" t="str">
            <v>Ster S/S Epidural Ty10/RX</v>
          </cell>
          <cell r="H356">
            <v>3</v>
          </cell>
          <cell r="I356">
            <v>24</v>
          </cell>
          <cell r="J356" t="str">
            <v>6460B due 11/4;6480H in Q3;6480I in Q3;6710E due 11/20;6730B Run 10/31;</v>
          </cell>
          <cell r="K356">
            <v>43787</v>
          </cell>
          <cell r="L356">
            <v>12</v>
          </cell>
          <cell r="M356">
            <v>0.53333333333333333</v>
          </cell>
        </row>
        <row r="357">
          <cell r="A357" t="str">
            <v>1931407</v>
          </cell>
          <cell r="B357" t="str">
            <v>9559R1</v>
          </cell>
          <cell r="C357" t="str">
            <v>CNV1</v>
          </cell>
          <cell r="D357" t="str">
            <v>X^010^58^68^951^59</v>
          </cell>
          <cell r="E357">
            <v>0</v>
          </cell>
          <cell r="F357" t="str">
            <v>Ster Support Tray 10/cs</v>
          </cell>
          <cell r="H357">
            <v>3</v>
          </cell>
          <cell r="I357">
            <v>28</v>
          </cell>
          <cell r="J357" t="str">
            <v>2862C due 11/8;6460B due 11/4;6710E due 11/20;6730B Run 10/31;8262-2 due 10/28;</v>
          </cell>
          <cell r="K357">
            <v>43787</v>
          </cell>
          <cell r="L357">
            <v>10</v>
          </cell>
          <cell r="M357">
            <v>0.62222222222222223</v>
          </cell>
        </row>
        <row r="365">
          <cell r="F365" t="str">
            <v>Run 2nd</v>
          </cell>
        </row>
        <row r="367">
          <cell r="A367" t="str">
            <v>1910394W</v>
          </cell>
          <cell r="B367" t="str">
            <v>W651B</v>
          </cell>
          <cell r="C367" t="str">
            <v>CNV2^MULTI</v>
          </cell>
          <cell r="D367" t="str">
            <v>W^010^00^00^915^59</v>
          </cell>
          <cell r="F367" t="str">
            <v>Ster Basic Biopsy Ty 10c</v>
          </cell>
          <cell r="H367" t="str">
            <v>NON</v>
          </cell>
          <cell r="I367">
            <v>1510</v>
          </cell>
          <cell r="J367" t="str">
            <v>EXPORT ORDER ;EXTRA CASE INCLUDED FOR PYROGEN TESTING</v>
          </cell>
          <cell r="K367">
            <v>43767.584467435481</v>
          </cell>
          <cell r="L367">
            <v>10</v>
          </cell>
        </row>
        <row r="369">
          <cell r="A369" t="str">
            <v>1920876W</v>
          </cell>
          <cell r="B369" t="str">
            <v>WPPCD655</v>
          </cell>
          <cell r="C369" t="str">
            <v>CNV2^DV1</v>
          </cell>
          <cell r="D369" t="str">
            <v>W^009^00^00^950^56</v>
          </cell>
          <cell r="F369" t="str">
            <v>S/PYROGEN P/C/D/BONE/M/10</v>
          </cell>
          <cell r="H369" t="str">
            <v>NON</v>
          </cell>
          <cell r="I369">
            <v>10</v>
          </cell>
          <cell r="J369" t="str">
            <v>6520G-1 Reject</v>
          </cell>
          <cell r="K369">
            <v>43767.272731481484</v>
          </cell>
          <cell r="L369">
            <v>9</v>
          </cell>
        </row>
        <row r="370">
          <cell r="A370" t="str">
            <v>1920868W</v>
          </cell>
          <cell r="B370" t="str">
            <v>W652</v>
          </cell>
          <cell r="C370" t="str">
            <v>CNV2^DV1</v>
          </cell>
          <cell r="D370" t="str">
            <v>W^013^00^00^950^56</v>
          </cell>
          <cell r="F370" t="str">
            <v>SterBoneBiopsy w/I&amp;J/10RX</v>
          </cell>
          <cell r="H370" t="str">
            <v>NON</v>
          </cell>
          <cell r="I370">
            <v>560</v>
          </cell>
          <cell r="J370" t="str">
            <v>4255D-2 due 10/25;6300A Make in House</v>
          </cell>
          <cell r="K370">
            <v>43767.27288773148</v>
          </cell>
          <cell r="L370">
            <v>13</v>
          </cell>
        </row>
        <row r="371">
          <cell r="A371" t="str">
            <v>1920869W</v>
          </cell>
          <cell r="B371" t="str">
            <v>W653</v>
          </cell>
          <cell r="C371" t="str">
            <v>CNV2^DV1</v>
          </cell>
          <cell r="D371" t="str">
            <v>W^013^00^00^950^56</v>
          </cell>
          <cell r="F371" t="str">
            <v>SterBoneBiopsyJStyle10 RX</v>
          </cell>
          <cell r="H371" t="str">
            <v>NON</v>
          </cell>
          <cell r="I371">
            <v>150</v>
          </cell>
          <cell r="J371" t="str">
            <v>4255D-2 due 10/25;6300A Make in House;6520G-1 Reject</v>
          </cell>
          <cell r="K371">
            <v>43767.355919132446</v>
          </cell>
          <cell r="L371">
            <v>13</v>
          </cell>
        </row>
        <row r="373">
          <cell r="A373" t="str">
            <v>1910392W</v>
          </cell>
          <cell r="B373" t="str">
            <v>WPPCD645</v>
          </cell>
          <cell r="C373" t="str">
            <v>CNV2^MULTI</v>
          </cell>
          <cell r="D373" t="str">
            <v>W^008^00^00^913^59</v>
          </cell>
          <cell r="F373" t="str">
            <v>S/PYROGEN PROCESS C/D/LUM</v>
          </cell>
          <cell r="H373" t="str">
            <v>NON</v>
          </cell>
          <cell r="I373">
            <v>10</v>
          </cell>
          <cell r="J373" t="str">
            <v>7493 due 10/30</v>
          </cell>
          <cell r="K373">
            <v>43780.275862268514</v>
          </cell>
          <cell r="L373">
            <v>8</v>
          </cell>
        </row>
        <row r="374">
          <cell r="A374" t="str">
            <v>1910391W</v>
          </cell>
          <cell r="B374" t="str">
            <v>W646</v>
          </cell>
          <cell r="C374" t="str">
            <v>CNV2^MULTI</v>
          </cell>
          <cell r="D374" t="str">
            <v>W^008^00^00^913^59</v>
          </cell>
          <cell r="F374" t="str">
            <v>SterPedLumbr w/oMan/10 RX</v>
          </cell>
          <cell r="H374" t="str">
            <v>NON</v>
          </cell>
          <cell r="I374">
            <v>150</v>
          </cell>
          <cell r="J374" t="str">
            <v>7493 due 10/30</v>
          </cell>
          <cell r="K374">
            <v>43780.275862268514</v>
          </cell>
          <cell r="L374">
            <v>8</v>
          </cell>
        </row>
        <row r="375">
          <cell r="A375" t="str">
            <v>1910389W</v>
          </cell>
          <cell r="B375" t="str">
            <v>W648</v>
          </cell>
          <cell r="C375" t="str">
            <v>CNV2^MULTI</v>
          </cell>
          <cell r="D375" t="str">
            <v>W^010^00^00^913^59</v>
          </cell>
          <cell r="F375" t="str">
            <v>SterLumbrTray w/20g/10 RX</v>
          </cell>
          <cell r="H375" t="str">
            <v>NON</v>
          </cell>
          <cell r="I375">
            <v>1350</v>
          </cell>
          <cell r="J375" t="str">
            <v>7493 due 10/30</v>
          </cell>
          <cell r="K375">
            <v>43780.30622574369</v>
          </cell>
          <cell r="L375">
            <v>10</v>
          </cell>
        </row>
        <row r="376">
          <cell r="A376" t="str">
            <v>1910404W</v>
          </cell>
          <cell r="B376" t="str">
            <v>W647</v>
          </cell>
          <cell r="C376" t="str">
            <v>CNV2^MULTI</v>
          </cell>
          <cell r="D376" t="str">
            <v>W^010^00^00^913^59</v>
          </cell>
          <cell r="F376" t="str">
            <v>SterLumbrTray w/18g/10 RX</v>
          </cell>
          <cell r="H376" t="str">
            <v>NON</v>
          </cell>
          <cell r="I376">
            <v>150</v>
          </cell>
          <cell r="J376" t="str">
            <v>7493 due 10/30</v>
          </cell>
          <cell r="K376">
            <v>43780.470051501266</v>
          </cell>
          <cell r="L376">
            <v>10</v>
          </cell>
        </row>
        <row r="377">
          <cell r="A377" t="str">
            <v>1910403W</v>
          </cell>
          <cell r="B377" t="str">
            <v>W649</v>
          </cell>
          <cell r="C377" t="str">
            <v>CNV2^MULTI</v>
          </cell>
          <cell r="D377" t="str">
            <v>W^010^00^00^913^59</v>
          </cell>
          <cell r="F377" t="str">
            <v>SterLumbrTray w/22g/10 RX</v>
          </cell>
          <cell r="H377" t="str">
            <v>NON</v>
          </cell>
          <cell r="I377">
            <v>450</v>
          </cell>
          <cell r="J377" t="str">
            <v>7493 due 10/30;6480D due 11/4</v>
          </cell>
          <cell r="K377">
            <v>43780.497513622482</v>
          </cell>
          <cell r="L377">
            <v>10</v>
          </cell>
        </row>
        <row r="378">
          <cell r="A378" t="str">
            <v>1910417W</v>
          </cell>
          <cell r="B378" t="str">
            <v>W6487</v>
          </cell>
          <cell r="C378" t="str">
            <v>CNV2^MULTI</v>
          </cell>
          <cell r="D378" t="str">
            <v>W^010^00^00^915^59</v>
          </cell>
          <cell r="F378" t="str">
            <v>Ster O&amp;M 1111LPT648 10RX</v>
          </cell>
          <cell r="H378" t="str">
            <v>NON</v>
          </cell>
          <cell r="I378">
            <v>450</v>
          </cell>
          <cell r="J378" t="str">
            <v>7493 due 10/30;6480D due 11/4;8809A due 11/4</v>
          </cell>
          <cell r="K378">
            <v>43780.559066652786</v>
          </cell>
          <cell r="L378">
            <v>10</v>
          </cell>
        </row>
        <row r="379">
          <cell r="A379" t="str">
            <v>1910418W</v>
          </cell>
          <cell r="B379" t="str">
            <v>W648</v>
          </cell>
          <cell r="C379" t="str">
            <v>CNV2^MULTI</v>
          </cell>
          <cell r="D379" t="str">
            <v>W^010^00^00^913^59</v>
          </cell>
          <cell r="F379" t="str">
            <v>SterLumbrTray w/20g/10 RX</v>
          </cell>
          <cell r="H379" t="str">
            <v>NON</v>
          </cell>
          <cell r="I379">
            <v>900</v>
          </cell>
          <cell r="J379" t="str">
            <v>7493 due 10/30;6480D due 11/4;8809A due 11/4;</v>
          </cell>
          <cell r="K379">
            <v>43781.275412806637</v>
          </cell>
          <cell r="L379">
            <v>10</v>
          </cell>
        </row>
        <row r="380">
          <cell r="A380" t="str">
            <v>1910390W</v>
          </cell>
          <cell r="B380" t="str">
            <v>W656</v>
          </cell>
          <cell r="C380" t="str">
            <v>CNV2^MULTI</v>
          </cell>
          <cell r="D380" t="str">
            <v>W^010^00^00^914^59</v>
          </cell>
          <cell r="F380" t="str">
            <v>SterMyelogramTray 10cs RX</v>
          </cell>
          <cell r="H380" t="str">
            <v>NON</v>
          </cell>
          <cell r="I380">
            <v>900</v>
          </cell>
          <cell r="J380" t="str">
            <v>7493 due 10/30;EXTRA CASE INCLUDED FOR PYROGEN TESTING</v>
          </cell>
          <cell r="K380">
            <v>43781.388102200573</v>
          </cell>
          <cell r="L380">
            <v>10</v>
          </cell>
        </row>
        <row r="381">
          <cell r="A381" t="str">
            <v>1910400W</v>
          </cell>
          <cell r="B381" t="str">
            <v>W3910</v>
          </cell>
          <cell r="C381" t="str">
            <v>CNV2^MULTI</v>
          </cell>
          <cell r="D381" t="str">
            <v>W^007^00^00^914^59</v>
          </cell>
          <cell r="F381" t="str">
            <v>Ster Arthrogram Tray 10cs</v>
          </cell>
          <cell r="H381" t="str">
            <v>NON</v>
          </cell>
          <cell r="I381">
            <v>150</v>
          </cell>
          <cell r="J381" t="str">
            <v>7493 due 10/30</v>
          </cell>
          <cell r="K381">
            <v>43781.518711174933</v>
          </cell>
          <cell r="L381">
            <v>7</v>
          </cell>
        </row>
        <row r="382">
          <cell r="A382" t="str">
            <v>1910413W</v>
          </cell>
          <cell r="B382" t="str">
            <v>W651</v>
          </cell>
          <cell r="C382" t="str">
            <v>CNV2^MULTI</v>
          </cell>
          <cell r="D382" t="str">
            <v>W^010^00^00^915^59</v>
          </cell>
          <cell r="F382" t="str">
            <v>SterBasicBiopsyTray/10 RX</v>
          </cell>
          <cell r="H382" t="str">
            <v>NON</v>
          </cell>
          <cell r="I382">
            <v>900</v>
          </cell>
          <cell r="J382" t="str">
            <v>7493 due 10/30;4255D-2 due 10/25;</v>
          </cell>
          <cell r="K382">
            <v>43782.336069541205</v>
          </cell>
          <cell r="L382">
            <v>10</v>
          </cell>
        </row>
        <row r="383">
          <cell r="A383" t="str">
            <v>1910416W</v>
          </cell>
          <cell r="B383" t="str">
            <v>W956</v>
          </cell>
          <cell r="C383" t="str">
            <v>CNV2^MULTI</v>
          </cell>
          <cell r="D383" t="str">
            <v>W^010^00^00^914^59</v>
          </cell>
          <cell r="F383" t="str">
            <v>Ster MYELOGRM SFTY/10 RX</v>
          </cell>
          <cell r="H383" t="str">
            <v>NON</v>
          </cell>
          <cell r="I383">
            <v>100</v>
          </cell>
          <cell r="J383" t="str">
            <v>6460B due 11/4;8809A due 11/4;</v>
          </cell>
          <cell r="K383">
            <v>43782.458986207872</v>
          </cell>
          <cell r="L383">
            <v>10</v>
          </cell>
        </row>
        <row r="384">
          <cell r="A384" t="str">
            <v>1910415W</v>
          </cell>
          <cell r="B384" t="str">
            <v>W974</v>
          </cell>
          <cell r="C384" t="str">
            <v>CNV2^MULTI</v>
          </cell>
          <cell r="D384" t="str">
            <v>W^013^00^00^913^59</v>
          </cell>
          <cell r="F384" t="str">
            <v>Ster Deluxe Lumbar Ty10RX</v>
          </cell>
          <cell r="H384" t="str">
            <v>NON</v>
          </cell>
          <cell r="I384">
            <v>450</v>
          </cell>
          <cell r="J384" t="str">
            <v>6460B due 11/4;8809A due 11/4;</v>
          </cell>
          <cell r="K384">
            <v>43782.482757575395</v>
          </cell>
          <cell r="L384">
            <v>13</v>
          </cell>
        </row>
        <row r="385">
          <cell r="A385" t="str">
            <v>1910414W</v>
          </cell>
          <cell r="B385" t="str">
            <v>W975</v>
          </cell>
          <cell r="C385" t="str">
            <v>CNV2^MULTI</v>
          </cell>
          <cell r="D385" t="str">
            <v>W^013^00^00^913^59</v>
          </cell>
          <cell r="F385" t="str">
            <v>SterDELUXELUMTRAY/RX/10CS</v>
          </cell>
          <cell r="H385" t="str">
            <v>NON</v>
          </cell>
          <cell r="I385">
            <v>150</v>
          </cell>
          <cell r="J385" t="str">
            <v>8809A due 11/4</v>
          </cell>
          <cell r="K385">
            <v>43782.553270395911</v>
          </cell>
          <cell r="L385">
            <v>13</v>
          </cell>
        </row>
        <row r="387">
          <cell r="A387" t="str">
            <v>1920930W</v>
          </cell>
          <cell r="B387" t="str">
            <v>W6417R1</v>
          </cell>
          <cell r="C387" t="str">
            <v>CNV2^DV2</v>
          </cell>
          <cell r="D387" t="str">
            <v>W^010^00^00^950^56</v>
          </cell>
          <cell r="F387" t="str">
            <v>Ster Bone Marrow Ty10cRX</v>
          </cell>
          <cell r="H387" t="str">
            <v>NON</v>
          </cell>
          <cell r="I387">
            <v>200</v>
          </cell>
          <cell r="J387" t="str">
            <v>1756A due 11/6;6300A Make in House;6520A-1 Run 10/30;8260-1 due 11/1;8262-2 due 10/28</v>
          </cell>
          <cell r="K387">
            <v>43788.366555160341</v>
          </cell>
          <cell r="L387">
            <v>10</v>
          </cell>
        </row>
        <row r="389">
          <cell r="A389" t="str">
            <v>1910405W</v>
          </cell>
          <cell r="B389" t="str">
            <v>W1993R2</v>
          </cell>
          <cell r="C389" t="str">
            <v>CNV2^MULTI</v>
          </cell>
          <cell r="D389" t="str">
            <v>W^009^00^00^914^59</v>
          </cell>
          <cell r="F389" t="str">
            <v>Ster Austin R/A/M/Ty10cRX</v>
          </cell>
          <cell r="H389" t="str">
            <v>NON</v>
          </cell>
          <cell r="I389">
            <v>540</v>
          </cell>
          <cell r="J389" t="str">
            <v>1992B due 11/25;1992C Make in House</v>
          </cell>
          <cell r="K389">
            <v>43796.34920138889</v>
          </cell>
          <cell r="L389">
            <v>9</v>
          </cell>
        </row>
        <row r="391">
          <cell r="A391" t="str">
            <v>1920903W</v>
          </cell>
          <cell r="B391" t="str">
            <v>W3220</v>
          </cell>
          <cell r="C391" t="str">
            <v>CNV2^DV1</v>
          </cell>
          <cell r="D391" t="str">
            <v>W^999^99^W9^999^99</v>
          </cell>
          <cell r="F391" t="str">
            <v>Ster Minor Pack/80</v>
          </cell>
          <cell r="H391" t="str">
            <v>NON</v>
          </cell>
          <cell r="I391">
            <v>3840</v>
          </cell>
          <cell r="J391" t="str">
            <v>5116 due 11/14</v>
          </cell>
          <cell r="K391">
            <v>43803.299930555564</v>
          </cell>
          <cell r="L391">
            <v>6</v>
          </cell>
        </row>
        <row r="392">
          <cell r="A392" t="str">
            <v>1910409W</v>
          </cell>
          <cell r="B392" t="str">
            <v>W835</v>
          </cell>
          <cell r="C392" t="str">
            <v>CNV2^KOCH</v>
          </cell>
          <cell r="D392" t="str">
            <v>W^007^00^00^928^53</v>
          </cell>
          <cell r="F392" t="str">
            <v>Ster C/Line Dress C/T30EX</v>
          </cell>
          <cell r="H392" t="str">
            <v>NON</v>
          </cell>
          <cell r="I392">
            <v>1200</v>
          </cell>
          <cell r="J392" t="str">
            <v>8271 due 11/4;4515B due 11/1;7032-2 due 10/28;8261-2 due 10/28;8380A due 11/29</v>
          </cell>
          <cell r="K392">
            <v>43808.503935523055</v>
          </cell>
          <cell r="L392">
            <v>7</v>
          </cell>
        </row>
        <row r="395">
          <cell r="F395" t="str">
            <v xml:space="preserve"> </v>
          </cell>
        </row>
        <row r="396">
          <cell r="F396" t="str">
            <v>Run 2nd - Use as a back up</v>
          </cell>
        </row>
        <row r="398">
          <cell r="A398" t="str">
            <v>1970033</v>
          </cell>
          <cell r="B398">
            <v>401</v>
          </cell>
          <cell r="C398" t="str">
            <v>AMOTEK</v>
          </cell>
          <cell r="D398" t="str">
            <v>U^749^90^U9^999^99</v>
          </cell>
          <cell r="E398">
            <v>18</v>
          </cell>
          <cell r="F398" t="str">
            <v>Ster 35oz Sponge Bowls/50</v>
          </cell>
          <cell r="H398">
            <v>1</v>
          </cell>
          <cell r="I398">
            <v>108</v>
          </cell>
          <cell r="K398">
            <v>43791</v>
          </cell>
          <cell r="L398">
            <v>3</v>
          </cell>
          <cell r="M398">
            <v>6</v>
          </cell>
        </row>
        <row r="400">
          <cell r="A400" t="str">
            <v>1970035</v>
          </cell>
          <cell r="B400">
            <v>401</v>
          </cell>
          <cell r="C400" t="str">
            <v>AMOTEK</v>
          </cell>
          <cell r="D400" t="str">
            <v>U^749^90^U9^999^99</v>
          </cell>
          <cell r="E400">
            <v>18</v>
          </cell>
          <cell r="F400" t="str">
            <v>Ster 35oz Sponge Bowls/50</v>
          </cell>
          <cell r="H400">
            <v>1</v>
          </cell>
          <cell r="I400">
            <v>108</v>
          </cell>
          <cell r="K400">
            <v>43805</v>
          </cell>
          <cell r="L400">
            <v>3</v>
          </cell>
          <cell r="M400">
            <v>6</v>
          </cell>
        </row>
        <row r="402">
          <cell r="A402" t="str">
            <v>1970036</v>
          </cell>
          <cell r="B402">
            <v>401</v>
          </cell>
          <cell r="C402" t="str">
            <v>AMOTEK</v>
          </cell>
          <cell r="D402" t="str">
            <v>U^749^90^U9^999^99</v>
          </cell>
          <cell r="E402">
            <v>18</v>
          </cell>
          <cell r="F402" t="str">
            <v>Ster 35oz Sponge Bowls/50</v>
          </cell>
          <cell r="H402">
            <v>1</v>
          </cell>
          <cell r="I402">
            <v>108</v>
          </cell>
          <cell r="K402">
            <v>43819</v>
          </cell>
          <cell r="L402">
            <v>3</v>
          </cell>
          <cell r="M402">
            <v>6</v>
          </cell>
        </row>
        <row r="404">
          <cell r="A404" t="str">
            <v>1970031</v>
          </cell>
          <cell r="B404">
            <v>400</v>
          </cell>
          <cell r="C404" t="str">
            <v>AMOTEK</v>
          </cell>
          <cell r="D404" t="str">
            <v>I^400^02^I9^999^99</v>
          </cell>
          <cell r="E404">
            <v>18</v>
          </cell>
          <cell r="F404" t="str">
            <v>Ster 16oz Sponge Bowls/75</v>
          </cell>
          <cell r="H404">
            <v>1</v>
          </cell>
          <cell r="I404">
            <v>144</v>
          </cell>
          <cell r="J404" t="str">
            <v xml:space="preserve"> 11 PIECES REQUIRED FOR BIO-BURDEN TESTING 4TH QUARTER</v>
          </cell>
          <cell r="K404">
            <v>43766</v>
          </cell>
          <cell r="L404">
            <v>3</v>
          </cell>
          <cell r="M404">
            <v>6</v>
          </cell>
        </row>
        <row r="406">
          <cell r="A406" t="str">
            <v>1970032</v>
          </cell>
          <cell r="B406">
            <v>400</v>
          </cell>
          <cell r="C406" t="str">
            <v>AMOTEK</v>
          </cell>
          <cell r="D406" t="str">
            <v>I^400^02^I9^999^99</v>
          </cell>
          <cell r="E406">
            <v>18</v>
          </cell>
          <cell r="F406" t="str">
            <v>Ster 16oz Sponge Bowls/75</v>
          </cell>
          <cell r="H406">
            <v>1</v>
          </cell>
          <cell r="I406">
            <v>144</v>
          </cell>
          <cell r="J406" t="str">
            <v>4000 due 10/24</v>
          </cell>
          <cell r="K406">
            <v>43787</v>
          </cell>
          <cell r="L406">
            <v>3</v>
          </cell>
          <cell r="M406">
            <v>6</v>
          </cell>
        </row>
        <row r="408">
          <cell r="A408" t="str">
            <v>1970034</v>
          </cell>
          <cell r="B408">
            <v>400</v>
          </cell>
          <cell r="C408" t="str">
            <v>AMOTEK</v>
          </cell>
          <cell r="D408" t="str">
            <v>I^400^02^I9^999^99</v>
          </cell>
          <cell r="E408">
            <v>18</v>
          </cell>
          <cell r="F408" t="str">
            <v>Ster 16oz Sponge Bowls/75</v>
          </cell>
          <cell r="H408">
            <v>1</v>
          </cell>
          <cell r="I408">
            <v>144</v>
          </cell>
          <cell r="J408" t="str">
            <v>4000 due 10/24</v>
          </cell>
          <cell r="K408">
            <v>43808</v>
          </cell>
          <cell r="L408">
            <v>3</v>
          </cell>
          <cell r="M408">
            <v>6</v>
          </cell>
        </row>
        <row r="411">
          <cell r="F411" t="str">
            <v>Run 2nd - Use as a back up</v>
          </cell>
        </row>
        <row r="413">
          <cell r="A413" t="str">
            <v>1920911W</v>
          </cell>
          <cell r="B413" t="str">
            <v>W150</v>
          </cell>
          <cell r="C413" t="str">
            <v>TBL^DV2</v>
          </cell>
          <cell r="D413" t="str">
            <v>Z^999^99^Z9^999^99</v>
          </cell>
          <cell r="F413" t="str">
            <v>Ster 1/2"Tbg&amp;Hdle&amp;Adap/25</v>
          </cell>
          <cell r="H413" t="str">
            <v>NON</v>
          </cell>
          <cell r="I413">
            <v>1000</v>
          </cell>
          <cell r="K413">
            <v>43787.474363425921</v>
          </cell>
          <cell r="L413">
            <v>4</v>
          </cell>
        </row>
        <row r="415">
          <cell r="F415" t="str">
            <v>Run 1st &amp; 2ND</v>
          </cell>
        </row>
        <row r="417">
          <cell r="A417" t="str">
            <v>1920910W</v>
          </cell>
          <cell r="B417" t="str">
            <v>W153</v>
          </cell>
          <cell r="C417" t="str">
            <v>TBL^DV2</v>
          </cell>
          <cell r="D417" t="str">
            <v>Z^999^99^Z9^999^99</v>
          </cell>
          <cell r="F417" t="str">
            <v>Ster3/8"Tbg&amp;Hdl&amp;Adpt/25</v>
          </cell>
          <cell r="H417" t="str">
            <v>NON</v>
          </cell>
          <cell r="I417">
            <v>4000</v>
          </cell>
          <cell r="J417" t="str">
            <v>1537V-1 due 11/15</v>
          </cell>
          <cell r="K417">
            <v>43788.431983540526</v>
          </cell>
          <cell r="L417">
            <v>4</v>
          </cell>
        </row>
        <row r="421">
          <cell r="F421" t="str">
            <v xml:space="preserve">Run  1st </v>
          </cell>
        </row>
        <row r="424">
          <cell r="A424" t="str">
            <v>1950077</v>
          </cell>
          <cell r="B424" t="str">
            <v>6520B-1</v>
          </cell>
          <cell r="C424" t="str">
            <v>MULTI</v>
          </cell>
          <cell r="D424" t="str">
            <v>G^370^16^G6^000^00</v>
          </cell>
          <cell r="E424">
            <v>6.5</v>
          </cell>
          <cell r="F424" t="str">
            <v>24MIL BoneMarrowTray/Botm</v>
          </cell>
          <cell r="H424" t="str">
            <v>NON</v>
          </cell>
          <cell r="I424">
            <v>2700</v>
          </cell>
          <cell r="K424">
            <v>43789</v>
          </cell>
          <cell r="L424">
            <v>3</v>
          </cell>
          <cell r="M424" t="e">
            <v>#DIV/0!</v>
          </cell>
        </row>
        <row r="425">
          <cell r="A425" t="str">
            <v>1950083</v>
          </cell>
          <cell r="B425" t="str">
            <v>6520A-1</v>
          </cell>
          <cell r="C425" t="str">
            <v>MULTI</v>
          </cell>
          <cell r="D425" t="str">
            <v>G^370^16^G5^000^00</v>
          </cell>
          <cell r="E425">
            <v>6.5</v>
          </cell>
          <cell r="F425" t="str">
            <v>24MIL BONEMARROWTRAY/TOP</v>
          </cell>
          <cell r="H425" t="str">
            <v>NON</v>
          </cell>
          <cell r="I425">
            <v>2700</v>
          </cell>
          <cell r="K425">
            <v>43769</v>
          </cell>
          <cell r="L425">
            <v>3</v>
          </cell>
          <cell r="M425" t="e">
            <v>#DIV/0!</v>
          </cell>
        </row>
        <row r="427">
          <cell r="A427" t="str">
            <v>1910388</v>
          </cell>
          <cell r="B427">
            <v>946</v>
          </cell>
          <cell r="C427" t="str">
            <v>MULTI*</v>
          </cell>
          <cell r="D427" t="str">
            <v>G^370^08^G1^287^30</v>
          </cell>
          <cell r="E427">
            <v>8.5</v>
          </cell>
          <cell r="F427" t="str">
            <v>SterPedLumbr SAFETY/10 RX</v>
          </cell>
          <cell r="H427">
            <v>3</v>
          </cell>
          <cell r="I427">
            <v>20</v>
          </cell>
          <cell r="J427" t="str">
            <v>EXTRA CASE INCLUDED FOR PYROGEN TESTING</v>
          </cell>
          <cell r="K427">
            <v>43769</v>
          </cell>
          <cell r="L427">
            <v>2</v>
          </cell>
          <cell r="M427">
            <v>0.44444444444444442</v>
          </cell>
        </row>
        <row r="428">
          <cell r="A428" t="str">
            <v>1910393</v>
          </cell>
          <cell r="B428">
            <v>1679</v>
          </cell>
          <cell r="C428" t="str">
            <v>MULTI*</v>
          </cell>
          <cell r="D428" t="str">
            <v>G^370^08^G1^287^30</v>
          </cell>
          <cell r="E428">
            <v>8.5</v>
          </cell>
          <cell r="F428" t="str">
            <v>SterCTBiopsy Tray10/cs RX</v>
          </cell>
          <cell r="H428">
            <v>3</v>
          </cell>
          <cell r="I428">
            <v>10</v>
          </cell>
          <cell r="K428">
            <v>43773</v>
          </cell>
          <cell r="L428">
            <v>2</v>
          </cell>
          <cell r="M428">
            <v>0.22222222222222221</v>
          </cell>
        </row>
        <row r="429">
          <cell r="A429" t="str">
            <v>1910394</v>
          </cell>
          <cell r="B429" t="str">
            <v>651B</v>
          </cell>
          <cell r="C429" t="str">
            <v>MULTI*</v>
          </cell>
          <cell r="D429" t="str">
            <v>G^370^08^G1^287^30</v>
          </cell>
          <cell r="E429">
            <v>8.5</v>
          </cell>
          <cell r="F429" t="str">
            <v>Ster Basic Biopsy Ty 10c</v>
          </cell>
          <cell r="H429">
            <v>3</v>
          </cell>
          <cell r="I429">
            <v>151</v>
          </cell>
          <cell r="J429" t="str">
            <v>EXTRA CASE INCLUDED FOR PYROGEN TESTING ; EXPORT ORDER</v>
          </cell>
          <cell r="K429">
            <v>43727</v>
          </cell>
          <cell r="L429">
            <v>2</v>
          </cell>
          <cell r="M429">
            <v>3.3555555555555556</v>
          </cell>
        </row>
        <row r="431">
          <cell r="F431" t="str">
            <v xml:space="preserve">Run  1st </v>
          </cell>
        </row>
        <row r="433">
          <cell r="A433" t="str">
            <v>1950089</v>
          </cell>
          <cell r="B433" t="str">
            <v>6730B</v>
          </cell>
          <cell r="C433" t="str">
            <v>MULTI</v>
          </cell>
          <cell r="D433" t="str">
            <v>G^370^15^Y3^000^00</v>
          </cell>
          <cell r="E433">
            <v>6.9</v>
          </cell>
          <cell r="F433" t="str">
            <v>BUSSE LOW PROFILE BTM TRY</v>
          </cell>
          <cell r="H433" t="str">
            <v>NON</v>
          </cell>
          <cell r="I433">
            <v>20000</v>
          </cell>
          <cell r="K433">
            <v>43777</v>
          </cell>
          <cell r="L433">
            <v>3</v>
          </cell>
          <cell r="M433">
            <v>12.987012987012987</v>
          </cell>
        </row>
        <row r="434">
          <cell r="A434" t="str">
            <v>1950087</v>
          </cell>
          <cell r="B434" t="str">
            <v>6500A-2</v>
          </cell>
          <cell r="C434" t="str">
            <v>MULTI</v>
          </cell>
          <cell r="D434" t="str">
            <v>G^370^16^G3^000^00</v>
          </cell>
          <cell r="E434">
            <v>6.5</v>
          </cell>
          <cell r="F434" t="str">
            <v>BUSSEAMNIO/ARTHRO24MILTRY</v>
          </cell>
          <cell r="H434" t="str">
            <v>NON</v>
          </cell>
          <cell r="I434">
            <v>2700</v>
          </cell>
          <cell r="K434">
            <v>43788</v>
          </cell>
          <cell r="L434">
            <v>3</v>
          </cell>
          <cell r="M434" t="e">
            <v>#DIV/0!</v>
          </cell>
        </row>
        <row r="436">
          <cell r="A436" t="str">
            <v>1910392</v>
          </cell>
          <cell r="B436" t="str">
            <v>PPCD645</v>
          </cell>
          <cell r="C436" t="str">
            <v>MULTI*</v>
          </cell>
          <cell r="D436" t="str">
            <v>G^370^08^G1^287^30</v>
          </cell>
          <cell r="E436">
            <v>0</v>
          </cell>
          <cell r="F436" t="str">
            <v>S/PYROGEN PROCESS C/D/LUM</v>
          </cell>
          <cell r="H436">
            <v>3</v>
          </cell>
          <cell r="I436">
            <v>1</v>
          </cell>
          <cell r="J436" t="str">
            <v>7493 due 10/30</v>
          </cell>
          <cell r="K436">
            <v>44417</v>
          </cell>
          <cell r="L436">
            <v>2</v>
          </cell>
          <cell r="M436">
            <v>2.2222222222222223E-2</v>
          </cell>
        </row>
        <row r="437">
          <cell r="A437" t="str">
            <v>1910391</v>
          </cell>
          <cell r="B437">
            <v>646</v>
          </cell>
          <cell r="C437" t="str">
            <v>MULTI*</v>
          </cell>
          <cell r="D437" t="str">
            <v>G^370^08^G1^287^30</v>
          </cell>
          <cell r="E437">
            <v>8.5</v>
          </cell>
          <cell r="F437" t="str">
            <v>SterPedLumbr w/oMan/10 RX</v>
          </cell>
          <cell r="H437">
            <v>3</v>
          </cell>
          <cell r="I437">
            <v>15</v>
          </cell>
          <cell r="J437" t="str">
            <v>7493 due 10/30</v>
          </cell>
          <cell r="K437">
            <v>43784</v>
          </cell>
          <cell r="L437">
            <v>2</v>
          </cell>
          <cell r="M437">
            <v>0.33333333333333331</v>
          </cell>
        </row>
        <row r="438">
          <cell r="A438" t="str">
            <v>1910389</v>
          </cell>
          <cell r="B438">
            <v>648</v>
          </cell>
          <cell r="C438" t="str">
            <v>MULTI*</v>
          </cell>
          <cell r="D438" t="str">
            <v>G^370^08^G1^287^30</v>
          </cell>
          <cell r="E438">
            <v>8.5</v>
          </cell>
          <cell r="F438" t="str">
            <v>SterLumbrTray w/20g/10 RX</v>
          </cell>
          <cell r="H438">
            <v>3</v>
          </cell>
          <cell r="I438">
            <v>135</v>
          </cell>
          <cell r="J438" t="str">
            <v>7493 due 10/30</v>
          </cell>
          <cell r="K438">
            <v>43776</v>
          </cell>
          <cell r="L438">
            <v>2</v>
          </cell>
          <cell r="M438">
            <v>3</v>
          </cell>
        </row>
        <row r="439">
          <cell r="A439" t="str">
            <v>1910404</v>
          </cell>
          <cell r="B439">
            <v>647</v>
          </cell>
          <cell r="C439" t="str">
            <v>MULTI*</v>
          </cell>
          <cell r="D439" t="str">
            <v>G^370^08^G1^287^30</v>
          </cell>
          <cell r="E439">
            <v>8.5</v>
          </cell>
          <cell r="F439" t="str">
            <v>SterLumbrTray w/18g/10 RX</v>
          </cell>
          <cell r="H439">
            <v>3</v>
          </cell>
          <cell r="I439">
            <v>15</v>
          </cell>
          <cell r="J439" t="str">
            <v>7493 due 10/30</v>
          </cell>
          <cell r="K439">
            <v>43808</v>
          </cell>
          <cell r="L439">
            <v>2</v>
          </cell>
          <cell r="M439">
            <v>0.33333333333333331</v>
          </cell>
        </row>
        <row r="440">
          <cell r="A440" t="str">
            <v>1910403</v>
          </cell>
          <cell r="B440">
            <v>649</v>
          </cell>
          <cell r="C440" t="str">
            <v>MULTI*</v>
          </cell>
          <cell r="D440" t="str">
            <v>G^370^08^G1^287^30</v>
          </cell>
          <cell r="E440">
            <v>6</v>
          </cell>
          <cell r="F440" t="str">
            <v>SterLumbrTray w/22g/10 RX</v>
          </cell>
          <cell r="H440">
            <v>3</v>
          </cell>
          <cell r="I440">
            <v>45</v>
          </cell>
          <cell r="J440" t="str">
            <v>7493 due 10/30;6480D due 11/4;</v>
          </cell>
          <cell r="K440">
            <v>43794</v>
          </cell>
          <cell r="L440">
            <v>2</v>
          </cell>
          <cell r="M440">
            <v>1</v>
          </cell>
        </row>
        <row r="441">
          <cell r="A441" t="str">
            <v>1910417</v>
          </cell>
          <cell r="B441">
            <v>6487</v>
          </cell>
          <cell r="C441" t="str">
            <v>MULTI*</v>
          </cell>
          <cell r="D441" t="str">
            <v>G^370^08^G1^287^30</v>
          </cell>
          <cell r="E441">
            <v>8.5</v>
          </cell>
          <cell r="F441" t="str">
            <v>Ster O&amp;M 1111LPT648 10RX</v>
          </cell>
          <cell r="H441">
            <v>3</v>
          </cell>
          <cell r="I441">
            <v>45</v>
          </cell>
          <cell r="J441" t="str">
            <v>7493 due 10/30;6480D due 11/4;8809A due 11/4;</v>
          </cell>
          <cell r="K441">
            <v>43809</v>
          </cell>
          <cell r="L441">
            <v>2</v>
          </cell>
          <cell r="M441">
            <v>1</v>
          </cell>
        </row>
        <row r="442">
          <cell r="A442" t="str">
            <v>1910418</v>
          </cell>
          <cell r="B442">
            <v>648</v>
          </cell>
          <cell r="C442" t="str">
            <v>MULTI*</v>
          </cell>
          <cell r="D442" t="str">
            <v>G^370^08^G1^287^30</v>
          </cell>
          <cell r="E442">
            <v>8.5</v>
          </cell>
          <cell r="F442" t="str">
            <v>SterLumbrTray w/20g/10 RX</v>
          </cell>
          <cell r="H442">
            <v>3</v>
          </cell>
          <cell r="I442">
            <v>90</v>
          </cell>
          <cell r="J442" t="str">
            <v>7493 due 10/30;6480D due 11/4;8809A due 11/4;</v>
          </cell>
          <cell r="K442">
            <v>43809</v>
          </cell>
          <cell r="L442">
            <v>2</v>
          </cell>
          <cell r="M442">
            <v>2</v>
          </cell>
        </row>
        <row r="443">
          <cell r="A443" t="str">
            <v>1910390</v>
          </cell>
          <cell r="B443">
            <v>656</v>
          </cell>
          <cell r="C443" t="str">
            <v>MULTI*</v>
          </cell>
          <cell r="D443" t="str">
            <v>G^370^08^G1^287^30</v>
          </cell>
          <cell r="E443">
            <v>7</v>
          </cell>
          <cell r="F443" t="str">
            <v>SterMyelogramTray 10cs RX</v>
          </cell>
          <cell r="H443">
            <v>3</v>
          </cell>
          <cell r="I443">
            <v>90</v>
          </cell>
          <cell r="J443" t="str">
            <v>7493 due 10/30;EXTRA CASE INCLUDED FOR PYROGEN TESTING</v>
          </cell>
          <cell r="K443">
            <v>43787</v>
          </cell>
          <cell r="L443">
            <v>2</v>
          </cell>
          <cell r="M443">
            <v>2</v>
          </cell>
        </row>
        <row r="444">
          <cell r="A444" t="str">
            <v>1910400</v>
          </cell>
          <cell r="B444">
            <v>3910</v>
          </cell>
          <cell r="C444" t="str">
            <v>MULTI*</v>
          </cell>
          <cell r="D444" t="str">
            <v>G^370^08^G1^287^30</v>
          </cell>
          <cell r="E444">
            <v>8.5</v>
          </cell>
          <cell r="F444" t="str">
            <v>Ster Arthrogram Tray 10cs</v>
          </cell>
          <cell r="H444">
            <v>13</v>
          </cell>
          <cell r="I444">
            <v>15</v>
          </cell>
          <cell r="J444" t="str">
            <v>7493 due 10/30</v>
          </cell>
          <cell r="K444">
            <v>43780</v>
          </cell>
          <cell r="L444">
            <v>2</v>
          </cell>
          <cell r="M444">
            <v>0.33333333333333331</v>
          </cell>
        </row>
        <row r="445">
          <cell r="A445" t="str">
            <v>1910413</v>
          </cell>
          <cell r="B445">
            <v>651</v>
          </cell>
          <cell r="C445" t="str">
            <v>MULTI*</v>
          </cell>
          <cell r="D445" t="str">
            <v>G^370^08^G1^287^30</v>
          </cell>
          <cell r="E445">
            <v>8.5</v>
          </cell>
          <cell r="F445" t="str">
            <v>SterBasicBiopsyTray/10 RX</v>
          </cell>
          <cell r="H445">
            <v>3</v>
          </cell>
          <cell r="I445">
            <v>90</v>
          </cell>
          <cell r="J445" t="str">
            <v>7493 due 10/30;4255D-2 due 10/25;EXTRA CASE INCLUDED FOR PYROGEN TESTING</v>
          </cell>
          <cell r="K445">
            <v>43790</v>
          </cell>
          <cell r="L445">
            <v>2</v>
          </cell>
          <cell r="M445">
            <v>2</v>
          </cell>
        </row>
        <row r="446">
          <cell r="A446" t="str">
            <v>1910416</v>
          </cell>
          <cell r="B446">
            <v>956</v>
          </cell>
          <cell r="C446" t="str">
            <v>MULTI*</v>
          </cell>
          <cell r="D446" t="str">
            <v>G^370^08^G1^287^30</v>
          </cell>
          <cell r="E446">
            <v>8.5</v>
          </cell>
          <cell r="F446" t="str">
            <v>Ster MYELOGRM SFTY/10 RX</v>
          </cell>
          <cell r="H446">
            <v>3</v>
          </cell>
          <cell r="I446">
            <v>10</v>
          </cell>
          <cell r="J446" t="str">
            <v>6460B due 11/4;8809A due 11/4;EXTRA CASE INCLUDED FOR PYROGEN TESTING</v>
          </cell>
          <cell r="K446">
            <v>43808</v>
          </cell>
          <cell r="L446">
            <v>2</v>
          </cell>
          <cell r="M446">
            <v>0.22222222222222221</v>
          </cell>
        </row>
        <row r="447">
          <cell r="A447" t="str">
            <v>1910415</v>
          </cell>
          <cell r="B447">
            <v>974</v>
          </cell>
          <cell r="C447" t="str">
            <v>MULTI*</v>
          </cell>
          <cell r="D447" t="str">
            <v>G^370^08^G1^287^30</v>
          </cell>
          <cell r="E447">
            <v>6</v>
          </cell>
          <cell r="F447" t="str">
            <v>Ster Deluxe Lumbar Ty10RX</v>
          </cell>
          <cell r="H447">
            <v>3</v>
          </cell>
          <cell r="I447">
            <v>45</v>
          </cell>
          <cell r="J447" t="str">
            <v>6460B due 11/4;8809A due 11/4;EXTRA CASE INCLUDED FOR PYROGEN TESTING</v>
          </cell>
          <cell r="K447">
            <v>43803</v>
          </cell>
          <cell r="L447">
            <v>2</v>
          </cell>
          <cell r="M447">
            <v>1</v>
          </cell>
        </row>
        <row r="448">
          <cell r="A448" t="str">
            <v>1910414</v>
          </cell>
          <cell r="B448">
            <v>975</v>
          </cell>
          <cell r="C448" t="str">
            <v>MULTI*</v>
          </cell>
          <cell r="D448" t="str">
            <v>G^370^08^G1^287^30</v>
          </cell>
          <cell r="E448">
            <v>6</v>
          </cell>
          <cell r="F448" t="str">
            <v>SterDELUXELUMTRAY/RX/10CS</v>
          </cell>
          <cell r="H448">
            <v>3</v>
          </cell>
          <cell r="I448">
            <v>15</v>
          </cell>
          <cell r="J448" t="str">
            <v>8809A due 11/4;EXTRA CASE INCLUDED FOR PYROGEN TESTING</v>
          </cell>
          <cell r="K448">
            <v>43794</v>
          </cell>
          <cell r="L448">
            <v>2</v>
          </cell>
          <cell r="M448">
            <v>0.33333333333333331</v>
          </cell>
        </row>
        <row r="450">
          <cell r="A450" t="str">
            <v>1950090</v>
          </cell>
          <cell r="B450" t="str">
            <v>7051-1</v>
          </cell>
          <cell r="C450" t="str">
            <v>MULTI</v>
          </cell>
          <cell r="D450" t="str">
            <v>N^170^16^N2^000^00</v>
          </cell>
          <cell r="E450">
            <v>6.9</v>
          </cell>
          <cell r="F450" t="str">
            <v>REMOVABLE BASIN</v>
          </cell>
          <cell r="H450" t="str">
            <v>NON</v>
          </cell>
          <cell r="I450">
            <v>10000</v>
          </cell>
          <cell r="K450">
            <v>43808</v>
          </cell>
          <cell r="L450">
            <v>3</v>
          </cell>
          <cell r="M450" t="e">
            <v>#DIV/0!</v>
          </cell>
        </row>
        <row r="452">
          <cell r="A452" t="str">
            <v>1910405</v>
          </cell>
          <cell r="B452" t="str">
            <v>1993R2</v>
          </cell>
          <cell r="C452" t="str">
            <v>MULTI*</v>
          </cell>
          <cell r="D452" t="str">
            <v>G^370^08^G1^287^30</v>
          </cell>
          <cell r="E452">
            <v>8.5</v>
          </cell>
          <cell r="F452" t="str">
            <v>Ster Austin R/A/M/Ty10cRX</v>
          </cell>
          <cell r="H452">
            <v>3</v>
          </cell>
          <cell r="I452">
            <v>54</v>
          </cell>
          <cell r="J452" t="str">
            <v>1992B due 11/25;1992C Make in House</v>
          </cell>
          <cell r="K452">
            <v>43783</v>
          </cell>
          <cell r="L452">
            <v>2</v>
          </cell>
          <cell r="M452">
            <v>1.2</v>
          </cell>
        </row>
        <row r="455">
          <cell r="F455" t="str">
            <v>Run 1st</v>
          </cell>
        </row>
        <row r="458">
          <cell r="A458" t="str">
            <v>1910383</v>
          </cell>
          <cell r="B458">
            <v>710</v>
          </cell>
          <cell r="C458" t="str">
            <v>KOCH</v>
          </cell>
          <cell r="D458" t="str">
            <v>J^245^13^J1^287^00</v>
          </cell>
          <cell r="E458">
            <v>8.5</v>
          </cell>
          <cell r="F458" t="str">
            <v>Ster Trach Set/24</v>
          </cell>
          <cell r="H458">
            <v>13</v>
          </cell>
          <cell r="I458">
            <v>45</v>
          </cell>
          <cell r="K458">
            <v>43775</v>
          </cell>
          <cell r="L458">
            <v>5</v>
          </cell>
          <cell r="M458">
            <v>1</v>
          </cell>
        </row>
        <row r="459">
          <cell r="A459" t="str">
            <v>1910384</v>
          </cell>
          <cell r="B459">
            <v>703</v>
          </cell>
          <cell r="C459" t="str">
            <v>KOCH</v>
          </cell>
          <cell r="D459" t="str">
            <v>J^245^13^J1^287^00</v>
          </cell>
          <cell r="E459">
            <v>8.9</v>
          </cell>
          <cell r="F459" t="str">
            <v>Ster Trach Set/20</v>
          </cell>
          <cell r="H459">
            <v>13</v>
          </cell>
          <cell r="I459">
            <v>135</v>
          </cell>
          <cell r="K459">
            <v>43777</v>
          </cell>
          <cell r="L459">
            <v>3</v>
          </cell>
          <cell r="M459">
            <v>3</v>
          </cell>
        </row>
        <row r="461">
          <cell r="A461" t="str">
            <v>1910364</v>
          </cell>
          <cell r="B461">
            <v>1443</v>
          </cell>
          <cell r="C461" t="str">
            <v>KOCH</v>
          </cell>
          <cell r="D461" t="str">
            <v>J^245^13^J1^287^00</v>
          </cell>
          <cell r="E461">
            <v>8.5</v>
          </cell>
          <cell r="F461" t="str">
            <v>Ster Dressing Chg Tray/20</v>
          </cell>
          <cell r="H461">
            <v>3</v>
          </cell>
          <cell r="I461">
            <v>96</v>
          </cell>
          <cell r="J461" t="str">
            <v>7597  REWORK</v>
          </cell>
          <cell r="K461">
            <v>43776</v>
          </cell>
          <cell r="L461">
            <v>7</v>
          </cell>
          <cell r="M461">
            <v>2</v>
          </cell>
        </row>
        <row r="464">
          <cell r="A464" t="str">
            <v>1910396</v>
          </cell>
          <cell r="B464">
            <v>711</v>
          </cell>
          <cell r="C464" t="str">
            <v>KOCH</v>
          </cell>
          <cell r="D464" t="str">
            <v>J^245^13^J1^287^00</v>
          </cell>
          <cell r="E464">
            <v>8.5</v>
          </cell>
          <cell r="F464" t="str">
            <v>Ster Trach Set/24</v>
          </cell>
          <cell r="H464">
            <v>13</v>
          </cell>
          <cell r="I464">
            <v>540</v>
          </cell>
          <cell r="J464" t="str">
            <v>7095 due 11/29;7105 due 11/1;7106G due 11/29;EXPORT ORDER</v>
          </cell>
          <cell r="K464">
            <v>43727</v>
          </cell>
          <cell r="L464">
            <v>6</v>
          </cell>
          <cell r="M464">
            <v>12</v>
          </cell>
        </row>
        <row r="465">
          <cell r="A465" t="str">
            <v>1910397</v>
          </cell>
          <cell r="B465">
            <v>711</v>
          </cell>
          <cell r="C465" t="str">
            <v>KOCH</v>
          </cell>
          <cell r="D465" t="str">
            <v>J^245^13^J1^287^00</v>
          </cell>
          <cell r="E465">
            <v>8.5</v>
          </cell>
          <cell r="F465" t="str">
            <v>Ster Trach Set/24</v>
          </cell>
          <cell r="H465">
            <v>13</v>
          </cell>
          <cell r="I465">
            <v>540</v>
          </cell>
          <cell r="J465" t="str">
            <v>7095 due 11/29;7105 due 11/1;7035V-1 due 11/29;7106G due 11/29;7113-2 due 11/5;EXPORT ORDER</v>
          </cell>
          <cell r="K465">
            <v>43749</v>
          </cell>
          <cell r="L465">
            <v>6</v>
          </cell>
          <cell r="M465">
            <v>12</v>
          </cell>
        </row>
        <row r="466">
          <cell r="A466" t="str">
            <v>1910398</v>
          </cell>
          <cell r="B466">
            <v>711</v>
          </cell>
          <cell r="C466" t="str">
            <v>KOCH</v>
          </cell>
          <cell r="D466" t="str">
            <v>J^245^13^J1^287^00</v>
          </cell>
          <cell r="E466">
            <v>8.5</v>
          </cell>
          <cell r="F466" t="str">
            <v>Ster Trach Set/24</v>
          </cell>
          <cell r="H466">
            <v>13</v>
          </cell>
          <cell r="I466">
            <v>540</v>
          </cell>
          <cell r="J466" t="str">
            <v>7095 due 11/29;7105 due 11/1;9264 due 11/11;7035V-1 due 11/29;7106G due 11/29;7113-2 due 11/5;EXPORT ORDER</v>
          </cell>
          <cell r="K466">
            <v>43773</v>
          </cell>
          <cell r="L466">
            <v>6</v>
          </cell>
          <cell r="M466">
            <v>12</v>
          </cell>
        </row>
        <row r="467">
          <cell r="A467" t="str">
            <v>1910399</v>
          </cell>
          <cell r="B467">
            <v>711</v>
          </cell>
          <cell r="C467" t="str">
            <v>KOCH</v>
          </cell>
          <cell r="D467" t="str">
            <v>J^245^13^J1^287^00</v>
          </cell>
          <cell r="E467">
            <v>8.5</v>
          </cell>
          <cell r="F467" t="str">
            <v>Ster Trach Set/24</v>
          </cell>
          <cell r="H467">
            <v>13</v>
          </cell>
          <cell r="I467">
            <v>340</v>
          </cell>
          <cell r="J467" t="str">
            <v>7095 due 11/29;7105 due 11/1;9264 due 11/11;7035V-1 due 11/29;7106G due 11/29;7113-2 due 11/5;EXPORT ORDER</v>
          </cell>
          <cell r="K467">
            <v>43795</v>
          </cell>
          <cell r="L467">
            <v>6</v>
          </cell>
          <cell r="M467">
            <v>7.5555555555555554</v>
          </cell>
        </row>
        <row r="468">
          <cell r="A468" t="str">
            <v>1910387</v>
          </cell>
          <cell r="B468">
            <v>800</v>
          </cell>
          <cell r="C468" t="str">
            <v>KOCH</v>
          </cell>
          <cell r="D468" t="str">
            <v>J^245^13^J1^287^00</v>
          </cell>
          <cell r="E468">
            <v>8.5</v>
          </cell>
          <cell r="F468" t="str">
            <v>Ster Trach Set 20/cs</v>
          </cell>
          <cell r="H468">
            <v>3</v>
          </cell>
          <cell r="I468">
            <v>96</v>
          </cell>
          <cell r="J468" t="str">
            <v>7102 due 11/18;8001A-1 due 11/18</v>
          </cell>
          <cell r="K468">
            <v>43787</v>
          </cell>
          <cell r="L468">
            <v>5</v>
          </cell>
          <cell r="M468">
            <v>2</v>
          </cell>
        </row>
        <row r="469">
          <cell r="A469" t="str">
            <v>1910406</v>
          </cell>
          <cell r="B469">
            <v>2815</v>
          </cell>
          <cell r="C469" t="str">
            <v>KOCH</v>
          </cell>
          <cell r="D469" t="str">
            <v>J^245^13^J1^287^00</v>
          </cell>
          <cell r="E469">
            <v>8.5</v>
          </cell>
          <cell r="F469" t="str">
            <v>Ster Dressing Chg Tray20c</v>
          </cell>
          <cell r="H469">
            <v>13</v>
          </cell>
          <cell r="I469">
            <v>72</v>
          </cell>
          <cell r="J469" t="str">
            <v>7101 due 11/4;7102 due 11/18;7114 due 10/29;9142 due 11/11;7032-2 due 10/28;7035V-1 due 11/29</v>
          </cell>
          <cell r="K469">
            <v>43783</v>
          </cell>
          <cell r="L469">
            <v>4</v>
          </cell>
          <cell r="M469">
            <v>1.6</v>
          </cell>
        </row>
        <row r="472">
          <cell r="A472" t="str">
            <v>1910395</v>
          </cell>
          <cell r="B472">
            <v>9251</v>
          </cell>
          <cell r="C472" t="str">
            <v>KOCH</v>
          </cell>
          <cell r="D472" t="str">
            <v>M^220^13^M1^287^00</v>
          </cell>
          <cell r="E472">
            <v>8</v>
          </cell>
          <cell r="F472" t="str">
            <v>Ster Tracheostomy C/S 20c</v>
          </cell>
          <cell r="H472">
            <v>3</v>
          </cell>
          <cell r="I472">
            <v>130</v>
          </cell>
          <cell r="J472" t="str">
            <v>7095 due 11/29;7035V-1 due 11/29;7106G due 11/29;7113-2 due 11/5;8001A-1 due 11/18</v>
          </cell>
          <cell r="K472">
            <v>43776</v>
          </cell>
          <cell r="L472">
            <v>7</v>
          </cell>
          <cell r="M472">
            <v>2.8888888888888888</v>
          </cell>
        </row>
        <row r="473">
          <cell r="A473" t="str">
            <v>1910412</v>
          </cell>
          <cell r="B473">
            <v>713</v>
          </cell>
          <cell r="C473" t="str">
            <v>KOCH</v>
          </cell>
          <cell r="D473" t="str">
            <v>M^220^13^M1^287^00</v>
          </cell>
          <cell r="E473">
            <v>8.5</v>
          </cell>
          <cell r="F473" t="str">
            <v>Ster Trach Set/20</v>
          </cell>
          <cell r="H473">
            <v>13</v>
          </cell>
          <cell r="I473">
            <v>135</v>
          </cell>
          <cell r="J473" t="str">
            <v>7150P due 11/11</v>
          </cell>
          <cell r="K473">
            <v>43815</v>
          </cell>
          <cell r="L473">
            <v>3</v>
          </cell>
          <cell r="M473">
            <v>3</v>
          </cell>
        </row>
        <row r="475">
          <cell r="A475" t="str">
            <v>1910402</v>
          </cell>
          <cell r="B475">
            <v>799</v>
          </cell>
          <cell r="C475" t="str">
            <v>KOCH</v>
          </cell>
          <cell r="D475" t="str">
            <v>J^245^13^J1^287^00</v>
          </cell>
          <cell r="E475">
            <v>8.5</v>
          </cell>
          <cell r="F475" t="str">
            <v>Ster Trach Set/20</v>
          </cell>
          <cell r="H475">
            <v>13</v>
          </cell>
          <cell r="I475">
            <v>45</v>
          </cell>
          <cell r="J475" t="str">
            <v>7101 due 11/4;7102 due 11/18;7990P due 11/11</v>
          </cell>
          <cell r="K475">
            <v>43803</v>
          </cell>
          <cell r="L475">
            <v>3</v>
          </cell>
          <cell r="M475">
            <v>1</v>
          </cell>
        </row>
        <row r="476">
          <cell r="A476" t="str">
            <v>1910407</v>
          </cell>
          <cell r="B476">
            <v>703</v>
          </cell>
          <cell r="C476" t="str">
            <v>KOCH</v>
          </cell>
          <cell r="D476" t="str">
            <v>J^245^13^J1^287^00</v>
          </cell>
          <cell r="E476">
            <v>8.9</v>
          </cell>
          <cell r="F476" t="str">
            <v>Ster Trach Set/20</v>
          </cell>
          <cell r="H476">
            <v>13</v>
          </cell>
          <cell r="I476">
            <v>135</v>
          </cell>
          <cell r="J476" t="str">
            <v>7101 due 11/4;7102 due 11/18;7030P due 11/11</v>
          </cell>
          <cell r="K476">
            <v>43805</v>
          </cell>
          <cell r="L476">
            <v>3</v>
          </cell>
          <cell r="M476">
            <v>3</v>
          </cell>
        </row>
        <row r="477">
          <cell r="A477" t="str">
            <v>1910408</v>
          </cell>
          <cell r="B477">
            <v>714</v>
          </cell>
          <cell r="C477" t="str">
            <v>KOCH</v>
          </cell>
          <cell r="D477" t="str">
            <v>J^245^13^J1^287^00</v>
          </cell>
          <cell r="E477">
            <v>8.5</v>
          </cell>
          <cell r="F477" t="str">
            <v>Sterile Trach Set 20cs</v>
          </cell>
          <cell r="H477">
            <v>3</v>
          </cell>
          <cell r="I477">
            <v>45</v>
          </cell>
          <cell r="J477" t="str">
            <v>7101 due 11/4;7102 due 11/18</v>
          </cell>
          <cell r="K477">
            <v>43809</v>
          </cell>
          <cell r="L477">
            <v>3</v>
          </cell>
          <cell r="M477">
            <v>1</v>
          </cell>
        </row>
        <row r="478">
          <cell r="A478" t="str">
            <v>1910410</v>
          </cell>
          <cell r="B478">
            <v>1443</v>
          </cell>
          <cell r="C478" t="str">
            <v>KOCH</v>
          </cell>
          <cell r="D478" t="str">
            <v>J^245^13^J1^287^00</v>
          </cell>
          <cell r="E478">
            <v>8.5</v>
          </cell>
          <cell r="F478" t="str">
            <v>Ster Dressing Chg Tray/20</v>
          </cell>
          <cell r="H478">
            <v>3</v>
          </cell>
          <cell r="I478">
            <v>96</v>
          </cell>
          <cell r="J478" t="str">
            <v>7101 due 11/4;7102 due 11/18;7114 due 10/29;7597;7631;8001A-1 due 11/18;8380A due 11/29;9677-1</v>
          </cell>
          <cell r="K478">
            <v>43809</v>
          </cell>
          <cell r="L478">
            <v>7</v>
          </cell>
          <cell r="M478">
            <v>2</v>
          </cell>
        </row>
        <row r="480">
          <cell r="A480" t="str">
            <v>1910401</v>
          </cell>
          <cell r="B480">
            <v>668</v>
          </cell>
          <cell r="C480" t="str">
            <v>KOCH</v>
          </cell>
          <cell r="D480" t="str">
            <v>L^220^14^L2^287^45</v>
          </cell>
          <cell r="E480">
            <v>8.5</v>
          </cell>
          <cell r="F480" t="str">
            <v>STER PUMP REFILL KIT/10</v>
          </cell>
          <cell r="H480">
            <v>3</v>
          </cell>
          <cell r="I480">
            <v>60</v>
          </cell>
          <cell r="J480" t="str">
            <v>7101 due 11/4;5061A Run Out (3/cs Short);7032-2 due 10/28;7230A Hold;7937B due 10/30;8260-1 due 11/1;8380A due 11/29;EXTRA CASE INCLUDED FOR PYROGEN TESTING</v>
          </cell>
          <cell r="K480">
            <v>43790</v>
          </cell>
          <cell r="L480">
            <v>6</v>
          </cell>
          <cell r="M480">
            <v>0.5</v>
          </cell>
        </row>
        <row r="481">
          <cell r="A481" t="str">
            <v>1950091</v>
          </cell>
          <cell r="B481">
            <v>71021</v>
          </cell>
          <cell r="C481" t="str">
            <v>KOCH</v>
          </cell>
          <cell r="D481" t="str">
            <v>L^220^11^L1^000^00</v>
          </cell>
          <cell r="E481">
            <v>7</v>
          </cell>
          <cell r="F481" t="str">
            <v>One Comp Tray</v>
          </cell>
          <cell r="H481" t="str">
            <v>NON</v>
          </cell>
          <cell r="I481">
            <v>25000</v>
          </cell>
          <cell r="K481">
            <v>43782</v>
          </cell>
          <cell r="L481">
            <v>2</v>
          </cell>
          <cell r="M481">
            <v>5.5555555555555554</v>
          </cell>
        </row>
        <row r="482">
          <cell r="A482" t="str">
            <v>1910411</v>
          </cell>
          <cell r="B482">
            <v>759</v>
          </cell>
          <cell r="C482" t="str">
            <v>KOCH</v>
          </cell>
          <cell r="D482" t="str">
            <v>L^220^14^L1^287^00</v>
          </cell>
          <cell r="E482">
            <v>8.5</v>
          </cell>
          <cell r="F482" t="str">
            <v>Ster Dress Chg Tray 20cs</v>
          </cell>
          <cell r="H482">
            <v>3</v>
          </cell>
          <cell r="I482">
            <v>90</v>
          </cell>
          <cell r="J482" t="str">
            <v>1442 due 11/29;7101 due 11/4;7597;8260-1 due 11/1</v>
          </cell>
          <cell r="K482">
            <v>43811</v>
          </cell>
          <cell r="L482">
            <v>6</v>
          </cell>
          <cell r="M482">
            <v>2</v>
          </cell>
        </row>
        <row r="483">
          <cell r="A483" t="str">
            <v>1910409</v>
          </cell>
          <cell r="B483">
            <v>835</v>
          </cell>
          <cell r="C483" t="str">
            <v>KOCH*</v>
          </cell>
          <cell r="D483" t="str">
            <v>L^220^14^L1^287^00</v>
          </cell>
          <cell r="E483">
            <v>9.4</v>
          </cell>
          <cell r="F483" t="str">
            <v>Ster C/Line Dress C/T30EX</v>
          </cell>
          <cell r="H483">
            <v>3</v>
          </cell>
          <cell r="I483">
            <v>40</v>
          </cell>
          <cell r="J483" t="str">
            <v>7101 due 11/4;8271 due 11/4;4515B due 11/1;7032-2 due 10/28;8261-2 due 10/28;8380A due 11/29</v>
          </cell>
          <cell r="K483">
            <v>43802</v>
          </cell>
          <cell r="L483">
            <v>2</v>
          </cell>
          <cell r="M483">
            <v>1</v>
          </cell>
        </row>
        <row r="486">
          <cell r="F486" t="str">
            <v xml:space="preserve">Run 1st </v>
          </cell>
        </row>
        <row r="488">
          <cell r="A488" t="str">
            <v>1940070</v>
          </cell>
          <cell r="B488">
            <v>696</v>
          </cell>
          <cell r="C488" t="str">
            <v>CIRCLE</v>
          </cell>
          <cell r="D488" t="str">
            <v>Q^260^16^92^blu^00</v>
          </cell>
          <cell r="E488">
            <v>0</v>
          </cell>
          <cell r="F488" t="str">
            <v>Ster Polylined Drape/300</v>
          </cell>
          <cell r="H488">
            <v>1</v>
          </cell>
          <cell r="I488">
            <v>147</v>
          </cell>
          <cell r="K488">
            <v>43775</v>
          </cell>
          <cell r="L488">
            <v>4</v>
          </cell>
          <cell r="M488">
            <v>3.6749999999999998</v>
          </cell>
        </row>
        <row r="489">
          <cell r="A489" t="str">
            <v>1940072</v>
          </cell>
          <cell r="B489">
            <v>696</v>
          </cell>
          <cell r="C489" t="str">
            <v>CIRCLE</v>
          </cell>
          <cell r="D489" t="str">
            <v>Q^260^16^92^blu^00</v>
          </cell>
          <cell r="E489">
            <v>0</v>
          </cell>
          <cell r="F489" t="str">
            <v>Ster Polylined Drape/300</v>
          </cell>
          <cell r="H489">
            <v>1</v>
          </cell>
          <cell r="I489">
            <v>240</v>
          </cell>
          <cell r="K489">
            <v>43777</v>
          </cell>
          <cell r="L489">
            <v>4</v>
          </cell>
          <cell r="M489">
            <v>6</v>
          </cell>
        </row>
        <row r="490">
          <cell r="A490" t="str">
            <v>1940073</v>
          </cell>
          <cell r="B490">
            <v>696</v>
          </cell>
          <cell r="C490" t="str">
            <v>CIRCLE</v>
          </cell>
          <cell r="D490" t="str">
            <v>Q^260^16^92^blu^00</v>
          </cell>
          <cell r="E490">
            <v>0</v>
          </cell>
          <cell r="F490" t="str">
            <v>Ster Polylined Drape/300</v>
          </cell>
          <cell r="H490">
            <v>1</v>
          </cell>
          <cell r="I490">
            <v>240</v>
          </cell>
          <cell r="K490">
            <v>43783</v>
          </cell>
          <cell r="L490">
            <v>4</v>
          </cell>
          <cell r="M490">
            <v>6</v>
          </cell>
        </row>
        <row r="491">
          <cell r="A491" t="str">
            <v>1940074</v>
          </cell>
          <cell r="B491">
            <v>696</v>
          </cell>
          <cell r="C491" t="str">
            <v>CIRCLE</v>
          </cell>
          <cell r="D491" t="str">
            <v>Q^260^16^92^blu^00</v>
          </cell>
          <cell r="E491">
            <v>0</v>
          </cell>
          <cell r="F491" t="str">
            <v>Ster Polylined Drape/300</v>
          </cell>
          <cell r="H491">
            <v>1</v>
          </cell>
          <cell r="I491">
            <v>440</v>
          </cell>
          <cell r="J491" t="str">
            <v>7092 due 10/24</v>
          </cell>
          <cell r="K491">
            <v>43789</v>
          </cell>
          <cell r="L491">
            <v>4</v>
          </cell>
          <cell r="M491">
            <v>11</v>
          </cell>
        </row>
        <row r="492">
          <cell r="A492" t="str">
            <v>1940027</v>
          </cell>
          <cell r="B492">
            <v>697</v>
          </cell>
          <cell r="C492" t="str">
            <v>CIRCLE</v>
          </cell>
          <cell r="D492" t="str">
            <v>Q^260^16^19^blu^00</v>
          </cell>
          <cell r="E492">
            <v>0</v>
          </cell>
          <cell r="F492" t="str">
            <v>Ster Fenstrated Drape/300</v>
          </cell>
          <cell r="H492">
            <v>1</v>
          </cell>
          <cell r="I492">
            <v>240</v>
          </cell>
          <cell r="K492">
            <v>43789</v>
          </cell>
          <cell r="L492">
            <v>4</v>
          </cell>
          <cell r="M492">
            <v>6</v>
          </cell>
        </row>
        <row r="493">
          <cell r="A493" t="str">
            <v>1940075</v>
          </cell>
          <cell r="B493">
            <v>696</v>
          </cell>
          <cell r="C493" t="str">
            <v>CIRCLE</v>
          </cell>
          <cell r="D493" t="str">
            <v>Q^260^16^92^blu^00</v>
          </cell>
          <cell r="E493">
            <v>0</v>
          </cell>
          <cell r="F493" t="str">
            <v>Ster Polylined Drape/300</v>
          </cell>
          <cell r="H493">
            <v>1</v>
          </cell>
          <cell r="I493">
            <v>240</v>
          </cell>
          <cell r="J493" t="str">
            <v>7092 due 10/28</v>
          </cell>
          <cell r="K493">
            <v>43798</v>
          </cell>
          <cell r="L493">
            <v>4</v>
          </cell>
          <cell r="M493">
            <v>6</v>
          </cell>
        </row>
        <row r="494">
          <cell r="A494" t="str">
            <v>1940076</v>
          </cell>
          <cell r="B494">
            <v>696</v>
          </cell>
          <cell r="C494" t="str">
            <v>CIRCLE</v>
          </cell>
          <cell r="D494" t="str">
            <v>Q^260^16^92^blu^00</v>
          </cell>
          <cell r="E494">
            <v>0</v>
          </cell>
          <cell r="F494" t="str">
            <v>Ster Polylined Drape/300</v>
          </cell>
          <cell r="H494">
            <v>1</v>
          </cell>
          <cell r="I494">
            <v>240</v>
          </cell>
          <cell r="J494" t="str">
            <v>7092 due 10/29</v>
          </cell>
          <cell r="K494">
            <v>43804</v>
          </cell>
          <cell r="L494">
            <v>4</v>
          </cell>
          <cell r="M494">
            <v>6</v>
          </cell>
        </row>
        <row r="495">
          <cell r="A495" t="str">
            <v>1940077</v>
          </cell>
          <cell r="B495">
            <v>696</v>
          </cell>
          <cell r="C495" t="str">
            <v>CIRCLE</v>
          </cell>
          <cell r="D495" t="str">
            <v>Q^260^16^92^blu^00</v>
          </cell>
          <cell r="E495">
            <v>0</v>
          </cell>
          <cell r="F495" t="str">
            <v>Ster Polylined Drape/300</v>
          </cell>
          <cell r="H495">
            <v>1</v>
          </cell>
          <cell r="I495">
            <v>240</v>
          </cell>
          <cell r="J495" t="str">
            <v>7092 due 10/30</v>
          </cell>
          <cell r="K495">
            <v>43810</v>
          </cell>
          <cell r="L495">
            <v>4</v>
          </cell>
          <cell r="M495">
            <v>6</v>
          </cell>
        </row>
        <row r="497">
          <cell r="A497" t="str">
            <v>1940086</v>
          </cell>
          <cell r="B497">
            <v>698</v>
          </cell>
          <cell r="C497" t="str">
            <v>CIRCLE</v>
          </cell>
          <cell r="D497" t="str">
            <v>P^305^14^88^blu^00</v>
          </cell>
          <cell r="E497">
            <v>0</v>
          </cell>
          <cell r="F497" t="str">
            <v>Ster Drape/200</v>
          </cell>
          <cell r="H497">
            <v>1</v>
          </cell>
          <cell r="I497">
            <v>165</v>
          </cell>
          <cell r="J497" t="str">
            <v>6982A Run Out;6988DB-1 due 11/20</v>
          </cell>
          <cell r="K497">
            <v>43811</v>
          </cell>
          <cell r="L497">
            <v>3</v>
          </cell>
          <cell r="M497">
            <v>4.125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68"/>
  <sheetViews>
    <sheetView zoomScale="75" zoomScaleNormal="75" zoomScaleSheetLayoutView="50" workbookViewId="0">
      <selection activeCell="B12" sqref="B12:M12 B16:M16 B20:M20 B24:M24"/>
    </sheetView>
  </sheetViews>
  <sheetFormatPr defaultColWidth="12" defaultRowHeight="14.25"/>
  <cols>
    <col min="1" max="1" width="23" style="36" customWidth="1"/>
    <col min="2" max="3" width="15.875" style="36" customWidth="1"/>
    <col min="4" max="4" width="16.25" style="36" customWidth="1"/>
    <col min="5" max="13" width="15.875" style="36" customWidth="1"/>
    <col min="14" max="256" width="12" style="36"/>
    <col min="257" max="257" width="29.875" style="36" customWidth="1"/>
    <col min="258" max="269" width="15.875" style="36" customWidth="1"/>
    <col min="270" max="512" width="12" style="36"/>
    <col min="513" max="513" width="29.875" style="36" customWidth="1"/>
    <col min="514" max="525" width="15.875" style="36" customWidth="1"/>
    <col min="526" max="768" width="12" style="36"/>
    <col min="769" max="769" width="29.875" style="36" customWidth="1"/>
    <col min="770" max="781" width="15.875" style="36" customWidth="1"/>
    <col min="782" max="1024" width="12" style="36"/>
    <col min="1025" max="1025" width="29.875" style="36" customWidth="1"/>
    <col min="1026" max="1037" width="15.875" style="36" customWidth="1"/>
    <col min="1038" max="1280" width="12" style="36"/>
    <col min="1281" max="1281" width="29.875" style="36" customWidth="1"/>
    <col min="1282" max="1293" width="15.875" style="36" customWidth="1"/>
    <col min="1294" max="1536" width="12" style="36"/>
    <col min="1537" max="1537" width="29.875" style="36" customWidth="1"/>
    <col min="1538" max="1549" width="15.875" style="36" customWidth="1"/>
    <col min="1550" max="1792" width="12" style="36"/>
    <col min="1793" max="1793" width="29.875" style="36" customWidth="1"/>
    <col min="1794" max="1805" width="15.875" style="36" customWidth="1"/>
    <col min="1806" max="2048" width="12" style="36"/>
    <col min="2049" max="2049" width="29.875" style="36" customWidth="1"/>
    <col min="2050" max="2061" width="15.875" style="36" customWidth="1"/>
    <col min="2062" max="2304" width="12" style="36"/>
    <col min="2305" max="2305" width="29.875" style="36" customWidth="1"/>
    <col min="2306" max="2317" width="15.875" style="36" customWidth="1"/>
    <col min="2318" max="2560" width="12" style="36"/>
    <col min="2561" max="2561" width="29.875" style="36" customWidth="1"/>
    <col min="2562" max="2573" width="15.875" style="36" customWidth="1"/>
    <col min="2574" max="2816" width="12" style="36"/>
    <col min="2817" max="2817" width="29.875" style="36" customWidth="1"/>
    <col min="2818" max="2829" width="15.875" style="36" customWidth="1"/>
    <col min="2830" max="3072" width="12" style="36"/>
    <col min="3073" max="3073" width="29.875" style="36" customWidth="1"/>
    <col min="3074" max="3085" width="15.875" style="36" customWidth="1"/>
    <col min="3086" max="3328" width="12" style="36"/>
    <col min="3329" max="3329" width="29.875" style="36" customWidth="1"/>
    <col min="3330" max="3341" width="15.875" style="36" customWidth="1"/>
    <col min="3342" max="3584" width="12" style="36"/>
    <col min="3585" max="3585" width="29.875" style="36" customWidth="1"/>
    <col min="3586" max="3597" width="15.875" style="36" customWidth="1"/>
    <col min="3598" max="3840" width="12" style="36"/>
    <col min="3841" max="3841" width="29.875" style="36" customWidth="1"/>
    <col min="3842" max="3853" width="15.875" style="36" customWidth="1"/>
    <col min="3854" max="4096" width="12" style="36"/>
    <col min="4097" max="4097" width="29.875" style="36" customWidth="1"/>
    <col min="4098" max="4109" width="15.875" style="36" customWidth="1"/>
    <col min="4110" max="4352" width="12" style="36"/>
    <col min="4353" max="4353" width="29.875" style="36" customWidth="1"/>
    <col min="4354" max="4365" width="15.875" style="36" customWidth="1"/>
    <col min="4366" max="4608" width="12" style="36"/>
    <col min="4609" max="4609" width="29.875" style="36" customWidth="1"/>
    <col min="4610" max="4621" width="15.875" style="36" customWidth="1"/>
    <col min="4622" max="4864" width="12" style="36"/>
    <col min="4865" max="4865" width="29.875" style="36" customWidth="1"/>
    <col min="4866" max="4877" width="15.875" style="36" customWidth="1"/>
    <col min="4878" max="5120" width="12" style="36"/>
    <col min="5121" max="5121" width="29.875" style="36" customWidth="1"/>
    <col min="5122" max="5133" width="15.875" style="36" customWidth="1"/>
    <col min="5134" max="5376" width="12" style="36"/>
    <col min="5377" max="5377" width="29.875" style="36" customWidth="1"/>
    <col min="5378" max="5389" width="15.875" style="36" customWidth="1"/>
    <col min="5390" max="5632" width="12" style="36"/>
    <col min="5633" max="5633" width="29.875" style="36" customWidth="1"/>
    <col min="5634" max="5645" width="15.875" style="36" customWidth="1"/>
    <col min="5646" max="5888" width="12" style="36"/>
    <col min="5889" max="5889" width="29.875" style="36" customWidth="1"/>
    <col min="5890" max="5901" width="15.875" style="36" customWidth="1"/>
    <col min="5902" max="6144" width="12" style="36"/>
    <col min="6145" max="6145" width="29.875" style="36" customWidth="1"/>
    <col min="6146" max="6157" width="15.875" style="36" customWidth="1"/>
    <col min="6158" max="6400" width="12" style="36"/>
    <col min="6401" max="6401" width="29.875" style="36" customWidth="1"/>
    <col min="6402" max="6413" width="15.875" style="36" customWidth="1"/>
    <col min="6414" max="6656" width="12" style="36"/>
    <col min="6657" max="6657" width="29.875" style="36" customWidth="1"/>
    <col min="6658" max="6669" width="15.875" style="36" customWidth="1"/>
    <col min="6670" max="6912" width="12" style="36"/>
    <col min="6913" max="6913" width="29.875" style="36" customWidth="1"/>
    <col min="6914" max="6925" width="15.875" style="36" customWidth="1"/>
    <col min="6926" max="7168" width="12" style="36"/>
    <col min="7169" max="7169" width="29.875" style="36" customWidth="1"/>
    <col min="7170" max="7181" width="15.875" style="36" customWidth="1"/>
    <col min="7182" max="7424" width="12" style="36"/>
    <col min="7425" max="7425" width="29.875" style="36" customWidth="1"/>
    <col min="7426" max="7437" width="15.875" style="36" customWidth="1"/>
    <col min="7438" max="7680" width="12" style="36"/>
    <col min="7681" max="7681" width="29.875" style="36" customWidth="1"/>
    <col min="7682" max="7693" width="15.875" style="36" customWidth="1"/>
    <col min="7694" max="7936" width="12" style="36"/>
    <col min="7937" max="7937" width="29.875" style="36" customWidth="1"/>
    <col min="7938" max="7949" width="15.875" style="36" customWidth="1"/>
    <col min="7950" max="8192" width="12" style="36"/>
    <col min="8193" max="8193" width="29.875" style="36" customWidth="1"/>
    <col min="8194" max="8205" width="15.875" style="36" customWidth="1"/>
    <col min="8206" max="8448" width="12" style="36"/>
    <col min="8449" max="8449" width="29.875" style="36" customWidth="1"/>
    <col min="8450" max="8461" width="15.875" style="36" customWidth="1"/>
    <col min="8462" max="8704" width="12" style="36"/>
    <col min="8705" max="8705" width="29.875" style="36" customWidth="1"/>
    <col min="8706" max="8717" width="15.875" style="36" customWidth="1"/>
    <col min="8718" max="8960" width="12" style="36"/>
    <col min="8961" max="8961" width="29.875" style="36" customWidth="1"/>
    <col min="8962" max="8973" width="15.875" style="36" customWidth="1"/>
    <col min="8974" max="9216" width="12" style="36"/>
    <col min="9217" max="9217" width="29.875" style="36" customWidth="1"/>
    <col min="9218" max="9229" width="15.875" style="36" customWidth="1"/>
    <col min="9230" max="9472" width="12" style="36"/>
    <col min="9473" max="9473" width="29.875" style="36" customWidth="1"/>
    <col min="9474" max="9485" width="15.875" style="36" customWidth="1"/>
    <col min="9486" max="9728" width="12" style="36"/>
    <col min="9729" max="9729" width="29.875" style="36" customWidth="1"/>
    <col min="9730" max="9741" width="15.875" style="36" customWidth="1"/>
    <col min="9742" max="9984" width="12" style="36"/>
    <col min="9985" max="9985" width="29.875" style="36" customWidth="1"/>
    <col min="9986" max="9997" width="15.875" style="36" customWidth="1"/>
    <col min="9998" max="10240" width="12" style="36"/>
    <col min="10241" max="10241" width="29.875" style="36" customWidth="1"/>
    <col min="10242" max="10253" width="15.875" style="36" customWidth="1"/>
    <col min="10254" max="10496" width="12" style="36"/>
    <col min="10497" max="10497" width="29.875" style="36" customWidth="1"/>
    <col min="10498" max="10509" width="15.875" style="36" customWidth="1"/>
    <col min="10510" max="10752" width="12" style="36"/>
    <col min="10753" max="10753" width="29.875" style="36" customWidth="1"/>
    <col min="10754" max="10765" width="15.875" style="36" customWidth="1"/>
    <col min="10766" max="11008" width="12" style="36"/>
    <col min="11009" max="11009" width="29.875" style="36" customWidth="1"/>
    <col min="11010" max="11021" width="15.875" style="36" customWidth="1"/>
    <col min="11022" max="11264" width="12" style="36"/>
    <col min="11265" max="11265" width="29.875" style="36" customWidth="1"/>
    <col min="11266" max="11277" width="15.875" style="36" customWidth="1"/>
    <col min="11278" max="11520" width="12" style="36"/>
    <col min="11521" max="11521" width="29.875" style="36" customWidth="1"/>
    <col min="11522" max="11533" width="15.875" style="36" customWidth="1"/>
    <col min="11534" max="11776" width="12" style="36"/>
    <col min="11777" max="11777" width="29.875" style="36" customWidth="1"/>
    <col min="11778" max="11789" width="15.875" style="36" customWidth="1"/>
    <col min="11790" max="12032" width="12" style="36"/>
    <col min="12033" max="12033" width="29.875" style="36" customWidth="1"/>
    <col min="12034" max="12045" width="15.875" style="36" customWidth="1"/>
    <col min="12046" max="12288" width="12" style="36"/>
    <col min="12289" max="12289" width="29.875" style="36" customWidth="1"/>
    <col min="12290" max="12301" width="15.875" style="36" customWidth="1"/>
    <col min="12302" max="12544" width="12" style="36"/>
    <col min="12545" max="12545" width="29.875" style="36" customWidth="1"/>
    <col min="12546" max="12557" width="15.875" style="36" customWidth="1"/>
    <col min="12558" max="12800" width="12" style="36"/>
    <col min="12801" max="12801" width="29.875" style="36" customWidth="1"/>
    <col min="12802" max="12813" width="15.875" style="36" customWidth="1"/>
    <col min="12814" max="13056" width="12" style="36"/>
    <col min="13057" max="13057" width="29.875" style="36" customWidth="1"/>
    <col min="13058" max="13069" width="15.875" style="36" customWidth="1"/>
    <col min="13070" max="13312" width="12" style="36"/>
    <col min="13313" max="13313" width="29.875" style="36" customWidth="1"/>
    <col min="13314" max="13325" width="15.875" style="36" customWidth="1"/>
    <col min="13326" max="13568" width="12" style="36"/>
    <col min="13569" max="13569" width="29.875" style="36" customWidth="1"/>
    <col min="13570" max="13581" width="15.875" style="36" customWidth="1"/>
    <col min="13582" max="13824" width="12" style="36"/>
    <col min="13825" max="13825" width="29.875" style="36" customWidth="1"/>
    <col min="13826" max="13837" width="15.875" style="36" customWidth="1"/>
    <col min="13838" max="14080" width="12" style="36"/>
    <col min="14081" max="14081" width="29.875" style="36" customWidth="1"/>
    <col min="14082" max="14093" width="15.875" style="36" customWidth="1"/>
    <col min="14094" max="14336" width="12" style="36"/>
    <col min="14337" max="14337" width="29.875" style="36" customWidth="1"/>
    <col min="14338" max="14349" width="15.875" style="36" customWidth="1"/>
    <col min="14350" max="14592" width="12" style="36"/>
    <col min="14593" max="14593" width="29.875" style="36" customWidth="1"/>
    <col min="14594" max="14605" width="15.875" style="36" customWidth="1"/>
    <col min="14606" max="14848" width="12" style="36"/>
    <col min="14849" max="14849" width="29.875" style="36" customWidth="1"/>
    <col min="14850" max="14861" width="15.875" style="36" customWidth="1"/>
    <col min="14862" max="15104" width="12" style="36"/>
    <col min="15105" max="15105" width="29.875" style="36" customWidth="1"/>
    <col min="15106" max="15117" width="15.875" style="36" customWidth="1"/>
    <col min="15118" max="15360" width="12" style="36"/>
    <col min="15361" max="15361" width="29.875" style="36" customWidth="1"/>
    <col min="15362" max="15373" width="15.875" style="36" customWidth="1"/>
    <col min="15374" max="15616" width="12" style="36"/>
    <col min="15617" max="15617" width="29.875" style="36" customWidth="1"/>
    <col min="15618" max="15629" width="15.875" style="36" customWidth="1"/>
    <col min="15630" max="15872" width="12" style="36"/>
    <col min="15873" max="15873" width="29.875" style="36" customWidth="1"/>
    <col min="15874" max="15885" width="15.875" style="36" customWidth="1"/>
    <col min="15886" max="16128" width="12" style="36"/>
    <col min="16129" max="16129" width="29.875" style="36" customWidth="1"/>
    <col min="16130" max="16141" width="15.875" style="36" customWidth="1"/>
    <col min="16142" max="16384" width="12" style="36"/>
  </cols>
  <sheetData>
    <row r="1" spans="1:18" ht="39.75" customHeight="1">
      <c r="A1" s="35" t="s">
        <v>18</v>
      </c>
      <c r="C1" s="306" t="s">
        <v>125</v>
      </c>
      <c r="D1" s="307"/>
      <c r="E1" s="307"/>
      <c r="F1" s="307"/>
      <c r="G1" s="307"/>
      <c r="H1" s="307"/>
      <c r="I1" s="307"/>
      <c r="J1" s="308" t="s">
        <v>19</v>
      </c>
      <c r="K1" s="308"/>
      <c r="L1" s="308"/>
      <c r="M1" s="308"/>
    </row>
    <row r="2" spans="1:18" ht="9" customHeight="1">
      <c r="B2" s="37">
        <v>1</v>
      </c>
      <c r="C2" s="37">
        <v>2</v>
      </c>
      <c r="D2" s="37">
        <v>3</v>
      </c>
      <c r="E2" s="37">
        <v>4</v>
      </c>
      <c r="F2" s="37">
        <v>5</v>
      </c>
      <c r="G2" s="37">
        <v>6</v>
      </c>
      <c r="H2" s="37">
        <v>7</v>
      </c>
      <c r="I2" s="37">
        <v>8</v>
      </c>
      <c r="J2" s="37">
        <v>9</v>
      </c>
      <c r="K2" s="37">
        <v>10</v>
      </c>
      <c r="L2" s="37">
        <v>11</v>
      </c>
      <c r="M2" s="37">
        <v>12</v>
      </c>
    </row>
    <row r="3" spans="1:18">
      <c r="A3" s="36" t="s">
        <v>20</v>
      </c>
      <c r="B3" s="165">
        <v>1</v>
      </c>
      <c r="C3" s="165">
        <v>2</v>
      </c>
      <c r="D3" s="165">
        <v>3</v>
      </c>
      <c r="E3" s="165">
        <v>4</v>
      </c>
      <c r="F3" s="165">
        <v>5</v>
      </c>
      <c r="G3" s="165">
        <v>6</v>
      </c>
      <c r="H3" s="165">
        <v>7</v>
      </c>
      <c r="I3" s="165">
        <v>8</v>
      </c>
      <c r="J3" s="165">
        <v>9</v>
      </c>
      <c r="K3" s="165">
        <v>10</v>
      </c>
      <c r="L3" s="165">
        <v>11</v>
      </c>
      <c r="M3" s="165">
        <v>12</v>
      </c>
    </row>
    <row r="5" spans="1:18">
      <c r="A5" s="38"/>
    </row>
    <row r="9" spans="1:18" ht="6" customHeight="1"/>
    <row r="10" spans="1:18" ht="5.25" customHeight="1">
      <c r="A10" s="39"/>
      <c r="B10" s="39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1:18" ht="24.95" customHeight="1">
      <c r="A11" s="266" t="s">
        <v>21</v>
      </c>
      <c r="B11" s="258" t="str">
        <f>IF(NOT(ISNA(INDEX(Schedule!$O:$O,MATCH(B12,Schedule!$T:$T,0)))), INDEX(Schedule!$O:$O,MATCH(B12,Schedule!$T:$T,0)), "")</f>
        <v/>
      </c>
      <c r="C11" s="258" t="str">
        <f>IF(NOT(ISNA(INDEX(Schedule!$O:$O,MATCH(C12,Schedule!$T:$T,0)))), INDEX(Schedule!$O:$O,MATCH(C12,Schedule!$T:$T,0)), "")</f>
        <v/>
      </c>
      <c r="D11" s="258" t="str">
        <f>IF(NOT(ISNA(INDEX(Schedule!$O:$O,MATCH(D12,Schedule!$T:$T,0)))), INDEX(Schedule!$O:$O,MATCH(D12,Schedule!$T:$T,0)), "")</f>
        <v/>
      </c>
      <c r="E11" s="258" t="str">
        <f>IF(NOT(ISNA(INDEX(Schedule!$O:$O,MATCH(E12,Schedule!$T:$T,0)))), INDEX(Schedule!$O:$O,MATCH(E12,Schedule!$T:$T,0)), "")</f>
        <v/>
      </c>
      <c r="F11" s="258" t="str">
        <f>IF(NOT(ISNA(INDEX(Schedule!$O:$O,MATCH(F12,Schedule!$T:$T,0)))), INDEX(Schedule!$O:$O,MATCH(F12,Schedule!$T:$T,0)), "")</f>
        <v/>
      </c>
      <c r="G11" s="258" t="str">
        <f>IF(NOT(ISNA(INDEX(Schedule!$O:$O,MATCH(G12,Schedule!$T:$T,0)))), INDEX(Schedule!$O:$O,MATCH(G12,Schedule!$T:$T,0)), "")</f>
        <v/>
      </c>
      <c r="H11" s="258" t="str">
        <f>IF(NOT(ISNA(INDEX(Schedule!$O:$O,MATCH(H12,Schedule!$T:$T,0)))), INDEX(Schedule!$O:$O,MATCH(H12,Schedule!$T:$T,0)), "")</f>
        <v/>
      </c>
      <c r="I11" s="258" t="str">
        <f>IF(NOT(ISNA(INDEX(Schedule!$O:$O,MATCH(I12,Schedule!$T:$T,0)))), INDEX(Schedule!$O:$O,MATCH(I12,Schedule!$T:$T,0)), "")</f>
        <v/>
      </c>
      <c r="J11" s="258" t="str">
        <f>IF(NOT(ISNA(INDEX(Schedule!$O:$O,MATCH(J12,Schedule!$T:$T,0)))), INDEX(Schedule!$O:$O,MATCH(J12,Schedule!$T:$T,0)), "")</f>
        <v/>
      </c>
      <c r="K11" s="258" t="str">
        <f>IF(NOT(ISNA(INDEX(Schedule!$O:$O,MATCH(K12,Schedule!$T:$T,0)))), INDEX(Schedule!$O:$O,MATCH(K12,Schedule!$T:$T,0)), "")</f>
        <v/>
      </c>
      <c r="L11" s="258" t="str">
        <f>IF(NOT(ISNA(INDEX(Schedule!$O:$O,MATCH(L12,Schedule!$T:$T,0)))), INDEX(Schedule!$O:$O,MATCH(L12,Schedule!$T:$T,0)), "")</f>
        <v/>
      </c>
      <c r="M11" s="258" t="str">
        <f>IF(NOT(ISNA(INDEX(Schedule!$O:$O,MATCH(M12,Schedule!$T:$T,0)))), INDEX(Schedule!$O:$O,MATCH(M12,Schedule!$T:$T,0)), "")</f>
        <v/>
      </c>
      <c r="P11" s="316"/>
      <c r="Q11" s="316"/>
      <c r="R11" s="316"/>
    </row>
    <row r="12" spans="1:18" ht="24.95" customHeight="1">
      <c r="A12" s="266" t="s">
        <v>22</v>
      </c>
      <c r="B12" s="259"/>
      <c r="C12" s="259"/>
      <c r="D12" s="259"/>
      <c r="E12" s="259"/>
      <c r="F12" s="259"/>
      <c r="G12" s="259"/>
      <c r="H12" s="259"/>
      <c r="I12" s="259"/>
      <c r="J12" s="259"/>
      <c r="K12" s="259"/>
      <c r="L12" s="259"/>
      <c r="M12" s="259"/>
      <c r="P12" s="316"/>
      <c r="Q12" s="316"/>
      <c r="R12" s="316"/>
    </row>
    <row r="13" spans="1:18" ht="24.95" customHeight="1">
      <c r="A13" s="266" t="s">
        <v>23</v>
      </c>
      <c r="B13" s="260" t="str">
        <f>IF(NOT(ISNA(INDEX(Schedule!$V:$V,MATCH(B12,Schedule!$T:$T,0)))), INDEX(Schedule!$V:$V,MATCH(B12,Schedule!$T:$T,0)), "")</f>
        <v/>
      </c>
      <c r="C13" s="260" t="str">
        <f>IF(NOT(ISNA(INDEX(Schedule!$V:$V,MATCH(C12,Schedule!$T:$T,0)))), INDEX(Schedule!$V:$V,MATCH(C12,Schedule!$T:$T,0)), "")</f>
        <v/>
      </c>
      <c r="D13" s="261" t="str">
        <f>IF(NOT(ISNA(INDEX(Schedule!$V:$V,MATCH(D12,Schedule!$T:$T,0)))), INDEX(Schedule!$V:$V,MATCH(D12,Schedule!$T:$T,0)), "")</f>
        <v/>
      </c>
      <c r="E13" s="261" t="str">
        <f>IF(NOT(ISNA(INDEX(Schedule!$V:$V,MATCH(E12,Schedule!$T:$T,0)))), INDEX(Schedule!$V:$V,MATCH(E12,Schedule!$T:$T,0)), "")</f>
        <v/>
      </c>
      <c r="F13" s="261" t="str">
        <f>IF(NOT(ISNA(INDEX(Schedule!$V:$V,MATCH(F12,Schedule!$T:$T,0)))), INDEX(Schedule!$V:$V,MATCH(F12,Schedule!$T:$T,0)), "")</f>
        <v/>
      </c>
      <c r="G13" s="261" t="str">
        <f>IF(NOT(ISNA(INDEX(Schedule!$V:$V,MATCH(G12,Schedule!$T:$T,0)))), INDEX(Schedule!$V:$V,MATCH(G12,Schedule!$T:$T,0)), "")</f>
        <v/>
      </c>
      <c r="H13" s="261" t="str">
        <f>IF(NOT(ISNA(INDEX(Schedule!$V:$V,MATCH(H12,Schedule!$T:$T,0)))), INDEX(Schedule!$V:$V,MATCH(H12,Schedule!$T:$T,0)), "")</f>
        <v/>
      </c>
      <c r="I13" s="261" t="str">
        <f>IF(NOT(ISNA(INDEX(Schedule!$V:$V,MATCH(I12,Schedule!$T:$T,0)))), INDEX(Schedule!$V:$V,MATCH(I12,Schedule!$T:$T,0)), "")</f>
        <v/>
      </c>
      <c r="J13" s="261" t="str">
        <f>IF(NOT(ISNA(INDEX(Schedule!$V:$V,MATCH(J12,Schedule!$T:$T,0)))), INDEX(Schedule!$V:$V,MATCH(J12,Schedule!$T:$T,0)), "")</f>
        <v/>
      </c>
      <c r="K13" s="261" t="str">
        <f>IF(NOT(ISNA(INDEX(Schedule!$V:$V,MATCH(K12,Schedule!$T:$T,0)))), INDEX(Schedule!$V:$V,MATCH(K12,Schedule!$T:$T,0)), "")</f>
        <v/>
      </c>
      <c r="L13" s="261" t="str">
        <f>IF(NOT(ISNA(INDEX(Schedule!$V:$V,MATCH(L12,Schedule!$T:$T,0)))), INDEX(Schedule!$V:$V,MATCH(L12,Schedule!$T:$T,0)), "")</f>
        <v/>
      </c>
      <c r="M13" s="261" t="str">
        <f>IF(NOT(ISNA(INDEX(Schedule!$V:$V,MATCH(M12,Schedule!$T:$T,0)))), INDEX(Schedule!$V:$V,MATCH(M12,Schedule!$T:$T,0)), "")</f>
        <v/>
      </c>
      <c r="P13" s="316"/>
      <c r="Q13" s="316"/>
      <c r="R13" s="316"/>
    </row>
    <row r="14" spans="1:18" ht="5.25" customHeight="1">
      <c r="A14" s="267"/>
      <c r="B14" s="262"/>
      <c r="C14" s="263"/>
      <c r="D14" s="263"/>
      <c r="E14" s="263"/>
      <c r="F14" s="263"/>
      <c r="G14" s="263"/>
      <c r="H14" s="263"/>
      <c r="I14" s="263"/>
      <c r="J14" s="263"/>
      <c r="K14" s="263"/>
      <c r="L14" s="263"/>
      <c r="M14" s="263"/>
    </row>
    <row r="15" spans="1:18" ht="24.95" customHeight="1">
      <c r="A15" s="266" t="s">
        <v>21</v>
      </c>
      <c r="B15" s="258" t="str">
        <f>IF(NOT(ISNA(INDEX(Schedule!$O:$O,MATCH(B16,Schedule!$T:$T,0)))), INDEX(Schedule!$O:$O,MATCH(B16,Schedule!$T:$T,0)), "")</f>
        <v/>
      </c>
      <c r="C15" s="258" t="str">
        <f>IF(NOT(ISNA(INDEX(Schedule!$O:$O,MATCH(C16,Schedule!$T:$T,0)))), INDEX(Schedule!$O:$O,MATCH(C16,Schedule!$T:$T,0)), "")</f>
        <v/>
      </c>
      <c r="D15" s="258" t="str">
        <f>IF(NOT(ISNA(INDEX(Schedule!$O:$O,MATCH(D16,Schedule!$T:$T,0)))), INDEX(Schedule!$O:$O,MATCH(D16,Schedule!$T:$T,0)), "")</f>
        <v/>
      </c>
      <c r="E15" s="258" t="str">
        <f>IF(NOT(ISNA(INDEX(Schedule!$O:$O,MATCH(E16,Schedule!$T:$T,0)))), INDEX(Schedule!$O:$O,MATCH(E16,Schedule!$T:$T,0)), "")</f>
        <v/>
      </c>
      <c r="F15" s="258" t="str">
        <f>IF(NOT(ISNA(INDEX(Schedule!$O:$O,MATCH(F16,Schedule!$T:$T,0)))), INDEX(Schedule!$O:$O,MATCH(F16,Schedule!$T:$T,0)), "")</f>
        <v/>
      </c>
      <c r="G15" s="258" t="str">
        <f>IF(NOT(ISNA(INDEX(Schedule!$O:$O,MATCH(G16,Schedule!$T:$T,0)))), INDEX(Schedule!$O:$O,MATCH(G16,Schedule!$T:$T,0)), "")</f>
        <v/>
      </c>
      <c r="H15" s="258" t="str">
        <f>IF(NOT(ISNA(INDEX(Schedule!$O:$O,MATCH(H16,Schedule!$T:$T,0)))), INDEX(Schedule!$O:$O,MATCH(H16,Schedule!$T:$T,0)), "")</f>
        <v/>
      </c>
      <c r="I15" s="258" t="str">
        <f>IF(NOT(ISNA(INDEX(Schedule!$O:$O,MATCH(I16,Schedule!$T:$T,0)))), INDEX(Schedule!$O:$O,MATCH(I16,Schedule!$T:$T,0)), "")</f>
        <v/>
      </c>
      <c r="J15" s="258" t="str">
        <f>IF(NOT(ISNA(INDEX(Schedule!$O:$O,MATCH(J16,Schedule!$T:$T,0)))), INDEX(Schedule!$O:$O,MATCH(J16,Schedule!$T:$T,0)), "")</f>
        <v/>
      </c>
      <c r="K15" s="258" t="str">
        <f>IF(NOT(ISNA(INDEX(Schedule!$O:$O,MATCH(K16,Schedule!$T:$T,0)))), INDEX(Schedule!$O:$O,MATCH(K16,Schedule!$T:$T,0)), "")</f>
        <v/>
      </c>
      <c r="L15" s="258" t="str">
        <f>IF(NOT(ISNA(INDEX(Schedule!$O:$O,MATCH(L16,Schedule!$T:$T,0)))), INDEX(Schedule!$O:$O,MATCH(L16,Schedule!$T:$T,0)), "")</f>
        <v/>
      </c>
      <c r="M15" s="258" t="str">
        <f>IF(NOT(ISNA(INDEX(Schedule!$O:$O,MATCH(M16,Schedule!$T:$T,0)))), INDEX(Schedule!$O:$O,MATCH(M16,Schedule!$T:$T,0)), "")</f>
        <v/>
      </c>
    </row>
    <row r="16" spans="1:18" ht="24.95" customHeight="1">
      <c r="A16" s="266" t="s">
        <v>22</v>
      </c>
      <c r="B16" s="259"/>
      <c r="C16" s="259"/>
      <c r="D16" s="259"/>
      <c r="E16" s="259"/>
      <c r="F16" s="259"/>
      <c r="G16" s="259"/>
      <c r="H16" s="259"/>
      <c r="I16" s="259"/>
      <c r="J16" s="259"/>
      <c r="K16" s="259"/>
      <c r="L16" s="259"/>
      <c r="M16" s="259"/>
      <c r="O16" s="41"/>
      <c r="P16" s="136"/>
    </row>
    <row r="17" spans="1:13" ht="24.95" customHeight="1">
      <c r="A17" s="266" t="s">
        <v>23</v>
      </c>
      <c r="B17" s="260" t="str">
        <f>IF(NOT(ISNA(INDEX(Schedule!$V:$V,MATCH(B16,Schedule!$T:$T,0)))), INDEX(Schedule!$V:$V,MATCH(B16,Schedule!$T:$T,0)), "")</f>
        <v/>
      </c>
      <c r="C17" s="260" t="str">
        <f>IF(NOT(ISNA(INDEX(Schedule!$V:$V,MATCH(C16,Schedule!$T:$T,0)))), INDEX(Schedule!$V:$V,MATCH(C16,Schedule!$T:$T,0)), "")</f>
        <v/>
      </c>
      <c r="D17" s="261" t="str">
        <f>IF(NOT(ISNA(INDEX(Schedule!$V:$V,MATCH(D16,Schedule!$T:$T,0)))), INDEX(Schedule!$V:$V,MATCH(D16,Schedule!$T:$T,0)), "")</f>
        <v/>
      </c>
      <c r="E17" s="261" t="str">
        <f>IF(NOT(ISNA(INDEX(Schedule!$V:$V,MATCH(E16,Schedule!$T:$T,0)))), INDEX(Schedule!$V:$V,MATCH(E16,Schedule!$T:$T,0)), "")</f>
        <v/>
      </c>
      <c r="F17" s="261" t="str">
        <f>IF(NOT(ISNA(INDEX(Schedule!$V:$V,MATCH(F16,Schedule!$T:$T,0)))), INDEX(Schedule!$V:$V,MATCH(F16,Schedule!$T:$T,0)), "")</f>
        <v/>
      </c>
      <c r="G17" s="261" t="str">
        <f>IF(NOT(ISNA(INDEX(Schedule!$V:$V,MATCH(G16,Schedule!$T:$T,0)))), INDEX(Schedule!$V:$V,MATCH(G16,Schedule!$T:$T,0)), "")</f>
        <v/>
      </c>
      <c r="H17" s="261" t="str">
        <f>IF(NOT(ISNA(INDEX(Schedule!$V:$V,MATCH(H16,Schedule!$T:$T,0)))), INDEX(Schedule!$V:$V,MATCH(H16,Schedule!$T:$T,0)), "")</f>
        <v/>
      </c>
      <c r="I17" s="261" t="str">
        <f>IF(NOT(ISNA(INDEX(Schedule!$V:$V,MATCH(I16,Schedule!$T:$T,0)))), INDEX(Schedule!$V:$V,MATCH(I16,Schedule!$T:$T,0)), "")</f>
        <v/>
      </c>
      <c r="J17" s="261" t="str">
        <f>IF(NOT(ISNA(INDEX(Schedule!$V:$V,MATCH(J16,Schedule!$T:$T,0)))), INDEX(Schedule!$V:$V,MATCH(J16,Schedule!$T:$T,0)), "")</f>
        <v/>
      </c>
      <c r="K17" s="261" t="str">
        <f>IF(NOT(ISNA(INDEX(Schedule!$V:$V,MATCH(K16,Schedule!$T:$T,0)))), INDEX(Schedule!$V:$V,MATCH(K16,Schedule!$T:$T,0)), "")</f>
        <v/>
      </c>
      <c r="L17" s="261" t="str">
        <f>IF(NOT(ISNA(INDEX(Schedule!$V:$V,MATCH(L16,Schedule!$T:$T,0)))), INDEX(Schedule!$V:$V,MATCH(L16,Schedule!$T:$T,0)), "")</f>
        <v/>
      </c>
      <c r="M17" s="261" t="str">
        <f>IF(NOT(ISNA(INDEX(Schedule!$V:$V,MATCH(M16,Schedule!$T:$T,0)))), INDEX(Schedule!$V:$V,MATCH(M16,Schedule!$T:$T,0)), "")</f>
        <v/>
      </c>
    </row>
    <row r="18" spans="1:13" ht="5.25" customHeight="1">
      <c r="A18" s="267"/>
      <c r="B18" s="262"/>
      <c r="C18" s="263"/>
      <c r="D18" s="263"/>
      <c r="E18" s="263"/>
      <c r="F18" s="263"/>
      <c r="G18" s="263"/>
      <c r="H18" s="263"/>
      <c r="I18" s="263"/>
      <c r="J18" s="263"/>
      <c r="K18" s="263"/>
      <c r="L18" s="263"/>
      <c r="M18" s="263"/>
    </row>
    <row r="19" spans="1:13" ht="24.95" customHeight="1">
      <c r="A19" s="266" t="s">
        <v>21</v>
      </c>
      <c r="B19" s="258" t="str">
        <f>IF(NOT(ISNA(INDEX(Schedule!$O:$O,MATCH(B20,Schedule!$T:$T,0)))), INDEX(Schedule!$O:$O,MATCH(B20,Schedule!$T:$T,0)), "")</f>
        <v/>
      </c>
      <c r="C19" s="258" t="str">
        <f>IF(NOT(ISNA(INDEX(Schedule!$O:$O,MATCH(C20,Schedule!$T:$T,0)))), INDEX(Schedule!$O:$O,MATCH(C20,Schedule!$T:$T,0)), "")</f>
        <v/>
      </c>
      <c r="D19" s="258" t="str">
        <f>IF(NOT(ISNA(INDEX(Schedule!$O:$O,MATCH(D20,Schedule!$T:$T,0)))), INDEX(Schedule!$O:$O,MATCH(D20,Schedule!$T:$T,0)), "")</f>
        <v/>
      </c>
      <c r="E19" s="258" t="str">
        <f>IF(NOT(ISNA(INDEX(Schedule!$O:$O,MATCH(E20,Schedule!$T:$T,0)))), INDEX(Schedule!$O:$O,MATCH(E20,Schedule!$T:$T,0)), "")</f>
        <v/>
      </c>
      <c r="F19" s="258" t="str">
        <f>IF(NOT(ISNA(INDEX(Schedule!$O:$O,MATCH(F20,Schedule!$T:$T,0)))), INDEX(Schedule!$O:$O,MATCH(F20,Schedule!$T:$T,0)), "")</f>
        <v/>
      </c>
      <c r="G19" s="258" t="str">
        <f>IF(NOT(ISNA(INDEX(Schedule!$O:$O,MATCH(G20,Schedule!$T:$T,0)))), INDEX(Schedule!$O:$O,MATCH(G20,Schedule!$T:$T,0)), "")</f>
        <v/>
      </c>
      <c r="H19" s="258" t="str">
        <f>IF(NOT(ISNA(INDEX(Schedule!$O:$O,MATCH(H20,Schedule!$T:$T,0)))), INDEX(Schedule!$O:$O,MATCH(H20,Schedule!$T:$T,0)), "")</f>
        <v/>
      </c>
      <c r="I19" s="258" t="str">
        <f>IF(NOT(ISNA(INDEX(Schedule!$O:$O,MATCH(I20,Schedule!$T:$T,0)))), INDEX(Schedule!$O:$O,MATCH(I20,Schedule!$T:$T,0)), "")</f>
        <v/>
      </c>
      <c r="J19" s="258" t="str">
        <f>IF(NOT(ISNA(INDEX(Schedule!$O:$O,MATCH(J20,Schedule!$T:$T,0)))), INDEX(Schedule!$O:$O,MATCH(J20,Schedule!$T:$T,0)), "")</f>
        <v/>
      </c>
      <c r="K19" s="258" t="str">
        <f>IF(NOT(ISNA(INDEX(Schedule!$O:$O,MATCH(K20,Schedule!$T:$T,0)))), INDEX(Schedule!$O:$O,MATCH(K20,Schedule!$T:$T,0)), "")</f>
        <v/>
      </c>
      <c r="L19" s="258" t="str">
        <f>IF(NOT(ISNA(INDEX(Schedule!$O:$O,MATCH(L20,Schedule!$T:$T,0)))), INDEX(Schedule!$O:$O,MATCH(L20,Schedule!$T:$T,0)), "")</f>
        <v/>
      </c>
      <c r="M19" s="258" t="str">
        <f>IF(NOT(ISNA(INDEX(Schedule!$O:$O,MATCH(M20,Schedule!$T:$T,0)))), INDEX(Schedule!$O:$O,MATCH(M20,Schedule!$T:$T,0)), "")</f>
        <v/>
      </c>
    </row>
    <row r="20" spans="1:13" ht="24.95" customHeight="1">
      <c r="A20" s="266" t="s">
        <v>22</v>
      </c>
      <c r="B20" s="259"/>
      <c r="C20" s="259"/>
      <c r="D20" s="259"/>
      <c r="E20" s="259"/>
      <c r="F20" s="259"/>
      <c r="G20" s="259"/>
      <c r="H20" s="259"/>
      <c r="I20" s="259"/>
      <c r="J20" s="259"/>
      <c r="K20" s="259"/>
      <c r="L20" s="259"/>
      <c r="M20" s="259"/>
    </row>
    <row r="21" spans="1:13" ht="24.95" customHeight="1">
      <c r="A21" s="266" t="s">
        <v>23</v>
      </c>
      <c r="B21" s="260" t="str">
        <f>IF(NOT(ISNA(INDEX(Schedule!$V:$V,MATCH(B20,Schedule!$T:$T,0)))), INDEX(Schedule!$V:$V,MATCH(B20,Schedule!$T:$T,0)), "")</f>
        <v/>
      </c>
      <c r="C21" s="260" t="str">
        <f>IF(NOT(ISNA(INDEX(Schedule!$V:$V,MATCH(C20,Schedule!$T:$T,0)))), INDEX(Schedule!$V:$V,MATCH(C20,Schedule!$T:$T,0)), "")</f>
        <v/>
      </c>
      <c r="D21" s="261" t="str">
        <f>IF(NOT(ISNA(INDEX(Schedule!$V:$V,MATCH(D20,Schedule!$T:$T,0)))), INDEX(Schedule!$V:$V,MATCH(D20,Schedule!$T:$T,0)), "")</f>
        <v/>
      </c>
      <c r="E21" s="261" t="str">
        <f>IF(NOT(ISNA(INDEX(Schedule!$V:$V,MATCH(E20,Schedule!$T:$T,0)))), INDEX(Schedule!$V:$V,MATCH(E20,Schedule!$T:$T,0)), "")</f>
        <v/>
      </c>
      <c r="F21" s="261" t="str">
        <f>IF(NOT(ISNA(INDEX(Schedule!$V:$V,MATCH(F20,Schedule!$T:$T,0)))), INDEX(Schedule!$V:$V,MATCH(F20,Schedule!$T:$T,0)), "")</f>
        <v/>
      </c>
      <c r="G21" s="261" t="str">
        <f>IF(NOT(ISNA(INDEX(Schedule!$V:$V,MATCH(G20,Schedule!$T:$T,0)))), INDEX(Schedule!$V:$V,MATCH(G20,Schedule!$T:$T,0)), "")</f>
        <v/>
      </c>
      <c r="H21" s="261" t="str">
        <f>IF(NOT(ISNA(INDEX(Schedule!$V:$V,MATCH(H20,Schedule!$T:$T,0)))), INDEX(Schedule!$V:$V,MATCH(H20,Schedule!$T:$T,0)), "")</f>
        <v/>
      </c>
      <c r="I21" s="261" t="str">
        <f>IF(NOT(ISNA(INDEX(Schedule!$V:$V,MATCH(I20,Schedule!$T:$T,0)))), INDEX(Schedule!$V:$V,MATCH(I20,Schedule!$T:$T,0)), "")</f>
        <v/>
      </c>
      <c r="J21" s="261" t="str">
        <f>IF(NOT(ISNA(INDEX(Schedule!$V:$V,MATCH(J20,Schedule!$T:$T,0)))), INDEX(Schedule!$V:$V,MATCH(J20,Schedule!$T:$T,0)), "")</f>
        <v/>
      </c>
      <c r="K21" s="261" t="str">
        <f>IF(NOT(ISNA(INDEX(Schedule!$V:$V,MATCH(K20,Schedule!$T:$T,0)))), INDEX(Schedule!$V:$V,MATCH(K20,Schedule!$T:$T,0)), "")</f>
        <v/>
      </c>
      <c r="L21" s="261" t="str">
        <f>IF(NOT(ISNA(INDEX(Schedule!$V:$V,MATCH(L20,Schedule!$T:$T,0)))), INDEX(Schedule!$V:$V,MATCH(L20,Schedule!$T:$T,0)), "")</f>
        <v/>
      </c>
      <c r="M21" s="261" t="str">
        <f>IF(NOT(ISNA(INDEX(Schedule!$V:$V,MATCH(M20,Schedule!$T:$T,0)))), INDEX(Schedule!$V:$V,MATCH(M20,Schedule!$T:$T,0)), "")</f>
        <v/>
      </c>
    </row>
    <row r="22" spans="1:13" ht="5.25" customHeight="1">
      <c r="A22" s="267"/>
      <c r="B22" s="264"/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5"/>
    </row>
    <row r="23" spans="1:13" ht="24.95" customHeight="1">
      <c r="A23" s="266" t="s">
        <v>21</v>
      </c>
      <c r="B23" s="258" t="str">
        <f>IF(NOT(ISNA(INDEX(Schedule!$O:$O,MATCH(B24,Schedule!$T:$T,0)))), INDEX(Schedule!$O:$O,MATCH(B24,Schedule!$T:$T,0)), "")</f>
        <v/>
      </c>
      <c r="C23" s="258" t="str">
        <f>IF(NOT(ISNA(INDEX(Schedule!$O:$O,MATCH(C24,Schedule!$T:$T,0)))), INDEX(Schedule!$O:$O,MATCH(C24,Schedule!$T:$T,0)), "")</f>
        <v/>
      </c>
      <c r="D23" s="258" t="str">
        <f>IF(NOT(ISNA(INDEX(Schedule!$O:$O,MATCH(D24,Schedule!$T:$T,0)))), INDEX(Schedule!$O:$O,MATCH(D24,Schedule!$T:$T,0)), "")</f>
        <v/>
      </c>
      <c r="E23" s="258" t="str">
        <f>IF(NOT(ISNA(INDEX(Schedule!$O:$O,MATCH(E24,Schedule!$T:$T,0)))), INDEX(Schedule!$O:$O,MATCH(E24,Schedule!$T:$T,0)), "")</f>
        <v/>
      </c>
      <c r="F23" s="258" t="str">
        <f>IF(NOT(ISNA(INDEX(Schedule!$O:$O,MATCH(F24,Schedule!$T:$T,0)))), INDEX(Schedule!$O:$O,MATCH(F24,Schedule!$T:$T,0)), "")</f>
        <v/>
      </c>
      <c r="G23" s="258" t="str">
        <f>IF(NOT(ISNA(INDEX(Schedule!$O:$O,MATCH(G24,Schedule!$T:$T,0)))), INDEX(Schedule!$O:$O,MATCH(G24,Schedule!$T:$T,0)), "")</f>
        <v/>
      </c>
      <c r="H23" s="258" t="str">
        <f>IF(NOT(ISNA(INDEX(Schedule!$O:$O,MATCH(H24,Schedule!$T:$T,0)))), INDEX(Schedule!$O:$O,MATCH(H24,Schedule!$T:$T,0)), "")</f>
        <v/>
      </c>
      <c r="I23" s="258" t="str">
        <f>IF(NOT(ISNA(INDEX(Schedule!$O:$O,MATCH(I24,Schedule!$T:$T,0)))), INDEX(Schedule!$O:$O,MATCH(I24,Schedule!$T:$T,0)), "")</f>
        <v/>
      </c>
      <c r="J23" s="258" t="str">
        <f>IF(NOT(ISNA(INDEX(Schedule!$O:$O,MATCH(J24,Schedule!$T:$T,0)))), INDEX(Schedule!$O:$O,MATCH(J24,Schedule!$T:$T,0)), "")</f>
        <v/>
      </c>
      <c r="K23" s="258" t="str">
        <f>IF(NOT(ISNA(INDEX(Schedule!$O:$O,MATCH(K24,Schedule!$T:$T,0)))), INDEX(Schedule!$O:$O,MATCH(K24,Schedule!$T:$T,0)), "")</f>
        <v/>
      </c>
      <c r="L23" s="258" t="str">
        <f>IF(NOT(ISNA(INDEX(Schedule!$O:$O,MATCH(L24,Schedule!$T:$T,0)))), INDEX(Schedule!$O:$O,MATCH(L24,Schedule!$T:$T,0)), "")</f>
        <v/>
      </c>
      <c r="M23" s="258" t="str">
        <f>IF(NOT(ISNA(INDEX(Schedule!$O:$O,MATCH(M24,Schedule!$T:$T,0)))), INDEX(Schedule!$O:$O,MATCH(M24,Schedule!$T:$T,0)), "")</f>
        <v/>
      </c>
    </row>
    <row r="24" spans="1:13" ht="24.95" customHeight="1">
      <c r="A24" s="266" t="s">
        <v>22</v>
      </c>
      <c r="B24" s="259"/>
      <c r="C24" s="259"/>
      <c r="D24" s="259"/>
      <c r="E24" s="259"/>
      <c r="F24" s="259"/>
      <c r="G24" s="259"/>
      <c r="H24" s="259"/>
      <c r="I24" s="259"/>
      <c r="J24" s="259"/>
      <c r="K24" s="259"/>
      <c r="L24" s="259"/>
      <c r="M24" s="259"/>
    </row>
    <row r="25" spans="1:13" ht="24.95" customHeight="1">
      <c r="A25" s="266" t="s">
        <v>23</v>
      </c>
      <c r="B25" s="260" t="str">
        <f>IF(NOT(ISNA(INDEX(Schedule!$V:$V,MATCH(B24,Schedule!$T:$T,0)))), INDEX(Schedule!$V:$V,MATCH(B24,Schedule!$T:$T,0)), "")</f>
        <v/>
      </c>
      <c r="C25" s="260" t="str">
        <f>IF(NOT(ISNA(INDEX(Schedule!$V:$V,MATCH(C24,Schedule!$T:$T,0)))), INDEX(Schedule!$V:$V,MATCH(C24,Schedule!$T:$T,0)), "")</f>
        <v/>
      </c>
      <c r="D25" s="261" t="str">
        <f>IF(NOT(ISNA(INDEX(Schedule!$V:$V,MATCH(D24,Schedule!$T:$T,0)))), INDEX(Schedule!$V:$V,MATCH(D24,Schedule!$T:$T,0)), "")</f>
        <v/>
      </c>
      <c r="E25" s="261" t="str">
        <f>IF(NOT(ISNA(INDEX(Schedule!$V:$V,MATCH(E24,Schedule!$T:$T,0)))), INDEX(Schedule!$V:$V,MATCH(E24,Schedule!$T:$T,0)), "")</f>
        <v/>
      </c>
      <c r="F25" s="261" t="str">
        <f>IF(NOT(ISNA(INDEX(Schedule!$V:$V,MATCH(F24,Schedule!$T:$T,0)))), INDEX(Schedule!$V:$V,MATCH(F24,Schedule!$T:$T,0)), "")</f>
        <v/>
      </c>
      <c r="G25" s="261" t="str">
        <f>IF(NOT(ISNA(INDEX(Schedule!$V:$V,MATCH(G24,Schedule!$T:$T,0)))), INDEX(Schedule!$V:$V,MATCH(G24,Schedule!$T:$T,0)), "")</f>
        <v/>
      </c>
      <c r="H25" s="261" t="str">
        <f>IF(NOT(ISNA(INDEX(Schedule!$V:$V,MATCH(H24,Schedule!$T:$T,0)))), INDEX(Schedule!$V:$V,MATCH(H24,Schedule!$T:$T,0)), "")</f>
        <v/>
      </c>
      <c r="I25" s="261" t="str">
        <f>IF(NOT(ISNA(INDEX(Schedule!$V:$V,MATCH(I24,Schedule!$T:$T,0)))), INDEX(Schedule!$V:$V,MATCH(I24,Schedule!$T:$T,0)), "")</f>
        <v/>
      </c>
      <c r="J25" s="261" t="str">
        <f>IF(NOT(ISNA(INDEX(Schedule!$V:$V,MATCH(J24,Schedule!$T:$T,0)))), INDEX(Schedule!$V:$V,MATCH(J24,Schedule!$T:$T,0)), "")</f>
        <v/>
      </c>
      <c r="K25" s="261" t="str">
        <f>IF(NOT(ISNA(INDEX(Schedule!$V:$V,MATCH(K24,Schedule!$T:$T,0)))), INDEX(Schedule!$V:$V,MATCH(K24,Schedule!$T:$T,0)), "")</f>
        <v/>
      </c>
      <c r="L25" s="261" t="str">
        <f>IF(NOT(ISNA(INDEX(Schedule!$V:$V,MATCH(L24,Schedule!$T:$T,0)))), INDEX(Schedule!$V:$V,MATCH(L24,Schedule!$T:$T,0)), "")</f>
        <v/>
      </c>
      <c r="M25" s="261" t="str">
        <f>IF(NOT(ISNA(INDEX(Schedule!$V:$V,MATCH(M24,Schedule!$T:$T,0)))), INDEX(Schedule!$V:$V,MATCH(M24,Schedule!$T:$T,0)), "")</f>
        <v/>
      </c>
    </row>
    <row r="26" spans="1:13" ht="13.15" customHeight="1" thickBot="1">
      <c r="A26" s="144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</row>
    <row r="27" spans="1:13" ht="34.9" customHeight="1">
      <c r="A27" s="312" t="s">
        <v>124</v>
      </c>
      <c r="B27" s="324"/>
      <c r="C27" s="324"/>
      <c r="D27" s="324"/>
      <c r="E27" s="324"/>
      <c r="F27" s="324"/>
      <c r="G27" s="324"/>
      <c r="H27" s="324"/>
      <c r="I27" s="324"/>
      <c r="J27" s="324"/>
      <c r="K27" s="324"/>
      <c r="L27" s="324"/>
      <c r="M27" s="325"/>
    </row>
    <row r="28" spans="1:13" ht="4.9000000000000004" customHeight="1" thickBot="1">
      <c r="A28" s="313"/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7"/>
    </row>
    <row r="29" spans="1:13" ht="4.5" customHeight="1" thickBot="1">
      <c r="A29" s="144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</row>
    <row r="30" spans="1:13" ht="22.5" customHeight="1">
      <c r="A30" s="309" t="s">
        <v>24</v>
      </c>
      <c r="B30" s="310"/>
      <c r="C30" s="310"/>
      <c r="D30" s="310"/>
      <c r="E30" s="310"/>
      <c r="F30" s="310"/>
      <c r="G30" s="310"/>
      <c r="H30" s="310"/>
      <c r="I30" s="310"/>
      <c r="J30" s="310"/>
      <c r="K30" s="310"/>
      <c r="L30" s="310"/>
      <c r="M30" s="311"/>
    </row>
    <row r="31" spans="1:13" ht="22.5" customHeight="1">
      <c r="A31" s="181" t="s">
        <v>25</v>
      </c>
      <c r="B31" s="274"/>
      <c r="C31" s="274"/>
      <c r="D31" s="274"/>
      <c r="E31" s="274"/>
      <c r="F31" s="274"/>
      <c r="G31" s="274"/>
      <c r="H31" s="274"/>
      <c r="I31" s="274"/>
      <c r="J31" s="274"/>
      <c r="K31" s="274"/>
      <c r="L31" s="274"/>
      <c r="M31" s="275"/>
    </row>
    <row r="32" spans="1:13" ht="28.5" customHeight="1" thickBot="1">
      <c r="A32" s="175" t="s">
        <v>26</v>
      </c>
      <c r="B32" s="149"/>
      <c r="C32" s="149"/>
      <c r="D32" s="150"/>
      <c r="E32" s="150"/>
      <c r="F32" s="150"/>
      <c r="G32" s="150"/>
      <c r="H32" s="150"/>
      <c r="I32" s="150"/>
      <c r="J32" s="150"/>
      <c r="K32" s="150"/>
      <c r="L32" s="150"/>
      <c r="M32" s="151"/>
    </row>
    <row r="33" spans="1:13" ht="26.25" customHeight="1" thickBot="1">
      <c r="A33" s="152" t="s">
        <v>216</v>
      </c>
      <c r="B33" s="320" t="s">
        <v>396</v>
      </c>
      <c r="C33" s="321"/>
      <c r="D33" s="153" t="s">
        <v>215</v>
      </c>
      <c r="E33" s="322"/>
      <c r="F33" s="323"/>
      <c r="G33" s="299" t="s">
        <v>27</v>
      </c>
      <c r="H33" s="154"/>
      <c r="I33" s="314" t="s">
        <v>28</v>
      </c>
      <c r="J33" s="315"/>
      <c r="K33" s="215"/>
      <c r="L33" s="174" t="s">
        <v>214</v>
      </c>
      <c r="M33" s="155" t="s">
        <v>160</v>
      </c>
    </row>
    <row r="34" spans="1:13" ht="4.5" customHeight="1" thickBot="1">
      <c r="A34" s="39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</row>
    <row r="35" spans="1:13" ht="22.5" customHeight="1">
      <c r="A35" s="317" t="s">
        <v>29</v>
      </c>
      <c r="B35" s="318"/>
      <c r="C35" s="318"/>
      <c r="D35" s="318"/>
      <c r="E35" s="318"/>
      <c r="F35" s="318"/>
      <c r="G35" s="318"/>
      <c r="H35" s="318"/>
      <c r="I35" s="318"/>
      <c r="J35" s="318"/>
      <c r="K35" s="318"/>
      <c r="L35" s="318"/>
      <c r="M35" s="319"/>
    </row>
    <row r="36" spans="1:13" ht="28.5" customHeight="1">
      <c r="A36" s="173" t="s">
        <v>213</v>
      </c>
      <c r="B36" s="44"/>
      <c r="C36" s="44"/>
      <c r="D36" s="45"/>
      <c r="E36" s="45"/>
      <c r="F36" s="45"/>
      <c r="G36" s="45"/>
      <c r="H36" s="45"/>
      <c r="I36" s="45"/>
      <c r="J36" s="45"/>
      <c r="K36" s="45"/>
      <c r="L36" s="45"/>
      <c r="M36" s="46"/>
    </row>
    <row r="37" spans="1:13" ht="28.5" customHeight="1">
      <c r="A37" s="172" t="s">
        <v>30</v>
      </c>
      <c r="B37" s="47"/>
      <c r="C37" s="48"/>
      <c r="D37" s="49"/>
      <c r="E37" s="49"/>
      <c r="F37" s="49"/>
      <c r="G37" s="49"/>
      <c r="H37" s="49"/>
      <c r="I37" s="49"/>
      <c r="J37" s="49"/>
      <c r="K37" s="49"/>
      <c r="L37" s="49"/>
      <c r="M37" s="50"/>
    </row>
    <row r="38" spans="1:13" ht="28.5" customHeight="1">
      <c r="A38" s="171" t="s">
        <v>31</v>
      </c>
      <c r="B38" s="48"/>
      <c r="C38" s="48"/>
      <c r="D38" s="49"/>
      <c r="E38" s="49"/>
      <c r="F38" s="49"/>
      <c r="G38" s="49"/>
      <c r="H38" s="49"/>
      <c r="I38" s="49"/>
      <c r="J38" s="49"/>
      <c r="K38" s="49"/>
      <c r="L38" s="49"/>
      <c r="M38" s="50"/>
    </row>
    <row r="39" spans="1:13" ht="28.5" customHeight="1" thickBot="1">
      <c r="A39" s="170" t="s">
        <v>30</v>
      </c>
      <c r="B39" s="51"/>
      <c r="C39" s="51"/>
      <c r="D39" s="52"/>
      <c r="E39" s="52"/>
      <c r="F39" s="52"/>
      <c r="G39" s="52"/>
      <c r="H39" s="52"/>
      <c r="I39" s="52"/>
      <c r="J39" s="52"/>
      <c r="K39" s="52"/>
      <c r="L39" s="52"/>
      <c r="M39" s="53"/>
    </row>
    <row r="40" spans="1:13" ht="20.25" customHeight="1" thickBot="1">
      <c r="A40" s="54" t="s">
        <v>32</v>
      </c>
      <c r="B40" s="55"/>
      <c r="C40" s="56"/>
      <c r="D40" s="43"/>
      <c r="E40" s="43"/>
      <c r="F40" s="43"/>
      <c r="G40" s="43"/>
      <c r="H40" s="43"/>
      <c r="I40" s="43"/>
      <c r="J40" s="43"/>
      <c r="K40" s="43"/>
      <c r="L40" s="43"/>
      <c r="M40" s="57"/>
    </row>
    <row r="41" spans="1:13" ht="17.25" customHeight="1">
      <c r="A41" s="58" t="s">
        <v>212</v>
      </c>
      <c r="C41" s="59"/>
      <c r="D41" s="59"/>
      <c r="E41" s="59"/>
      <c r="F41" s="59"/>
      <c r="G41" s="59"/>
      <c r="H41" s="59"/>
      <c r="I41" s="59"/>
      <c r="J41" s="59"/>
      <c r="K41" s="60"/>
      <c r="L41" s="61"/>
      <c r="M41" s="62" t="s">
        <v>33</v>
      </c>
    </row>
    <row r="42" spans="1:13" ht="28.5" customHeight="1"/>
    <row r="43" spans="1:13" s="61" customFormat="1" ht="10.5" customHeight="1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</row>
    <row r="44" spans="1:13" ht="5.25" customHeight="1"/>
    <row r="45" spans="1:13" ht="21" customHeight="1">
      <c r="B45" s="136"/>
    </row>
    <row r="48" spans="1:13">
      <c r="D48" s="141"/>
    </row>
    <row r="49" spans="4:8">
      <c r="D49" s="141"/>
    </row>
    <row r="50" spans="4:8">
      <c r="D50" s="141"/>
    </row>
    <row r="51" spans="4:8">
      <c r="D51" s="141"/>
    </row>
    <row r="52" spans="4:8">
      <c r="D52" s="141"/>
    </row>
    <row r="53" spans="4:8">
      <c r="D53" s="141"/>
      <c r="H53" s="133"/>
    </row>
    <row r="54" spans="4:8">
      <c r="D54" s="141"/>
    </row>
    <row r="55" spans="4:8">
      <c r="D55" s="141"/>
      <c r="H55" s="134"/>
    </row>
    <row r="56" spans="4:8">
      <c r="D56" s="141"/>
    </row>
    <row r="57" spans="4:8">
      <c r="D57" s="141"/>
    </row>
    <row r="65" spans="2:13" hidden="1"/>
    <row r="66" spans="2:13" hidden="1">
      <c r="B66" s="36" t="s">
        <v>157</v>
      </c>
      <c r="M66" s="36" t="s">
        <v>160</v>
      </c>
    </row>
    <row r="67" spans="2:13" hidden="1">
      <c r="B67" s="36" t="s">
        <v>158</v>
      </c>
      <c r="M67" s="36" t="s">
        <v>161</v>
      </c>
    </row>
    <row r="68" spans="2:13" hidden="1">
      <c r="B68" s="36" t="s">
        <v>159</v>
      </c>
    </row>
  </sheetData>
  <mergeCells count="10">
    <mergeCell ref="P11:R13"/>
    <mergeCell ref="A35:M35"/>
    <mergeCell ref="B33:C33"/>
    <mergeCell ref="E33:F33"/>
    <mergeCell ref="B27:M27"/>
    <mergeCell ref="C1:I1"/>
    <mergeCell ref="J1:M1"/>
    <mergeCell ref="A30:M30"/>
    <mergeCell ref="A27:A28"/>
    <mergeCell ref="I33:J33"/>
  </mergeCells>
  <dataValidations count="2">
    <dataValidation type="list" showInputMessage="1" showErrorMessage="1" sqref="M33" xr:uid="{00000000-0002-0000-0000-000000000000}">
      <formula1>$M$65:$M$67</formula1>
    </dataValidation>
    <dataValidation type="list" showInputMessage="1" showErrorMessage="1" sqref="B31:M31" xr:uid="{E79D4409-5337-429C-AA3F-4597FF656CFB}">
      <formula1>$B$65:$B$68</formula1>
    </dataValidation>
  </dataValidations>
  <printOptions horizontalCentered="1" verticalCentered="1"/>
  <pageMargins left="0" right="0" top="0.25" bottom="0.25" header="0.25" footer="0.25"/>
  <pageSetup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rebuild_lots_list">
                <anchor moveWithCells="1" sizeWithCells="1">
                  <from>
                    <xdr:col>15</xdr:col>
                    <xdr:colOff>180975</xdr:colOff>
                    <xdr:row>10</xdr:row>
                    <xdr:rowOff>66675</xdr:rowOff>
                  </from>
                  <to>
                    <xdr:col>17</xdr:col>
                    <xdr:colOff>771525</xdr:colOff>
                    <xdr:row>12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E11F08E0-94E8-450A-9614-108330084BC4}">
          <x14:formula1>
            <xm:f>Schedule!$T$1:$T$160</xm:f>
          </x14:formula1>
          <xm:sqref>B12:M12 B16:M16 B20:M20 B24:M24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495"/>
  <sheetViews>
    <sheetView zoomScaleNormal="100" workbookViewId="0">
      <selection activeCell="E374" sqref="E374"/>
    </sheetView>
  </sheetViews>
  <sheetFormatPr defaultColWidth="8.125" defaultRowHeight="12.75"/>
  <cols>
    <col min="1" max="4" width="8.125" style="166" customWidth="1"/>
    <col min="5" max="5" width="7.875" style="166" customWidth="1"/>
    <col min="6" max="8" width="8.125" style="166" customWidth="1"/>
    <col min="9" max="9" width="7.25" style="166" customWidth="1"/>
    <col min="10" max="10" width="12.625" style="166" customWidth="1"/>
    <col min="11" max="11" width="5.625" style="166" customWidth="1"/>
    <col min="12" max="260" width="8.125" style="166"/>
    <col min="261" max="261" width="7.875" style="166" customWidth="1"/>
    <col min="262" max="264" width="8.125" style="166"/>
    <col min="265" max="265" width="7.25" style="166" customWidth="1"/>
    <col min="266" max="266" width="12.625" style="166" customWidth="1"/>
    <col min="267" max="267" width="5.625" style="166" customWidth="1"/>
    <col min="268" max="516" width="8.125" style="166"/>
    <col min="517" max="517" width="7.875" style="166" customWidth="1"/>
    <col min="518" max="520" width="8.125" style="166"/>
    <col min="521" max="521" width="7.25" style="166" customWidth="1"/>
    <col min="522" max="522" width="12.625" style="166" customWidth="1"/>
    <col min="523" max="523" width="5.625" style="166" customWidth="1"/>
    <col min="524" max="772" width="8.125" style="166"/>
    <col min="773" max="773" width="7.875" style="166" customWidth="1"/>
    <col min="774" max="776" width="8.125" style="166"/>
    <col min="777" max="777" width="7.25" style="166" customWidth="1"/>
    <col min="778" max="778" width="12.625" style="166" customWidth="1"/>
    <col min="779" max="779" width="5.625" style="166" customWidth="1"/>
    <col min="780" max="1028" width="8.125" style="166"/>
    <col min="1029" max="1029" width="7.875" style="166" customWidth="1"/>
    <col min="1030" max="1032" width="8.125" style="166"/>
    <col min="1033" max="1033" width="7.25" style="166" customWidth="1"/>
    <col min="1034" max="1034" width="12.625" style="166" customWidth="1"/>
    <col min="1035" max="1035" width="5.625" style="166" customWidth="1"/>
    <col min="1036" max="1284" width="8.125" style="166"/>
    <col min="1285" max="1285" width="7.875" style="166" customWidth="1"/>
    <col min="1286" max="1288" width="8.125" style="166"/>
    <col min="1289" max="1289" width="7.25" style="166" customWidth="1"/>
    <col min="1290" max="1290" width="12.625" style="166" customWidth="1"/>
    <col min="1291" max="1291" width="5.625" style="166" customWidth="1"/>
    <col min="1292" max="1540" width="8.125" style="166"/>
    <col min="1541" max="1541" width="7.875" style="166" customWidth="1"/>
    <col min="1542" max="1544" width="8.125" style="166"/>
    <col min="1545" max="1545" width="7.25" style="166" customWidth="1"/>
    <col min="1546" max="1546" width="12.625" style="166" customWidth="1"/>
    <col min="1547" max="1547" width="5.625" style="166" customWidth="1"/>
    <col min="1548" max="1796" width="8.125" style="166"/>
    <col min="1797" max="1797" width="7.875" style="166" customWidth="1"/>
    <col min="1798" max="1800" width="8.125" style="166"/>
    <col min="1801" max="1801" width="7.25" style="166" customWidth="1"/>
    <col min="1802" max="1802" width="12.625" style="166" customWidth="1"/>
    <col min="1803" max="1803" width="5.625" style="166" customWidth="1"/>
    <col min="1804" max="2052" width="8.125" style="166"/>
    <col min="2053" max="2053" width="7.875" style="166" customWidth="1"/>
    <col min="2054" max="2056" width="8.125" style="166"/>
    <col min="2057" max="2057" width="7.25" style="166" customWidth="1"/>
    <col min="2058" max="2058" width="12.625" style="166" customWidth="1"/>
    <col min="2059" max="2059" width="5.625" style="166" customWidth="1"/>
    <col min="2060" max="2308" width="8.125" style="166"/>
    <col min="2309" max="2309" width="7.875" style="166" customWidth="1"/>
    <col min="2310" max="2312" width="8.125" style="166"/>
    <col min="2313" max="2313" width="7.25" style="166" customWidth="1"/>
    <col min="2314" max="2314" width="12.625" style="166" customWidth="1"/>
    <col min="2315" max="2315" width="5.625" style="166" customWidth="1"/>
    <col min="2316" max="2564" width="8.125" style="166"/>
    <col min="2565" max="2565" width="7.875" style="166" customWidth="1"/>
    <col min="2566" max="2568" width="8.125" style="166"/>
    <col min="2569" max="2569" width="7.25" style="166" customWidth="1"/>
    <col min="2570" max="2570" width="12.625" style="166" customWidth="1"/>
    <col min="2571" max="2571" width="5.625" style="166" customWidth="1"/>
    <col min="2572" max="2820" width="8.125" style="166"/>
    <col min="2821" max="2821" width="7.875" style="166" customWidth="1"/>
    <col min="2822" max="2824" width="8.125" style="166"/>
    <col min="2825" max="2825" width="7.25" style="166" customWidth="1"/>
    <col min="2826" max="2826" width="12.625" style="166" customWidth="1"/>
    <col min="2827" max="2827" width="5.625" style="166" customWidth="1"/>
    <col min="2828" max="3076" width="8.125" style="166"/>
    <col min="3077" max="3077" width="7.875" style="166" customWidth="1"/>
    <col min="3078" max="3080" width="8.125" style="166"/>
    <col min="3081" max="3081" width="7.25" style="166" customWidth="1"/>
    <col min="3082" max="3082" width="12.625" style="166" customWidth="1"/>
    <col min="3083" max="3083" width="5.625" style="166" customWidth="1"/>
    <col min="3084" max="3332" width="8.125" style="166"/>
    <col min="3333" max="3333" width="7.875" style="166" customWidth="1"/>
    <col min="3334" max="3336" width="8.125" style="166"/>
    <col min="3337" max="3337" width="7.25" style="166" customWidth="1"/>
    <col min="3338" max="3338" width="12.625" style="166" customWidth="1"/>
    <col min="3339" max="3339" width="5.625" style="166" customWidth="1"/>
    <col min="3340" max="3588" width="8.125" style="166"/>
    <col min="3589" max="3589" width="7.875" style="166" customWidth="1"/>
    <col min="3590" max="3592" width="8.125" style="166"/>
    <col min="3593" max="3593" width="7.25" style="166" customWidth="1"/>
    <col min="3594" max="3594" width="12.625" style="166" customWidth="1"/>
    <col min="3595" max="3595" width="5.625" style="166" customWidth="1"/>
    <col min="3596" max="3844" width="8.125" style="166"/>
    <col min="3845" max="3845" width="7.875" style="166" customWidth="1"/>
    <col min="3846" max="3848" width="8.125" style="166"/>
    <col min="3849" max="3849" width="7.25" style="166" customWidth="1"/>
    <col min="3850" max="3850" width="12.625" style="166" customWidth="1"/>
    <col min="3851" max="3851" width="5.625" style="166" customWidth="1"/>
    <col min="3852" max="4100" width="8.125" style="166"/>
    <col min="4101" max="4101" width="7.875" style="166" customWidth="1"/>
    <col min="4102" max="4104" width="8.125" style="166"/>
    <col min="4105" max="4105" width="7.25" style="166" customWidth="1"/>
    <col min="4106" max="4106" width="12.625" style="166" customWidth="1"/>
    <col min="4107" max="4107" width="5.625" style="166" customWidth="1"/>
    <col min="4108" max="4356" width="8.125" style="166"/>
    <col min="4357" max="4357" width="7.875" style="166" customWidth="1"/>
    <col min="4358" max="4360" width="8.125" style="166"/>
    <col min="4361" max="4361" width="7.25" style="166" customWidth="1"/>
    <col min="4362" max="4362" width="12.625" style="166" customWidth="1"/>
    <col min="4363" max="4363" width="5.625" style="166" customWidth="1"/>
    <col min="4364" max="4612" width="8.125" style="166"/>
    <col min="4613" max="4613" width="7.875" style="166" customWidth="1"/>
    <col min="4614" max="4616" width="8.125" style="166"/>
    <col min="4617" max="4617" width="7.25" style="166" customWidth="1"/>
    <col min="4618" max="4618" width="12.625" style="166" customWidth="1"/>
    <col min="4619" max="4619" width="5.625" style="166" customWidth="1"/>
    <col min="4620" max="4868" width="8.125" style="166"/>
    <col min="4869" max="4869" width="7.875" style="166" customWidth="1"/>
    <col min="4870" max="4872" width="8.125" style="166"/>
    <col min="4873" max="4873" width="7.25" style="166" customWidth="1"/>
    <col min="4874" max="4874" width="12.625" style="166" customWidth="1"/>
    <col min="4875" max="4875" width="5.625" style="166" customWidth="1"/>
    <col min="4876" max="5124" width="8.125" style="166"/>
    <col min="5125" max="5125" width="7.875" style="166" customWidth="1"/>
    <col min="5126" max="5128" width="8.125" style="166"/>
    <col min="5129" max="5129" width="7.25" style="166" customWidth="1"/>
    <col min="5130" max="5130" width="12.625" style="166" customWidth="1"/>
    <col min="5131" max="5131" width="5.625" style="166" customWidth="1"/>
    <col min="5132" max="5380" width="8.125" style="166"/>
    <col min="5381" max="5381" width="7.875" style="166" customWidth="1"/>
    <col min="5382" max="5384" width="8.125" style="166"/>
    <col min="5385" max="5385" width="7.25" style="166" customWidth="1"/>
    <col min="5386" max="5386" width="12.625" style="166" customWidth="1"/>
    <col min="5387" max="5387" width="5.625" style="166" customWidth="1"/>
    <col min="5388" max="5636" width="8.125" style="166"/>
    <col min="5637" max="5637" width="7.875" style="166" customWidth="1"/>
    <col min="5638" max="5640" width="8.125" style="166"/>
    <col min="5641" max="5641" width="7.25" style="166" customWidth="1"/>
    <col min="5642" max="5642" width="12.625" style="166" customWidth="1"/>
    <col min="5643" max="5643" width="5.625" style="166" customWidth="1"/>
    <col min="5644" max="5892" width="8.125" style="166"/>
    <col min="5893" max="5893" width="7.875" style="166" customWidth="1"/>
    <col min="5894" max="5896" width="8.125" style="166"/>
    <col min="5897" max="5897" width="7.25" style="166" customWidth="1"/>
    <col min="5898" max="5898" width="12.625" style="166" customWidth="1"/>
    <col min="5899" max="5899" width="5.625" style="166" customWidth="1"/>
    <col min="5900" max="6148" width="8.125" style="166"/>
    <col min="6149" max="6149" width="7.875" style="166" customWidth="1"/>
    <col min="6150" max="6152" width="8.125" style="166"/>
    <col min="6153" max="6153" width="7.25" style="166" customWidth="1"/>
    <col min="6154" max="6154" width="12.625" style="166" customWidth="1"/>
    <col min="6155" max="6155" width="5.625" style="166" customWidth="1"/>
    <col min="6156" max="6404" width="8.125" style="166"/>
    <col min="6405" max="6405" width="7.875" style="166" customWidth="1"/>
    <col min="6406" max="6408" width="8.125" style="166"/>
    <col min="6409" max="6409" width="7.25" style="166" customWidth="1"/>
    <col min="6410" max="6410" width="12.625" style="166" customWidth="1"/>
    <col min="6411" max="6411" width="5.625" style="166" customWidth="1"/>
    <col min="6412" max="6660" width="8.125" style="166"/>
    <col min="6661" max="6661" width="7.875" style="166" customWidth="1"/>
    <col min="6662" max="6664" width="8.125" style="166"/>
    <col min="6665" max="6665" width="7.25" style="166" customWidth="1"/>
    <col min="6666" max="6666" width="12.625" style="166" customWidth="1"/>
    <col min="6667" max="6667" width="5.625" style="166" customWidth="1"/>
    <col min="6668" max="6916" width="8.125" style="166"/>
    <col min="6917" max="6917" width="7.875" style="166" customWidth="1"/>
    <col min="6918" max="6920" width="8.125" style="166"/>
    <col min="6921" max="6921" width="7.25" style="166" customWidth="1"/>
    <col min="6922" max="6922" width="12.625" style="166" customWidth="1"/>
    <col min="6923" max="6923" width="5.625" style="166" customWidth="1"/>
    <col min="6924" max="7172" width="8.125" style="166"/>
    <col min="7173" max="7173" width="7.875" style="166" customWidth="1"/>
    <col min="7174" max="7176" width="8.125" style="166"/>
    <col min="7177" max="7177" width="7.25" style="166" customWidth="1"/>
    <col min="7178" max="7178" width="12.625" style="166" customWidth="1"/>
    <col min="7179" max="7179" width="5.625" style="166" customWidth="1"/>
    <col min="7180" max="7428" width="8.125" style="166"/>
    <col min="7429" max="7429" width="7.875" style="166" customWidth="1"/>
    <col min="7430" max="7432" width="8.125" style="166"/>
    <col min="7433" max="7433" width="7.25" style="166" customWidth="1"/>
    <col min="7434" max="7434" width="12.625" style="166" customWidth="1"/>
    <col min="7435" max="7435" width="5.625" style="166" customWidth="1"/>
    <col min="7436" max="7684" width="8.125" style="166"/>
    <col min="7685" max="7685" width="7.875" style="166" customWidth="1"/>
    <col min="7686" max="7688" width="8.125" style="166"/>
    <col min="7689" max="7689" width="7.25" style="166" customWidth="1"/>
    <col min="7690" max="7690" width="12.625" style="166" customWidth="1"/>
    <col min="7691" max="7691" width="5.625" style="166" customWidth="1"/>
    <col min="7692" max="7940" width="8.125" style="166"/>
    <col min="7941" max="7941" width="7.875" style="166" customWidth="1"/>
    <col min="7942" max="7944" width="8.125" style="166"/>
    <col min="7945" max="7945" width="7.25" style="166" customWidth="1"/>
    <col min="7946" max="7946" width="12.625" style="166" customWidth="1"/>
    <col min="7947" max="7947" width="5.625" style="166" customWidth="1"/>
    <col min="7948" max="8196" width="8.125" style="166"/>
    <col min="8197" max="8197" width="7.875" style="166" customWidth="1"/>
    <col min="8198" max="8200" width="8.125" style="166"/>
    <col min="8201" max="8201" width="7.25" style="166" customWidth="1"/>
    <col min="8202" max="8202" width="12.625" style="166" customWidth="1"/>
    <col min="8203" max="8203" width="5.625" style="166" customWidth="1"/>
    <col min="8204" max="8452" width="8.125" style="166"/>
    <col min="8453" max="8453" width="7.875" style="166" customWidth="1"/>
    <col min="8454" max="8456" width="8.125" style="166"/>
    <col min="8457" max="8457" width="7.25" style="166" customWidth="1"/>
    <col min="8458" max="8458" width="12.625" style="166" customWidth="1"/>
    <col min="8459" max="8459" width="5.625" style="166" customWidth="1"/>
    <col min="8460" max="8708" width="8.125" style="166"/>
    <col min="8709" max="8709" width="7.875" style="166" customWidth="1"/>
    <col min="8710" max="8712" width="8.125" style="166"/>
    <col min="8713" max="8713" width="7.25" style="166" customWidth="1"/>
    <col min="8714" max="8714" width="12.625" style="166" customWidth="1"/>
    <col min="8715" max="8715" width="5.625" style="166" customWidth="1"/>
    <col min="8716" max="8964" width="8.125" style="166"/>
    <col min="8965" max="8965" width="7.875" style="166" customWidth="1"/>
    <col min="8966" max="8968" width="8.125" style="166"/>
    <col min="8969" max="8969" width="7.25" style="166" customWidth="1"/>
    <col min="8970" max="8970" width="12.625" style="166" customWidth="1"/>
    <col min="8971" max="8971" width="5.625" style="166" customWidth="1"/>
    <col min="8972" max="9220" width="8.125" style="166"/>
    <col min="9221" max="9221" width="7.875" style="166" customWidth="1"/>
    <col min="9222" max="9224" width="8.125" style="166"/>
    <col min="9225" max="9225" width="7.25" style="166" customWidth="1"/>
    <col min="9226" max="9226" width="12.625" style="166" customWidth="1"/>
    <col min="9227" max="9227" width="5.625" style="166" customWidth="1"/>
    <col min="9228" max="9476" width="8.125" style="166"/>
    <col min="9477" max="9477" width="7.875" style="166" customWidth="1"/>
    <col min="9478" max="9480" width="8.125" style="166"/>
    <col min="9481" max="9481" width="7.25" style="166" customWidth="1"/>
    <col min="9482" max="9482" width="12.625" style="166" customWidth="1"/>
    <col min="9483" max="9483" width="5.625" style="166" customWidth="1"/>
    <col min="9484" max="9732" width="8.125" style="166"/>
    <col min="9733" max="9733" width="7.875" style="166" customWidth="1"/>
    <col min="9734" max="9736" width="8.125" style="166"/>
    <col min="9737" max="9737" width="7.25" style="166" customWidth="1"/>
    <col min="9738" max="9738" width="12.625" style="166" customWidth="1"/>
    <col min="9739" max="9739" width="5.625" style="166" customWidth="1"/>
    <col min="9740" max="9988" width="8.125" style="166"/>
    <col min="9989" max="9989" width="7.875" style="166" customWidth="1"/>
    <col min="9990" max="9992" width="8.125" style="166"/>
    <col min="9993" max="9993" width="7.25" style="166" customWidth="1"/>
    <col min="9994" max="9994" width="12.625" style="166" customWidth="1"/>
    <col min="9995" max="9995" width="5.625" style="166" customWidth="1"/>
    <col min="9996" max="10244" width="8.125" style="166"/>
    <col min="10245" max="10245" width="7.875" style="166" customWidth="1"/>
    <col min="10246" max="10248" width="8.125" style="166"/>
    <col min="10249" max="10249" width="7.25" style="166" customWidth="1"/>
    <col min="10250" max="10250" width="12.625" style="166" customWidth="1"/>
    <col min="10251" max="10251" width="5.625" style="166" customWidth="1"/>
    <col min="10252" max="10500" width="8.125" style="166"/>
    <col min="10501" max="10501" width="7.875" style="166" customWidth="1"/>
    <col min="10502" max="10504" width="8.125" style="166"/>
    <col min="10505" max="10505" width="7.25" style="166" customWidth="1"/>
    <col min="10506" max="10506" width="12.625" style="166" customWidth="1"/>
    <col min="10507" max="10507" width="5.625" style="166" customWidth="1"/>
    <col min="10508" max="10756" width="8.125" style="166"/>
    <col min="10757" max="10757" width="7.875" style="166" customWidth="1"/>
    <col min="10758" max="10760" width="8.125" style="166"/>
    <col min="10761" max="10761" width="7.25" style="166" customWidth="1"/>
    <col min="10762" max="10762" width="12.625" style="166" customWidth="1"/>
    <col min="10763" max="10763" width="5.625" style="166" customWidth="1"/>
    <col min="10764" max="11012" width="8.125" style="166"/>
    <col min="11013" max="11013" width="7.875" style="166" customWidth="1"/>
    <col min="11014" max="11016" width="8.125" style="166"/>
    <col min="11017" max="11017" width="7.25" style="166" customWidth="1"/>
    <col min="11018" max="11018" width="12.625" style="166" customWidth="1"/>
    <col min="11019" max="11019" width="5.625" style="166" customWidth="1"/>
    <col min="11020" max="11268" width="8.125" style="166"/>
    <col min="11269" max="11269" width="7.875" style="166" customWidth="1"/>
    <col min="11270" max="11272" width="8.125" style="166"/>
    <col min="11273" max="11273" width="7.25" style="166" customWidth="1"/>
    <col min="11274" max="11274" width="12.625" style="166" customWidth="1"/>
    <col min="11275" max="11275" width="5.625" style="166" customWidth="1"/>
    <col min="11276" max="11524" width="8.125" style="166"/>
    <col min="11525" max="11525" width="7.875" style="166" customWidth="1"/>
    <col min="11526" max="11528" width="8.125" style="166"/>
    <col min="11529" max="11529" width="7.25" style="166" customWidth="1"/>
    <col min="11530" max="11530" width="12.625" style="166" customWidth="1"/>
    <col min="11531" max="11531" width="5.625" style="166" customWidth="1"/>
    <col min="11532" max="11780" width="8.125" style="166"/>
    <col min="11781" max="11781" width="7.875" style="166" customWidth="1"/>
    <col min="11782" max="11784" width="8.125" style="166"/>
    <col min="11785" max="11785" width="7.25" style="166" customWidth="1"/>
    <col min="11786" max="11786" width="12.625" style="166" customWidth="1"/>
    <col min="11787" max="11787" width="5.625" style="166" customWidth="1"/>
    <col min="11788" max="12036" width="8.125" style="166"/>
    <col min="12037" max="12037" width="7.875" style="166" customWidth="1"/>
    <col min="12038" max="12040" width="8.125" style="166"/>
    <col min="12041" max="12041" width="7.25" style="166" customWidth="1"/>
    <col min="12042" max="12042" width="12.625" style="166" customWidth="1"/>
    <col min="12043" max="12043" width="5.625" style="166" customWidth="1"/>
    <col min="12044" max="12292" width="8.125" style="166"/>
    <col min="12293" max="12293" width="7.875" style="166" customWidth="1"/>
    <col min="12294" max="12296" width="8.125" style="166"/>
    <col min="12297" max="12297" width="7.25" style="166" customWidth="1"/>
    <col min="12298" max="12298" width="12.625" style="166" customWidth="1"/>
    <col min="12299" max="12299" width="5.625" style="166" customWidth="1"/>
    <col min="12300" max="12548" width="8.125" style="166"/>
    <col min="12549" max="12549" width="7.875" style="166" customWidth="1"/>
    <col min="12550" max="12552" width="8.125" style="166"/>
    <col min="12553" max="12553" width="7.25" style="166" customWidth="1"/>
    <col min="12554" max="12554" width="12.625" style="166" customWidth="1"/>
    <col min="12555" max="12555" width="5.625" style="166" customWidth="1"/>
    <col min="12556" max="12804" width="8.125" style="166"/>
    <col min="12805" max="12805" width="7.875" style="166" customWidth="1"/>
    <col min="12806" max="12808" width="8.125" style="166"/>
    <col min="12809" max="12809" width="7.25" style="166" customWidth="1"/>
    <col min="12810" max="12810" width="12.625" style="166" customWidth="1"/>
    <col min="12811" max="12811" width="5.625" style="166" customWidth="1"/>
    <col min="12812" max="13060" width="8.125" style="166"/>
    <col min="13061" max="13061" width="7.875" style="166" customWidth="1"/>
    <col min="13062" max="13064" width="8.125" style="166"/>
    <col min="13065" max="13065" width="7.25" style="166" customWidth="1"/>
    <col min="13066" max="13066" width="12.625" style="166" customWidth="1"/>
    <col min="13067" max="13067" width="5.625" style="166" customWidth="1"/>
    <col min="13068" max="13316" width="8.125" style="166"/>
    <col min="13317" max="13317" width="7.875" style="166" customWidth="1"/>
    <col min="13318" max="13320" width="8.125" style="166"/>
    <col min="13321" max="13321" width="7.25" style="166" customWidth="1"/>
    <col min="13322" max="13322" width="12.625" style="166" customWidth="1"/>
    <col min="13323" max="13323" width="5.625" style="166" customWidth="1"/>
    <col min="13324" max="13572" width="8.125" style="166"/>
    <col min="13573" max="13573" width="7.875" style="166" customWidth="1"/>
    <col min="13574" max="13576" width="8.125" style="166"/>
    <col min="13577" max="13577" width="7.25" style="166" customWidth="1"/>
    <col min="13578" max="13578" width="12.625" style="166" customWidth="1"/>
    <col min="13579" max="13579" width="5.625" style="166" customWidth="1"/>
    <col min="13580" max="13828" width="8.125" style="166"/>
    <col min="13829" max="13829" width="7.875" style="166" customWidth="1"/>
    <col min="13830" max="13832" width="8.125" style="166"/>
    <col min="13833" max="13833" width="7.25" style="166" customWidth="1"/>
    <col min="13834" max="13834" width="12.625" style="166" customWidth="1"/>
    <col min="13835" max="13835" width="5.625" style="166" customWidth="1"/>
    <col min="13836" max="14084" width="8.125" style="166"/>
    <col min="14085" max="14085" width="7.875" style="166" customWidth="1"/>
    <col min="14086" max="14088" width="8.125" style="166"/>
    <col min="14089" max="14089" width="7.25" style="166" customWidth="1"/>
    <col min="14090" max="14090" width="12.625" style="166" customWidth="1"/>
    <col min="14091" max="14091" width="5.625" style="166" customWidth="1"/>
    <col min="14092" max="14340" width="8.125" style="166"/>
    <col min="14341" max="14341" width="7.875" style="166" customWidth="1"/>
    <col min="14342" max="14344" width="8.125" style="166"/>
    <col min="14345" max="14345" width="7.25" style="166" customWidth="1"/>
    <col min="14346" max="14346" width="12.625" style="166" customWidth="1"/>
    <col min="14347" max="14347" width="5.625" style="166" customWidth="1"/>
    <col min="14348" max="14596" width="8.125" style="166"/>
    <col min="14597" max="14597" width="7.875" style="166" customWidth="1"/>
    <col min="14598" max="14600" width="8.125" style="166"/>
    <col min="14601" max="14601" width="7.25" style="166" customWidth="1"/>
    <col min="14602" max="14602" width="12.625" style="166" customWidth="1"/>
    <col min="14603" max="14603" width="5.625" style="166" customWidth="1"/>
    <col min="14604" max="14852" width="8.125" style="166"/>
    <col min="14853" max="14853" width="7.875" style="166" customWidth="1"/>
    <col min="14854" max="14856" width="8.125" style="166"/>
    <col min="14857" max="14857" width="7.25" style="166" customWidth="1"/>
    <col min="14858" max="14858" width="12.625" style="166" customWidth="1"/>
    <col min="14859" max="14859" width="5.625" style="166" customWidth="1"/>
    <col min="14860" max="15108" width="8.125" style="166"/>
    <col min="15109" max="15109" width="7.875" style="166" customWidth="1"/>
    <col min="15110" max="15112" width="8.125" style="166"/>
    <col min="15113" max="15113" width="7.25" style="166" customWidth="1"/>
    <col min="15114" max="15114" width="12.625" style="166" customWidth="1"/>
    <col min="15115" max="15115" width="5.625" style="166" customWidth="1"/>
    <col min="15116" max="15364" width="8.125" style="166"/>
    <col min="15365" max="15365" width="7.875" style="166" customWidth="1"/>
    <col min="15366" max="15368" width="8.125" style="166"/>
    <col min="15369" max="15369" width="7.25" style="166" customWidth="1"/>
    <col min="15370" max="15370" width="12.625" style="166" customWidth="1"/>
    <col min="15371" max="15371" width="5.625" style="166" customWidth="1"/>
    <col min="15372" max="15620" width="8.125" style="166"/>
    <col min="15621" max="15621" width="7.875" style="166" customWidth="1"/>
    <col min="15622" max="15624" width="8.125" style="166"/>
    <col min="15625" max="15625" width="7.25" style="166" customWidth="1"/>
    <col min="15626" max="15626" width="12.625" style="166" customWidth="1"/>
    <col min="15627" max="15627" width="5.625" style="166" customWidth="1"/>
    <col min="15628" max="15876" width="8.125" style="166"/>
    <col min="15877" max="15877" width="7.875" style="166" customWidth="1"/>
    <col min="15878" max="15880" width="8.125" style="166"/>
    <col min="15881" max="15881" width="7.25" style="166" customWidth="1"/>
    <col min="15882" max="15882" width="12.625" style="166" customWidth="1"/>
    <col min="15883" max="15883" width="5.625" style="166" customWidth="1"/>
    <col min="15884" max="16132" width="8.125" style="166"/>
    <col min="16133" max="16133" width="7.875" style="166" customWidth="1"/>
    <col min="16134" max="16136" width="8.125" style="166"/>
    <col min="16137" max="16137" width="7.25" style="166" customWidth="1"/>
    <col min="16138" max="16138" width="12.625" style="166" customWidth="1"/>
    <col min="16139" max="16139" width="5.625" style="166" customWidth="1"/>
    <col min="16140" max="16384" width="8.125" style="166"/>
  </cols>
  <sheetData>
    <row r="1" spans="1:12" ht="34.5">
      <c r="A1" s="1" t="s">
        <v>0</v>
      </c>
      <c r="B1" s="2"/>
      <c r="C1" s="2"/>
      <c r="D1" s="2"/>
      <c r="E1" s="3" t="s">
        <v>1</v>
      </c>
      <c r="F1" s="2"/>
      <c r="G1" s="2"/>
      <c r="H1" s="2"/>
      <c r="I1" s="2"/>
      <c r="J1" s="2"/>
      <c r="K1" s="2"/>
      <c r="L1" s="4" t="s">
        <v>0</v>
      </c>
    </row>
    <row r="2" spans="1:12" ht="34.5">
      <c r="B2" s="3"/>
      <c r="E2" s="3"/>
      <c r="F2" s="3"/>
      <c r="G2" s="3"/>
      <c r="H2" s="3"/>
    </row>
    <row r="3" spans="1:12" ht="32.25">
      <c r="B3" s="5"/>
      <c r="C3" s="6" t="s">
        <v>2</v>
      </c>
      <c r="E3" s="5"/>
      <c r="F3" s="5"/>
      <c r="G3" s="5"/>
      <c r="H3" s="5"/>
    </row>
    <row r="6" spans="1:12" ht="59.25">
      <c r="C6" s="7" t="s">
        <v>3</v>
      </c>
      <c r="G6" s="137" t="s">
        <v>4</v>
      </c>
      <c r="H6" s="326">
        <v>12345</v>
      </c>
      <c r="I6" s="326"/>
      <c r="J6" s="326"/>
      <c r="K6" s="326"/>
    </row>
    <row r="7" spans="1:12" ht="33" thickBot="1">
      <c r="A7" s="9"/>
      <c r="B7" s="10"/>
      <c r="C7" s="10"/>
      <c r="D7" s="10"/>
      <c r="E7" s="10"/>
      <c r="F7" s="10"/>
      <c r="G7" s="10"/>
      <c r="H7" s="10"/>
      <c r="I7" s="11"/>
      <c r="J7" s="12"/>
      <c r="K7" s="12"/>
      <c r="L7" s="10"/>
    </row>
    <row r="8" spans="1:12" ht="19.5">
      <c r="A8" s="13"/>
      <c r="B8" s="5"/>
      <c r="C8" s="5"/>
      <c r="D8" s="5"/>
      <c r="E8" s="5"/>
      <c r="F8" s="13"/>
      <c r="G8" s="13"/>
      <c r="H8" s="13"/>
      <c r="I8" s="13"/>
      <c r="J8" s="13"/>
      <c r="K8" s="13"/>
      <c r="L8" s="13"/>
    </row>
    <row r="10" spans="1:12" ht="23.25" thickBot="1">
      <c r="A10" s="14" t="s">
        <v>5</v>
      </c>
      <c r="C10" s="327" t="str">
        <f>'09-54-01 BIC'!$B$11</f>
        <v/>
      </c>
      <c r="D10" s="327"/>
      <c r="E10" s="15" t="s">
        <v>6</v>
      </c>
      <c r="F10" s="327" t="str">
        <f>IF('09-54-01 BIC'!$B$12="","",'09-54-01 BIC'!$B$12)</f>
        <v/>
      </c>
      <c r="G10" s="327"/>
      <c r="H10" s="327"/>
      <c r="I10" s="15" t="s">
        <v>7</v>
      </c>
      <c r="J10" s="327" t="str">
        <f>'09-54-01 BIC'!$B$13</f>
        <v/>
      </c>
      <c r="K10" s="327"/>
      <c r="L10" s="16" t="s">
        <v>8</v>
      </c>
    </row>
    <row r="11" spans="1:12" ht="32.25">
      <c r="A11" s="14"/>
      <c r="C11" s="17"/>
      <c r="D11" s="17"/>
      <c r="E11" s="15"/>
      <c r="F11" s="17"/>
      <c r="G11" s="17"/>
      <c r="H11" s="17"/>
      <c r="I11" s="15"/>
      <c r="J11" s="17"/>
      <c r="K11" s="17"/>
      <c r="L11" s="18"/>
    </row>
    <row r="12" spans="1:12" ht="19.5">
      <c r="A12" s="13"/>
      <c r="B12" s="13"/>
      <c r="C12" s="13"/>
      <c r="D12" s="13"/>
      <c r="E12" s="13"/>
      <c r="F12" s="13"/>
      <c r="G12" s="13"/>
      <c r="H12" s="13"/>
      <c r="I12" s="19"/>
      <c r="J12" s="13"/>
      <c r="K12" s="13"/>
      <c r="L12" s="20"/>
    </row>
    <row r="13" spans="1:12" ht="23.25" thickBot="1">
      <c r="A13" s="14" t="s">
        <v>5</v>
      </c>
      <c r="C13" s="327" t="str">
        <f>'09-54-01 BIC'!$B$15</f>
        <v/>
      </c>
      <c r="D13" s="327"/>
      <c r="E13" s="15" t="s">
        <v>6</v>
      </c>
      <c r="F13" s="327" t="str">
        <f>IF('09-54-01 BIC'!$B$16="","",'09-54-01 BIC'!$B$16)</f>
        <v/>
      </c>
      <c r="G13" s="327"/>
      <c r="H13" s="327"/>
      <c r="I13" s="15" t="s">
        <v>7</v>
      </c>
      <c r="J13" s="327" t="str">
        <f>'09-54-01 BIC'!$B$17</f>
        <v/>
      </c>
      <c r="K13" s="327"/>
      <c r="L13" s="16" t="s">
        <v>8</v>
      </c>
    </row>
    <row r="14" spans="1:12" ht="32.25">
      <c r="A14" s="14"/>
      <c r="C14" s="17"/>
      <c r="D14" s="17"/>
      <c r="E14" s="15"/>
      <c r="F14" s="17"/>
      <c r="G14" s="17"/>
      <c r="H14" s="17"/>
      <c r="I14" s="15"/>
      <c r="J14" s="17"/>
      <c r="K14" s="17"/>
      <c r="L14" s="18"/>
    </row>
    <row r="15" spans="1:12" ht="18">
      <c r="I15" s="21"/>
      <c r="L15" s="20"/>
    </row>
    <row r="16" spans="1:12" ht="23.25" thickBot="1">
      <c r="A16" s="14" t="s">
        <v>5</v>
      </c>
      <c r="C16" s="327" t="str">
        <f>'09-54-01 BIC'!$B$19</f>
        <v/>
      </c>
      <c r="D16" s="327"/>
      <c r="E16" s="15" t="s">
        <v>6</v>
      </c>
      <c r="F16" s="327" t="str">
        <f>IF('09-54-01 BIC'!$B$20="","",'09-54-01 BIC'!$B$20)</f>
        <v/>
      </c>
      <c r="G16" s="327"/>
      <c r="H16" s="327"/>
      <c r="I16" s="15" t="s">
        <v>7</v>
      </c>
      <c r="J16" s="327" t="str">
        <f>'09-54-01 BIC'!$B$21</f>
        <v/>
      </c>
      <c r="K16" s="327"/>
      <c r="L16" s="16" t="s">
        <v>8</v>
      </c>
    </row>
    <row r="17" spans="1:12" ht="32.25">
      <c r="A17" s="14"/>
      <c r="C17" s="17"/>
      <c r="D17" s="17"/>
      <c r="E17" s="15"/>
      <c r="F17" s="17"/>
      <c r="G17" s="17"/>
      <c r="H17" s="17"/>
      <c r="I17" s="15"/>
      <c r="J17" s="17"/>
      <c r="K17" s="17"/>
      <c r="L17" s="18"/>
    </row>
    <row r="18" spans="1:12" ht="19.5">
      <c r="A18" s="13"/>
      <c r="B18" s="14"/>
      <c r="C18" s="14"/>
      <c r="D18" s="14"/>
      <c r="E18" s="13"/>
      <c r="F18" s="13"/>
      <c r="G18" s="13"/>
      <c r="H18" s="13"/>
      <c r="I18" s="19"/>
      <c r="J18" s="13"/>
      <c r="K18" s="13"/>
      <c r="L18" s="20"/>
    </row>
    <row r="19" spans="1:12" ht="23.25" thickBot="1">
      <c r="A19" s="14" t="s">
        <v>5</v>
      </c>
      <c r="C19" s="327" t="str">
        <f>'09-54-01 BIC'!$B$23</f>
        <v/>
      </c>
      <c r="D19" s="327"/>
      <c r="E19" s="15" t="s">
        <v>6</v>
      </c>
      <c r="F19" s="327" t="str">
        <f>IF('09-54-01 BIC'!$B$24="","",'09-54-01 BIC'!$B$24)</f>
        <v/>
      </c>
      <c r="G19" s="327"/>
      <c r="H19" s="327"/>
      <c r="I19" s="15" t="s">
        <v>7</v>
      </c>
      <c r="J19" s="327" t="str">
        <f>'09-54-01 BIC'!$B$25</f>
        <v/>
      </c>
      <c r="K19" s="327"/>
      <c r="L19" s="16" t="s">
        <v>8</v>
      </c>
    </row>
    <row r="20" spans="1:12" ht="1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</row>
    <row r="21" spans="1:12" ht="19.5">
      <c r="A21" s="14"/>
      <c r="B21" s="14"/>
      <c r="C21" s="14"/>
      <c r="D21" s="23"/>
      <c r="E21" s="23"/>
      <c r="F21" s="23"/>
      <c r="G21" s="23"/>
      <c r="H21" s="23"/>
      <c r="I21" s="23"/>
      <c r="J21" s="22"/>
      <c r="K21" s="22"/>
      <c r="L21" s="22"/>
    </row>
    <row r="22" spans="1:12" ht="22.5">
      <c r="A22" s="251"/>
      <c r="B22" s="252"/>
      <c r="C22" s="333"/>
      <c r="D22" s="333"/>
      <c r="E22" s="15"/>
      <c r="F22" s="333"/>
      <c r="G22" s="333"/>
      <c r="H22" s="333"/>
      <c r="I22" s="15"/>
      <c r="J22" s="333"/>
      <c r="K22" s="333"/>
      <c r="L22" s="18"/>
    </row>
    <row r="23" spans="1:12" ht="19.5">
      <c r="A23" s="14"/>
      <c r="B23" s="14"/>
      <c r="C23" s="14"/>
      <c r="D23" s="23"/>
      <c r="E23" s="23"/>
      <c r="F23" s="23"/>
      <c r="G23" s="23"/>
      <c r="H23" s="23"/>
      <c r="I23" s="23"/>
      <c r="J23" s="22"/>
      <c r="K23" s="22"/>
      <c r="L23" s="22"/>
    </row>
    <row r="26" spans="1:12" ht="22.5">
      <c r="A26" s="24" t="s">
        <v>9</v>
      </c>
      <c r="B26" s="24"/>
      <c r="C26" s="25"/>
      <c r="D26" s="328"/>
      <c r="E26" s="328"/>
      <c r="F26" s="328"/>
      <c r="G26" s="25"/>
      <c r="H26" s="26" t="s">
        <v>10</v>
      </c>
      <c r="I26" s="25"/>
      <c r="J26" s="329">
        <f ca="1">TODAY()</f>
        <v>43845</v>
      </c>
      <c r="K26" s="329"/>
      <c r="L26" s="329"/>
    </row>
    <row r="27" spans="1:12" ht="13.5" thickBo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ht="18.75" thickBot="1">
      <c r="A28" s="20"/>
      <c r="B28" s="20"/>
      <c r="C28" s="27"/>
      <c r="D28" s="27"/>
      <c r="E28" s="27"/>
      <c r="F28" s="23"/>
      <c r="G28" s="23"/>
      <c r="H28" s="23"/>
      <c r="I28" s="20"/>
      <c r="J28" s="20"/>
      <c r="K28" s="20"/>
      <c r="L28" s="20"/>
    </row>
    <row r="29" spans="1:12" ht="45" thickBot="1">
      <c r="C29" s="7" t="s">
        <v>11</v>
      </c>
      <c r="G29" s="330">
        <v>1</v>
      </c>
      <c r="H29" s="331"/>
      <c r="I29" s="332"/>
    </row>
    <row r="32" spans="1:12">
      <c r="A32" s="176" t="s">
        <v>12</v>
      </c>
      <c r="B32" s="178" t="s">
        <v>208</v>
      </c>
      <c r="C32" s="28"/>
      <c r="D32" s="28"/>
      <c r="E32" s="28"/>
      <c r="F32" s="28"/>
      <c r="G32" s="28"/>
      <c r="H32" s="28"/>
      <c r="I32" s="28"/>
      <c r="J32" s="28"/>
      <c r="K32" s="177"/>
      <c r="L32" s="176" t="s">
        <v>13</v>
      </c>
    </row>
    <row r="33" spans="1:12" ht="34.5">
      <c r="A33" s="1" t="s">
        <v>0</v>
      </c>
      <c r="B33" s="2"/>
      <c r="C33" s="2"/>
      <c r="D33" s="2"/>
      <c r="E33" s="3" t="s">
        <v>1</v>
      </c>
      <c r="F33" s="2"/>
      <c r="G33" s="2"/>
      <c r="H33" s="2"/>
      <c r="I33" s="2"/>
      <c r="J33" s="2"/>
      <c r="K33" s="2"/>
      <c r="L33" s="4" t="s">
        <v>0</v>
      </c>
    </row>
    <row r="34" spans="1:12" ht="34.5">
      <c r="B34" s="3"/>
      <c r="E34" s="3"/>
      <c r="F34" s="3"/>
      <c r="G34" s="3"/>
      <c r="H34" s="3"/>
    </row>
    <row r="35" spans="1:12" ht="32.25">
      <c r="B35" s="5"/>
      <c r="C35" s="6" t="s">
        <v>2</v>
      </c>
      <c r="E35" s="5"/>
      <c r="F35" s="5"/>
      <c r="G35" s="5"/>
      <c r="H35" s="5"/>
    </row>
    <row r="38" spans="1:12" ht="59.25">
      <c r="C38" s="7" t="s">
        <v>3</v>
      </c>
      <c r="G38" s="137" t="s">
        <v>4</v>
      </c>
      <c r="H38" s="326">
        <f>IF($H$6 = "", "", $H$6)</f>
        <v>12345</v>
      </c>
      <c r="I38" s="326"/>
      <c r="J38" s="326"/>
      <c r="K38" s="326"/>
    </row>
    <row r="39" spans="1:12" ht="33" thickBot="1">
      <c r="A39" s="9"/>
      <c r="B39" s="10"/>
      <c r="C39" s="10"/>
      <c r="D39" s="10"/>
      <c r="E39" s="10"/>
      <c r="F39" s="10"/>
      <c r="G39" s="10"/>
      <c r="H39" s="10"/>
      <c r="I39" s="11"/>
      <c r="J39" s="12"/>
      <c r="K39" s="12"/>
      <c r="L39" s="10"/>
    </row>
    <row r="40" spans="1:12" ht="19.5">
      <c r="A40" s="13"/>
      <c r="B40" s="5"/>
      <c r="C40" s="5"/>
      <c r="D40" s="5"/>
      <c r="E40" s="5"/>
      <c r="F40" s="13"/>
      <c r="G40" s="13"/>
      <c r="H40" s="13"/>
      <c r="I40" s="13"/>
      <c r="J40" s="13"/>
      <c r="K40" s="13"/>
      <c r="L40" s="13"/>
    </row>
    <row r="42" spans="1:12" ht="23.25" thickBot="1">
      <c r="A42" s="14" t="s">
        <v>5</v>
      </c>
      <c r="B42" s="271"/>
      <c r="C42" s="327" t="str">
        <f>'09-54-01 BIC'!$C$11</f>
        <v/>
      </c>
      <c r="D42" s="327"/>
      <c r="E42" s="15" t="s">
        <v>6</v>
      </c>
      <c r="F42" s="327" t="str">
        <f>IF('09-54-01 BIC'!$C$12="","",'09-54-01 BIC'!$C$12)</f>
        <v/>
      </c>
      <c r="G42" s="327"/>
      <c r="H42" s="327"/>
      <c r="I42" s="15" t="s">
        <v>7</v>
      </c>
      <c r="J42" s="327" t="str">
        <f>'09-54-01 BIC'!$C$13</f>
        <v/>
      </c>
      <c r="K42" s="327"/>
      <c r="L42" s="16" t="s">
        <v>8</v>
      </c>
    </row>
    <row r="43" spans="1:12" ht="32.25">
      <c r="A43" s="14"/>
      <c r="B43" s="271"/>
      <c r="C43" s="268"/>
      <c r="D43" s="268"/>
      <c r="E43" s="15"/>
      <c r="F43" s="268"/>
      <c r="G43" s="268"/>
      <c r="H43" s="268"/>
      <c r="I43" s="15"/>
      <c r="J43" s="268"/>
      <c r="K43" s="268"/>
      <c r="L43" s="18"/>
    </row>
    <row r="44" spans="1:12" ht="19.5">
      <c r="A44" s="13"/>
      <c r="B44" s="13"/>
      <c r="C44" s="13"/>
      <c r="D44" s="13"/>
      <c r="E44" s="13"/>
      <c r="F44" s="13"/>
      <c r="G44" s="13"/>
      <c r="H44" s="13"/>
      <c r="I44" s="19"/>
      <c r="J44" s="13"/>
      <c r="K44" s="13"/>
      <c r="L44" s="20"/>
    </row>
    <row r="45" spans="1:12" ht="23.25" thickBot="1">
      <c r="A45" s="14" t="s">
        <v>5</v>
      </c>
      <c r="B45" s="271"/>
      <c r="C45" s="327" t="str">
        <f>'09-54-01 BIC'!$C$15</f>
        <v/>
      </c>
      <c r="D45" s="327"/>
      <c r="E45" s="15" t="s">
        <v>6</v>
      </c>
      <c r="F45" s="327" t="str">
        <f>IF('09-54-01 BIC'!$C$16="","",'09-54-01 BIC'!$C$16)</f>
        <v/>
      </c>
      <c r="G45" s="327"/>
      <c r="H45" s="327"/>
      <c r="I45" s="15" t="s">
        <v>7</v>
      </c>
      <c r="J45" s="327" t="str">
        <f>'09-54-01 BIC'!$C$17</f>
        <v/>
      </c>
      <c r="K45" s="327"/>
      <c r="L45" s="16" t="s">
        <v>8</v>
      </c>
    </row>
    <row r="46" spans="1:12" ht="32.25">
      <c r="A46" s="14"/>
      <c r="B46" s="271"/>
      <c r="C46" s="268"/>
      <c r="D46" s="268"/>
      <c r="E46" s="15"/>
      <c r="F46" s="268"/>
      <c r="G46" s="268"/>
      <c r="H46" s="268"/>
      <c r="I46" s="15"/>
      <c r="J46" s="268"/>
      <c r="K46" s="268"/>
      <c r="L46" s="18"/>
    </row>
    <row r="47" spans="1:12" ht="18">
      <c r="A47" s="271"/>
      <c r="B47" s="271"/>
      <c r="C47" s="271"/>
      <c r="D47" s="271"/>
      <c r="E47" s="271"/>
      <c r="F47" s="271"/>
      <c r="G47" s="271"/>
      <c r="H47" s="271"/>
      <c r="I47" s="21"/>
      <c r="J47" s="271"/>
      <c r="K47" s="271"/>
      <c r="L47" s="20"/>
    </row>
    <row r="48" spans="1:12" ht="23.25" thickBot="1">
      <c r="A48" s="14" t="s">
        <v>5</v>
      </c>
      <c r="B48" s="271"/>
      <c r="C48" s="327" t="str">
        <f>'09-54-01 BIC'!$C$19</f>
        <v/>
      </c>
      <c r="D48" s="327"/>
      <c r="E48" s="15" t="s">
        <v>6</v>
      </c>
      <c r="F48" s="327" t="str">
        <f>IF('09-54-01 BIC'!$C$20="","",'09-54-01 BIC'!$C$20)</f>
        <v/>
      </c>
      <c r="G48" s="327"/>
      <c r="H48" s="327"/>
      <c r="I48" s="15" t="s">
        <v>7</v>
      </c>
      <c r="J48" s="327" t="str">
        <f>'09-54-01 BIC'!$C$21</f>
        <v/>
      </c>
      <c r="K48" s="327"/>
      <c r="L48" s="16" t="s">
        <v>8</v>
      </c>
    </row>
    <row r="49" spans="1:12" ht="32.25">
      <c r="A49" s="14"/>
      <c r="B49" s="271"/>
      <c r="C49" s="268"/>
      <c r="D49" s="268"/>
      <c r="E49" s="15"/>
      <c r="F49" s="268"/>
      <c r="G49" s="268"/>
      <c r="H49" s="268"/>
      <c r="I49" s="15"/>
      <c r="J49" s="268"/>
      <c r="K49" s="268"/>
      <c r="L49" s="18"/>
    </row>
    <row r="50" spans="1:12" ht="19.5">
      <c r="A50" s="13"/>
      <c r="B50" s="14"/>
      <c r="C50" s="14"/>
      <c r="D50" s="14"/>
      <c r="E50" s="13"/>
      <c r="F50" s="13"/>
      <c r="G50" s="13"/>
      <c r="H50" s="13"/>
      <c r="I50" s="19"/>
      <c r="J50" s="13"/>
      <c r="K50" s="13"/>
      <c r="L50" s="20"/>
    </row>
    <row r="51" spans="1:12" ht="23.25" thickBot="1">
      <c r="A51" s="14" t="s">
        <v>5</v>
      </c>
      <c r="B51" s="271"/>
      <c r="C51" s="327" t="str">
        <f>'09-54-01 BIC'!$C$23</f>
        <v/>
      </c>
      <c r="D51" s="327"/>
      <c r="E51" s="15" t="s">
        <v>6</v>
      </c>
      <c r="F51" s="327" t="str">
        <f>IF('09-54-01 BIC'!$C$24="","",'09-54-01 BIC'!$C$24)</f>
        <v/>
      </c>
      <c r="G51" s="327"/>
      <c r="H51" s="327"/>
      <c r="I51" s="15" t="s">
        <v>7</v>
      </c>
      <c r="J51" s="327" t="str">
        <f>'09-54-01 BIC'!$C$25</f>
        <v/>
      </c>
      <c r="K51" s="327"/>
      <c r="L51" s="16" t="s">
        <v>8</v>
      </c>
    </row>
    <row r="52" spans="1:12" ht="1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</row>
    <row r="53" spans="1:12" ht="19.5">
      <c r="A53" s="14"/>
      <c r="B53" s="14"/>
      <c r="C53" s="14"/>
      <c r="D53" s="23"/>
      <c r="E53" s="23"/>
      <c r="F53" s="23"/>
      <c r="G53" s="23"/>
      <c r="H53" s="23"/>
      <c r="I53" s="23"/>
      <c r="J53" s="22"/>
      <c r="K53" s="22"/>
      <c r="L53" s="22"/>
    </row>
    <row r="54" spans="1:12" ht="22.5">
      <c r="A54" s="251"/>
      <c r="B54" s="252"/>
      <c r="C54" s="333"/>
      <c r="D54" s="333"/>
      <c r="E54" s="15"/>
      <c r="F54" s="333"/>
      <c r="G54" s="333"/>
      <c r="H54" s="333"/>
      <c r="I54" s="15"/>
      <c r="J54" s="333"/>
      <c r="K54" s="333"/>
      <c r="L54" s="18"/>
    </row>
    <row r="55" spans="1:12" ht="19.5">
      <c r="A55" s="14"/>
      <c r="B55" s="14"/>
      <c r="C55" s="14"/>
      <c r="D55" s="23"/>
      <c r="E55" s="23"/>
      <c r="F55" s="23"/>
      <c r="G55" s="23"/>
      <c r="H55" s="23"/>
      <c r="I55" s="23"/>
      <c r="J55" s="22"/>
      <c r="K55" s="22"/>
      <c r="L55" s="22"/>
    </row>
    <row r="58" spans="1:12" ht="22.5">
      <c r="A58" s="24" t="s">
        <v>9</v>
      </c>
      <c r="B58" s="24"/>
      <c r="C58" s="25"/>
      <c r="D58" s="328"/>
      <c r="E58" s="328"/>
      <c r="F58" s="328"/>
      <c r="G58" s="25"/>
      <c r="H58" s="26" t="s">
        <v>10</v>
      </c>
      <c r="I58" s="25"/>
      <c r="J58" s="329">
        <f ca="1">$J$26</f>
        <v>43845</v>
      </c>
      <c r="K58" s="329"/>
      <c r="L58" s="329"/>
    </row>
    <row r="59" spans="1:12" ht="13.5" thickBo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</row>
    <row r="60" spans="1:12" ht="18.75" thickBot="1">
      <c r="A60" s="20"/>
      <c r="B60" s="20"/>
      <c r="C60" s="27"/>
      <c r="D60" s="27"/>
      <c r="E60" s="27"/>
      <c r="F60" s="23"/>
      <c r="G60" s="23"/>
      <c r="H60" s="23"/>
      <c r="I60" s="20"/>
      <c r="J60" s="20"/>
      <c r="K60" s="20"/>
      <c r="L60" s="20"/>
    </row>
    <row r="61" spans="1:12" ht="45" thickBot="1">
      <c r="C61" s="7" t="s">
        <v>11</v>
      </c>
      <c r="G61" s="330">
        <f>G29+1</f>
        <v>2</v>
      </c>
      <c r="H61" s="331"/>
      <c r="I61" s="332"/>
    </row>
    <row r="64" spans="1:12">
      <c r="A64" s="176" t="s">
        <v>12</v>
      </c>
      <c r="B64" s="178" t="s">
        <v>208</v>
      </c>
      <c r="C64" s="28"/>
      <c r="D64" s="28"/>
      <c r="E64" s="28"/>
      <c r="F64" s="28"/>
      <c r="G64" s="28"/>
      <c r="H64" s="28"/>
      <c r="I64" s="28"/>
      <c r="J64" s="28"/>
      <c r="K64" s="177"/>
      <c r="L64" s="176" t="s">
        <v>13</v>
      </c>
    </row>
    <row r="65" spans="1:12" ht="34.5">
      <c r="A65" s="1" t="s">
        <v>0</v>
      </c>
      <c r="B65" s="2"/>
      <c r="C65" s="2"/>
      <c r="D65" s="2"/>
      <c r="E65" s="3" t="s">
        <v>1</v>
      </c>
      <c r="F65" s="2"/>
      <c r="G65" s="2"/>
      <c r="H65" s="2"/>
      <c r="I65" s="2"/>
      <c r="J65" s="2"/>
      <c r="K65" s="2"/>
      <c r="L65" s="4" t="s">
        <v>0</v>
      </c>
    </row>
    <row r="66" spans="1:12" ht="34.5">
      <c r="B66" s="3"/>
      <c r="E66" s="3"/>
      <c r="F66" s="3"/>
      <c r="G66" s="3"/>
      <c r="H66" s="3"/>
    </row>
    <row r="67" spans="1:12" ht="32.25">
      <c r="B67" s="5"/>
      <c r="C67" s="6" t="s">
        <v>2</v>
      </c>
      <c r="E67" s="5"/>
      <c r="F67" s="5"/>
      <c r="G67" s="5"/>
      <c r="H67" s="5"/>
    </row>
    <row r="70" spans="1:12" ht="59.25">
      <c r="C70" s="7" t="s">
        <v>3</v>
      </c>
      <c r="G70" s="137" t="s">
        <v>4</v>
      </c>
      <c r="H70" s="326">
        <f>IF($H$6 = "", "", $H$6)</f>
        <v>12345</v>
      </c>
      <c r="I70" s="326"/>
      <c r="J70" s="326"/>
      <c r="K70" s="326"/>
    </row>
    <row r="71" spans="1:12" ht="33" thickBot="1">
      <c r="A71" s="9"/>
      <c r="B71" s="10"/>
      <c r="C71" s="10"/>
      <c r="D71" s="10"/>
      <c r="E71" s="10"/>
      <c r="F71" s="10"/>
      <c r="G71" s="10"/>
      <c r="H71" s="10"/>
      <c r="I71" s="11"/>
      <c r="J71" s="12"/>
      <c r="K71" s="12"/>
      <c r="L71" s="10"/>
    </row>
    <row r="72" spans="1:12" ht="19.5">
      <c r="A72" s="13"/>
      <c r="B72" s="5"/>
      <c r="C72" s="5"/>
      <c r="D72" s="5"/>
      <c r="E72" s="5"/>
      <c r="F72" s="13"/>
      <c r="G72" s="13"/>
      <c r="H72" s="13"/>
      <c r="I72" s="13"/>
      <c r="J72" s="13"/>
      <c r="K72" s="13"/>
      <c r="L72" s="13"/>
    </row>
    <row r="74" spans="1:12" ht="23.25" thickBot="1">
      <c r="A74" s="14" t="s">
        <v>5</v>
      </c>
      <c r="B74" s="271"/>
      <c r="C74" s="327" t="str">
        <f>'09-54-01 BIC'!$D$11</f>
        <v/>
      </c>
      <c r="D74" s="327"/>
      <c r="E74" s="15" t="s">
        <v>6</v>
      </c>
      <c r="F74" s="327" t="str">
        <f>IF('09-54-01 BIC'!$D$12="","",'09-54-01 BIC'!$D$12)</f>
        <v/>
      </c>
      <c r="G74" s="327"/>
      <c r="H74" s="327"/>
      <c r="I74" s="15" t="s">
        <v>7</v>
      </c>
      <c r="J74" s="327" t="str">
        <f>'09-54-01 BIC'!$D$13</f>
        <v/>
      </c>
      <c r="K74" s="327"/>
      <c r="L74" s="16" t="s">
        <v>8</v>
      </c>
    </row>
    <row r="75" spans="1:12" ht="32.25">
      <c r="A75" s="14"/>
      <c r="B75" s="271"/>
      <c r="C75" s="268"/>
      <c r="D75" s="268"/>
      <c r="E75" s="15"/>
      <c r="F75" s="268"/>
      <c r="G75" s="268"/>
      <c r="H75" s="268"/>
      <c r="I75" s="15"/>
      <c r="J75" s="268"/>
      <c r="K75" s="268"/>
      <c r="L75" s="18"/>
    </row>
    <row r="76" spans="1:12" ht="19.5">
      <c r="A76" s="13"/>
      <c r="B76" s="13"/>
      <c r="C76" s="13"/>
      <c r="D76" s="13"/>
      <c r="E76" s="13"/>
      <c r="F76" s="13"/>
      <c r="G76" s="13"/>
      <c r="H76" s="13"/>
      <c r="I76" s="19"/>
      <c r="J76" s="13"/>
      <c r="K76" s="13"/>
      <c r="L76" s="20"/>
    </row>
    <row r="77" spans="1:12" ht="23.25" thickBot="1">
      <c r="A77" s="14" t="s">
        <v>5</v>
      </c>
      <c r="B77" s="271"/>
      <c r="C77" s="327" t="str">
        <f>'09-54-01 BIC'!$D$15</f>
        <v/>
      </c>
      <c r="D77" s="327"/>
      <c r="E77" s="15" t="s">
        <v>6</v>
      </c>
      <c r="F77" s="327" t="str">
        <f>IF('09-54-01 BIC'!$D$16="","",'09-54-01 BIC'!$D$16)</f>
        <v/>
      </c>
      <c r="G77" s="327"/>
      <c r="H77" s="327"/>
      <c r="I77" s="15" t="s">
        <v>7</v>
      </c>
      <c r="J77" s="327" t="str">
        <f>'09-54-01 BIC'!$D$17</f>
        <v/>
      </c>
      <c r="K77" s="327"/>
      <c r="L77" s="16" t="s">
        <v>8</v>
      </c>
    </row>
    <row r="78" spans="1:12" ht="32.25">
      <c r="A78" s="14"/>
      <c r="B78" s="271"/>
      <c r="C78" s="268"/>
      <c r="D78" s="268"/>
      <c r="E78" s="15"/>
      <c r="F78" s="268"/>
      <c r="G78" s="268"/>
      <c r="H78" s="268"/>
      <c r="I78" s="15"/>
      <c r="J78" s="268"/>
      <c r="K78" s="268"/>
      <c r="L78" s="18"/>
    </row>
    <row r="79" spans="1:12" ht="18">
      <c r="A79" s="271"/>
      <c r="B79" s="271"/>
      <c r="C79" s="271"/>
      <c r="D79" s="271"/>
      <c r="E79" s="271"/>
      <c r="F79" s="271"/>
      <c r="G79" s="271"/>
      <c r="H79" s="271"/>
      <c r="I79" s="21"/>
      <c r="J79" s="271"/>
      <c r="K79" s="271"/>
      <c r="L79" s="20"/>
    </row>
    <row r="80" spans="1:12" ht="23.25" thickBot="1">
      <c r="A80" s="14" t="s">
        <v>5</v>
      </c>
      <c r="B80" s="271"/>
      <c r="C80" s="327" t="str">
        <f>'09-54-01 BIC'!$D$19</f>
        <v/>
      </c>
      <c r="D80" s="327"/>
      <c r="E80" s="15" t="s">
        <v>6</v>
      </c>
      <c r="F80" s="327" t="str">
        <f>IF('09-54-01 BIC'!$D$20="","",'09-54-01 BIC'!$D$20)</f>
        <v/>
      </c>
      <c r="G80" s="327"/>
      <c r="H80" s="327"/>
      <c r="I80" s="15" t="s">
        <v>7</v>
      </c>
      <c r="J80" s="327" t="str">
        <f>'09-54-01 BIC'!$D$21</f>
        <v/>
      </c>
      <c r="K80" s="327"/>
      <c r="L80" s="16" t="s">
        <v>8</v>
      </c>
    </row>
    <row r="81" spans="1:12" ht="32.25">
      <c r="A81" s="14"/>
      <c r="B81" s="271"/>
      <c r="C81" s="268"/>
      <c r="D81" s="268"/>
      <c r="E81" s="15"/>
      <c r="F81" s="268"/>
      <c r="G81" s="268"/>
      <c r="H81" s="268"/>
      <c r="I81" s="15"/>
      <c r="J81" s="268"/>
      <c r="K81" s="268"/>
      <c r="L81" s="18"/>
    </row>
    <row r="82" spans="1:12" ht="19.5">
      <c r="A82" s="13"/>
      <c r="B82" s="14"/>
      <c r="C82" s="14"/>
      <c r="D82" s="14"/>
      <c r="E82" s="13"/>
      <c r="F82" s="13"/>
      <c r="G82" s="13"/>
      <c r="H82" s="13"/>
      <c r="I82" s="19"/>
      <c r="J82" s="13"/>
      <c r="K82" s="13"/>
      <c r="L82" s="20"/>
    </row>
    <row r="83" spans="1:12" ht="23.25" thickBot="1">
      <c r="A83" s="14" t="s">
        <v>5</v>
      </c>
      <c r="B83" s="271"/>
      <c r="C83" s="327" t="str">
        <f>'09-54-01 BIC'!$D$23</f>
        <v/>
      </c>
      <c r="D83" s="327"/>
      <c r="E83" s="15" t="s">
        <v>6</v>
      </c>
      <c r="F83" s="327" t="str">
        <f>IF('09-54-01 BIC'!$D$24="","",'09-54-01 BIC'!$D$24)</f>
        <v/>
      </c>
      <c r="G83" s="327"/>
      <c r="H83" s="327"/>
      <c r="I83" s="15" t="s">
        <v>7</v>
      </c>
      <c r="J83" s="327" t="str">
        <f>'09-54-01 BIC'!$D$25</f>
        <v/>
      </c>
      <c r="K83" s="327"/>
      <c r="L83" s="16" t="s">
        <v>8</v>
      </c>
    </row>
    <row r="84" spans="1:12" ht="1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</row>
    <row r="85" spans="1:12" ht="19.5">
      <c r="A85" s="14"/>
      <c r="B85" s="14"/>
      <c r="C85" s="14"/>
      <c r="D85" s="23"/>
      <c r="E85" s="23"/>
      <c r="F85" s="23"/>
      <c r="G85" s="23"/>
      <c r="H85" s="23"/>
      <c r="I85" s="23"/>
      <c r="J85" s="22"/>
      <c r="K85" s="22"/>
      <c r="L85" s="22"/>
    </row>
    <row r="86" spans="1:12" ht="22.5">
      <c r="A86" s="251"/>
      <c r="B86" s="252"/>
      <c r="C86" s="333"/>
      <c r="D86" s="333"/>
      <c r="E86" s="15"/>
      <c r="F86" s="333"/>
      <c r="G86" s="333"/>
      <c r="H86" s="333"/>
      <c r="I86" s="15"/>
      <c r="J86" s="333"/>
      <c r="K86" s="333"/>
      <c r="L86" s="18"/>
    </row>
    <row r="87" spans="1:12" ht="19.5">
      <c r="A87" s="14"/>
      <c r="B87" s="14"/>
      <c r="C87" s="14"/>
      <c r="D87" s="23"/>
      <c r="E87" s="23"/>
      <c r="F87" s="23"/>
      <c r="G87" s="23"/>
      <c r="H87" s="23"/>
      <c r="I87" s="23"/>
      <c r="J87" s="22"/>
      <c r="K87" s="22"/>
      <c r="L87" s="22"/>
    </row>
    <row r="90" spans="1:12" ht="22.5">
      <c r="A90" s="24" t="s">
        <v>9</v>
      </c>
      <c r="B90" s="24"/>
      <c r="C90" s="25"/>
      <c r="D90" s="328"/>
      <c r="E90" s="328"/>
      <c r="F90" s="328"/>
      <c r="G90" s="25"/>
      <c r="H90" s="26" t="s">
        <v>10</v>
      </c>
      <c r="I90" s="25"/>
      <c r="J90" s="329">
        <f ca="1">$J$26</f>
        <v>43845</v>
      </c>
      <c r="K90" s="329"/>
      <c r="L90" s="329"/>
    </row>
    <row r="91" spans="1:12" ht="13.5" thickBot="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</row>
    <row r="92" spans="1:12" ht="18.75" thickBot="1">
      <c r="A92" s="20"/>
      <c r="B92" s="20"/>
      <c r="C92" s="27"/>
      <c r="D92" s="27"/>
      <c r="E92" s="27"/>
      <c r="F92" s="23"/>
      <c r="G92" s="23"/>
      <c r="H92" s="23"/>
      <c r="I92" s="20"/>
      <c r="J92" s="20"/>
      <c r="K92" s="20"/>
      <c r="L92" s="20"/>
    </row>
    <row r="93" spans="1:12" ht="45" thickBot="1">
      <c r="C93" s="7" t="s">
        <v>11</v>
      </c>
      <c r="G93" s="330">
        <f>G61+1</f>
        <v>3</v>
      </c>
      <c r="H93" s="331"/>
      <c r="I93" s="332"/>
    </row>
    <row r="96" spans="1:12">
      <c r="A96" s="176" t="s">
        <v>12</v>
      </c>
      <c r="B96" s="178" t="s">
        <v>208</v>
      </c>
      <c r="C96" s="28"/>
      <c r="D96" s="28"/>
      <c r="E96" s="28"/>
      <c r="F96" s="28"/>
      <c r="G96" s="28"/>
      <c r="H96" s="28"/>
      <c r="I96" s="28"/>
      <c r="J96" s="28"/>
      <c r="K96" s="177"/>
      <c r="L96" s="176" t="s">
        <v>13</v>
      </c>
    </row>
    <row r="97" spans="1:12" ht="34.5">
      <c r="A97" s="1" t="s">
        <v>0</v>
      </c>
      <c r="B97" s="2"/>
      <c r="C97" s="2"/>
      <c r="D97" s="2"/>
      <c r="E97" s="3" t="s">
        <v>1</v>
      </c>
      <c r="F97" s="2"/>
      <c r="G97" s="2"/>
      <c r="H97" s="2"/>
      <c r="I97" s="2"/>
      <c r="J97" s="2"/>
      <c r="K97" s="2"/>
      <c r="L97" s="4" t="s">
        <v>0</v>
      </c>
    </row>
    <row r="98" spans="1:12" ht="34.5">
      <c r="B98" s="3"/>
      <c r="E98" s="3"/>
      <c r="F98" s="3"/>
      <c r="G98" s="3"/>
      <c r="H98" s="3"/>
    </row>
    <row r="99" spans="1:12" ht="32.25">
      <c r="B99" s="5"/>
      <c r="C99" s="6" t="s">
        <v>2</v>
      </c>
      <c r="E99" s="5"/>
      <c r="F99" s="5"/>
      <c r="G99" s="5"/>
      <c r="H99" s="5"/>
    </row>
    <row r="102" spans="1:12" ht="59.25">
      <c r="C102" s="7" t="s">
        <v>3</v>
      </c>
      <c r="G102" s="137" t="s">
        <v>4</v>
      </c>
      <c r="H102" s="326">
        <f>IF($H$6 = "", "", $H$6)</f>
        <v>12345</v>
      </c>
      <c r="I102" s="326"/>
      <c r="J102" s="326"/>
      <c r="K102" s="326"/>
    </row>
    <row r="103" spans="1:12" ht="33" thickBot="1">
      <c r="A103" s="9"/>
      <c r="B103" s="10"/>
      <c r="C103" s="10"/>
      <c r="D103" s="10"/>
      <c r="E103" s="10"/>
      <c r="F103" s="10"/>
      <c r="G103" s="10"/>
      <c r="H103" s="10"/>
      <c r="I103" s="11"/>
      <c r="J103" s="12"/>
      <c r="K103" s="12"/>
      <c r="L103" s="10"/>
    </row>
    <row r="104" spans="1:12" ht="19.5">
      <c r="A104" s="13"/>
      <c r="B104" s="5"/>
      <c r="C104" s="5"/>
      <c r="D104" s="5"/>
      <c r="E104" s="5"/>
      <c r="F104" s="13"/>
      <c r="G104" s="13"/>
      <c r="H104" s="13"/>
      <c r="I104" s="13"/>
      <c r="J104" s="13"/>
      <c r="K104" s="13"/>
      <c r="L104" s="13"/>
    </row>
    <row r="106" spans="1:12" ht="23.25" thickBot="1">
      <c r="A106" s="14" t="s">
        <v>5</v>
      </c>
      <c r="B106" s="271"/>
      <c r="C106" s="327" t="str">
        <f>'09-54-01 BIC'!$E$11</f>
        <v/>
      </c>
      <c r="D106" s="327"/>
      <c r="E106" s="15" t="s">
        <v>6</v>
      </c>
      <c r="F106" s="327" t="str">
        <f>IF('09-54-01 BIC'!$E$12="","",'09-54-01 BIC'!$E$12)</f>
        <v/>
      </c>
      <c r="G106" s="327"/>
      <c r="H106" s="327"/>
      <c r="I106" s="15" t="s">
        <v>7</v>
      </c>
      <c r="J106" s="327" t="str">
        <f>'09-54-01 BIC'!$E$13</f>
        <v/>
      </c>
      <c r="K106" s="327"/>
      <c r="L106" s="16" t="s">
        <v>8</v>
      </c>
    </row>
    <row r="107" spans="1:12" ht="32.25">
      <c r="A107" s="14"/>
      <c r="B107" s="271"/>
      <c r="C107" s="268"/>
      <c r="D107" s="268"/>
      <c r="E107" s="15"/>
      <c r="F107" s="268"/>
      <c r="G107" s="268"/>
      <c r="H107" s="268"/>
      <c r="I107" s="15"/>
      <c r="J107" s="268"/>
      <c r="K107" s="268"/>
      <c r="L107" s="18"/>
    </row>
    <row r="108" spans="1:12" ht="19.5">
      <c r="A108" s="13"/>
      <c r="B108" s="13"/>
      <c r="C108" s="13"/>
      <c r="D108" s="13"/>
      <c r="E108" s="13"/>
      <c r="F108" s="13"/>
      <c r="G108" s="13"/>
      <c r="H108" s="13"/>
      <c r="I108" s="19"/>
      <c r="J108" s="13"/>
      <c r="K108" s="13"/>
      <c r="L108" s="20"/>
    </row>
    <row r="109" spans="1:12" ht="23.25" thickBot="1">
      <c r="A109" s="14" t="s">
        <v>5</v>
      </c>
      <c r="B109" s="271"/>
      <c r="C109" s="327" t="str">
        <f>'09-54-01 BIC'!$E$15</f>
        <v/>
      </c>
      <c r="D109" s="327"/>
      <c r="E109" s="15" t="s">
        <v>6</v>
      </c>
      <c r="F109" s="327" t="str">
        <f>IF('09-54-01 BIC'!$E$16="","",'09-54-01 BIC'!$E$16)</f>
        <v/>
      </c>
      <c r="G109" s="327"/>
      <c r="H109" s="327"/>
      <c r="I109" s="15" t="s">
        <v>7</v>
      </c>
      <c r="J109" s="327" t="str">
        <f>'09-54-01 BIC'!$E$17</f>
        <v/>
      </c>
      <c r="K109" s="327"/>
      <c r="L109" s="16" t="s">
        <v>8</v>
      </c>
    </row>
    <row r="110" spans="1:12" ht="32.25">
      <c r="A110" s="14"/>
      <c r="B110" s="271"/>
      <c r="C110" s="268"/>
      <c r="D110" s="268"/>
      <c r="E110" s="15"/>
      <c r="F110" s="268"/>
      <c r="G110" s="268"/>
      <c r="H110" s="268"/>
      <c r="I110" s="15"/>
      <c r="J110" s="268"/>
      <c r="K110" s="268"/>
      <c r="L110" s="18"/>
    </row>
    <row r="111" spans="1:12" ht="18">
      <c r="A111" s="271"/>
      <c r="B111" s="271"/>
      <c r="C111" s="271"/>
      <c r="D111" s="271"/>
      <c r="E111" s="271"/>
      <c r="F111" s="271"/>
      <c r="G111" s="271"/>
      <c r="H111" s="271"/>
      <c r="I111" s="21"/>
      <c r="J111" s="271"/>
      <c r="K111" s="271"/>
      <c r="L111" s="20"/>
    </row>
    <row r="112" spans="1:12" ht="23.25" thickBot="1">
      <c r="A112" s="14" t="s">
        <v>5</v>
      </c>
      <c r="B112" s="271"/>
      <c r="C112" s="327" t="str">
        <f>'09-54-01 BIC'!$E$19</f>
        <v/>
      </c>
      <c r="D112" s="327"/>
      <c r="E112" s="15" t="s">
        <v>6</v>
      </c>
      <c r="F112" s="327" t="str">
        <f>IF('09-54-01 BIC'!$E$20="","",'09-54-01 BIC'!$E$20)</f>
        <v/>
      </c>
      <c r="G112" s="327"/>
      <c r="H112" s="327"/>
      <c r="I112" s="15" t="s">
        <v>7</v>
      </c>
      <c r="J112" s="327" t="str">
        <f>'09-54-01 BIC'!$E$21</f>
        <v/>
      </c>
      <c r="K112" s="327"/>
      <c r="L112" s="16" t="s">
        <v>8</v>
      </c>
    </row>
    <row r="113" spans="1:12" ht="32.25">
      <c r="A113" s="14"/>
      <c r="B113" s="271"/>
      <c r="C113" s="268"/>
      <c r="D113" s="268"/>
      <c r="E113" s="15"/>
      <c r="F113" s="268"/>
      <c r="G113" s="268"/>
      <c r="H113" s="268"/>
      <c r="I113" s="15"/>
      <c r="J113" s="268"/>
      <c r="K113" s="268"/>
      <c r="L113" s="18"/>
    </row>
    <row r="114" spans="1:12" ht="19.5">
      <c r="A114" s="13"/>
      <c r="B114" s="14"/>
      <c r="C114" s="14"/>
      <c r="D114" s="14"/>
      <c r="E114" s="13"/>
      <c r="F114" s="13"/>
      <c r="G114" s="13"/>
      <c r="H114" s="13"/>
      <c r="I114" s="19"/>
      <c r="J114" s="13"/>
      <c r="K114" s="13"/>
      <c r="L114" s="20"/>
    </row>
    <row r="115" spans="1:12" ht="23.25" thickBot="1">
      <c r="A115" s="14" t="s">
        <v>5</v>
      </c>
      <c r="B115" s="271"/>
      <c r="C115" s="327" t="str">
        <f>'09-54-01 BIC'!$E$23</f>
        <v/>
      </c>
      <c r="D115" s="327"/>
      <c r="E115" s="15" t="s">
        <v>6</v>
      </c>
      <c r="F115" s="327" t="str">
        <f>IF('09-54-01 BIC'!$E$24="","",'09-54-01 BIC'!$E$24)</f>
        <v/>
      </c>
      <c r="G115" s="327"/>
      <c r="H115" s="327"/>
      <c r="I115" s="15" t="s">
        <v>7</v>
      </c>
      <c r="J115" s="327" t="str">
        <f>'09-54-01 BIC'!$E$25</f>
        <v/>
      </c>
      <c r="K115" s="327"/>
      <c r="L115" s="16" t="s">
        <v>8</v>
      </c>
    </row>
    <row r="116" spans="1:12" ht="1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</row>
    <row r="117" spans="1:12" ht="19.5">
      <c r="A117" s="14"/>
      <c r="B117" s="14"/>
      <c r="C117" s="14"/>
      <c r="D117" s="23"/>
      <c r="E117" s="23"/>
      <c r="F117" s="23"/>
      <c r="G117" s="23"/>
      <c r="H117" s="23"/>
      <c r="I117" s="23"/>
      <c r="J117" s="22"/>
      <c r="K117" s="22"/>
      <c r="L117" s="22"/>
    </row>
    <row r="118" spans="1:12" ht="22.5">
      <c r="A118" s="251"/>
      <c r="B118" s="252"/>
      <c r="C118" s="333"/>
      <c r="D118" s="333"/>
      <c r="E118" s="15"/>
      <c r="F118" s="333"/>
      <c r="G118" s="333"/>
      <c r="H118" s="333"/>
      <c r="I118" s="15"/>
      <c r="J118" s="333"/>
      <c r="K118" s="333"/>
      <c r="L118" s="18"/>
    </row>
    <row r="119" spans="1:12" ht="19.5">
      <c r="A119" s="14"/>
      <c r="B119" s="14"/>
      <c r="C119" s="14"/>
      <c r="D119" s="23"/>
      <c r="E119" s="23"/>
      <c r="F119" s="23"/>
      <c r="G119" s="23"/>
      <c r="H119" s="23"/>
      <c r="I119" s="23"/>
      <c r="J119" s="22"/>
      <c r="K119" s="22"/>
      <c r="L119" s="22"/>
    </row>
    <row r="122" spans="1:12" ht="22.5">
      <c r="A122" s="24" t="s">
        <v>9</v>
      </c>
      <c r="B122" s="24"/>
      <c r="C122" s="25"/>
      <c r="D122" s="328"/>
      <c r="E122" s="328"/>
      <c r="F122" s="328"/>
      <c r="G122" s="25"/>
      <c r="H122" s="26" t="s">
        <v>10</v>
      </c>
      <c r="I122" s="25"/>
      <c r="J122" s="329">
        <f ca="1">$J$26</f>
        <v>43845</v>
      </c>
      <c r="K122" s="329"/>
      <c r="L122" s="329"/>
    </row>
    <row r="123" spans="1:12" ht="13.5" thickBo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</row>
    <row r="124" spans="1:12" ht="18.75" thickBot="1">
      <c r="A124" s="20"/>
      <c r="B124" s="20"/>
      <c r="C124" s="27"/>
      <c r="D124" s="27"/>
      <c r="E124" s="27"/>
      <c r="F124" s="23"/>
      <c r="G124" s="23"/>
      <c r="H124" s="23"/>
      <c r="I124" s="20"/>
      <c r="J124" s="20"/>
      <c r="K124" s="20"/>
      <c r="L124" s="20"/>
    </row>
    <row r="125" spans="1:12" ht="45" thickBot="1">
      <c r="C125" s="7" t="s">
        <v>11</v>
      </c>
      <c r="G125" s="330">
        <f>G93+1</f>
        <v>4</v>
      </c>
      <c r="H125" s="331"/>
      <c r="I125" s="332"/>
    </row>
    <row r="128" spans="1:12">
      <c r="A128" s="176" t="s">
        <v>12</v>
      </c>
      <c r="B128" s="178" t="s">
        <v>208</v>
      </c>
      <c r="C128" s="28"/>
      <c r="D128" s="28"/>
      <c r="E128" s="28"/>
      <c r="F128" s="28"/>
      <c r="G128" s="28"/>
      <c r="H128" s="28"/>
      <c r="I128" s="28"/>
      <c r="J128" s="28"/>
      <c r="K128" s="177"/>
      <c r="L128" s="176" t="s">
        <v>13</v>
      </c>
    </row>
    <row r="129" spans="1:12" ht="34.5">
      <c r="A129" s="1" t="s">
        <v>0</v>
      </c>
      <c r="B129" s="2"/>
      <c r="C129" s="2"/>
      <c r="D129" s="2"/>
      <c r="E129" s="3" t="s">
        <v>1</v>
      </c>
      <c r="F129" s="2"/>
      <c r="G129" s="2"/>
      <c r="H129" s="2"/>
      <c r="I129" s="2"/>
      <c r="J129" s="2"/>
      <c r="K129" s="2"/>
      <c r="L129" s="4" t="s">
        <v>0</v>
      </c>
    </row>
    <row r="130" spans="1:12" ht="34.5">
      <c r="B130" s="3"/>
      <c r="E130" s="3"/>
      <c r="F130" s="3"/>
      <c r="G130" s="3"/>
      <c r="H130" s="3"/>
    </row>
    <row r="131" spans="1:12" ht="32.25">
      <c r="B131" s="5"/>
      <c r="C131" s="6" t="s">
        <v>2</v>
      </c>
      <c r="E131" s="5"/>
      <c r="F131" s="5"/>
      <c r="G131" s="5"/>
      <c r="H131" s="5"/>
    </row>
    <row r="134" spans="1:12" ht="59.25">
      <c r="C134" s="7" t="s">
        <v>3</v>
      </c>
      <c r="G134" s="8" t="s">
        <v>4</v>
      </c>
      <c r="H134" s="326">
        <f>IF($H$6 = "", "", $H$6)</f>
        <v>12345</v>
      </c>
      <c r="I134" s="326"/>
      <c r="J134" s="326"/>
      <c r="K134" s="326"/>
    </row>
    <row r="135" spans="1:12" ht="33" thickBot="1">
      <c r="A135" s="9"/>
      <c r="B135" s="10"/>
      <c r="C135" s="10"/>
      <c r="D135" s="10"/>
      <c r="E135" s="10"/>
      <c r="F135" s="10"/>
      <c r="G135" s="10"/>
      <c r="H135" s="10"/>
      <c r="I135" s="11"/>
      <c r="J135" s="12"/>
      <c r="K135" s="12"/>
      <c r="L135" s="10"/>
    </row>
    <row r="136" spans="1:12" ht="19.5">
      <c r="A136" s="13"/>
      <c r="B136" s="5"/>
      <c r="C136" s="5"/>
      <c r="D136" s="5"/>
      <c r="E136" s="5"/>
      <c r="F136" s="13"/>
      <c r="G136" s="13"/>
      <c r="H136" s="13"/>
      <c r="I136" s="13"/>
      <c r="J136" s="13"/>
      <c r="K136" s="13"/>
      <c r="L136" s="13"/>
    </row>
    <row r="138" spans="1:12" ht="23.25" thickBot="1">
      <c r="A138" s="14" t="s">
        <v>5</v>
      </c>
      <c r="B138" s="271"/>
      <c r="C138" s="327" t="str">
        <f>'09-54-01 BIC'!$F$11</f>
        <v/>
      </c>
      <c r="D138" s="327"/>
      <c r="E138" s="15" t="s">
        <v>6</v>
      </c>
      <c r="F138" s="327" t="str">
        <f>IF('09-54-01 BIC'!$F$12="","",'09-54-01 BIC'!$F$12)</f>
        <v/>
      </c>
      <c r="G138" s="327"/>
      <c r="H138" s="327"/>
      <c r="I138" s="15" t="s">
        <v>7</v>
      </c>
      <c r="J138" s="327" t="str">
        <f>'09-54-01 BIC'!$F$13</f>
        <v/>
      </c>
      <c r="K138" s="327"/>
      <c r="L138" s="16" t="s">
        <v>8</v>
      </c>
    </row>
    <row r="139" spans="1:12" ht="32.25">
      <c r="A139" s="14"/>
      <c r="B139" s="271"/>
      <c r="C139" s="268"/>
      <c r="D139" s="268"/>
      <c r="E139" s="15"/>
      <c r="F139" s="268"/>
      <c r="G139" s="268"/>
      <c r="H139" s="268"/>
      <c r="I139" s="15"/>
      <c r="J139" s="268"/>
      <c r="K139" s="268"/>
      <c r="L139" s="18"/>
    </row>
    <row r="140" spans="1:12" ht="19.5">
      <c r="A140" s="13"/>
      <c r="B140" s="13"/>
      <c r="C140" s="13"/>
      <c r="D140" s="13"/>
      <c r="E140" s="13"/>
      <c r="F140" s="13"/>
      <c r="G140" s="13"/>
      <c r="H140" s="13"/>
      <c r="I140" s="19"/>
      <c r="J140" s="13"/>
      <c r="K140" s="13"/>
      <c r="L140" s="20"/>
    </row>
    <row r="141" spans="1:12" ht="23.25" thickBot="1">
      <c r="A141" s="14" t="s">
        <v>5</v>
      </c>
      <c r="B141" s="271"/>
      <c r="C141" s="327" t="str">
        <f>'09-54-01 BIC'!$F$15</f>
        <v/>
      </c>
      <c r="D141" s="327"/>
      <c r="E141" s="15" t="s">
        <v>6</v>
      </c>
      <c r="F141" s="327" t="str">
        <f>IF('09-54-01 BIC'!$F$16="","",'09-54-01 BIC'!$F$16)</f>
        <v/>
      </c>
      <c r="G141" s="327"/>
      <c r="H141" s="327"/>
      <c r="I141" s="15" t="s">
        <v>7</v>
      </c>
      <c r="J141" s="327" t="str">
        <f>'09-54-01 BIC'!$F$17</f>
        <v/>
      </c>
      <c r="K141" s="327"/>
      <c r="L141" s="16" t="s">
        <v>8</v>
      </c>
    </row>
    <row r="142" spans="1:12" ht="32.25">
      <c r="A142" s="14"/>
      <c r="B142" s="271"/>
      <c r="C142" s="268"/>
      <c r="D142" s="268"/>
      <c r="E142" s="15"/>
      <c r="F142" s="268"/>
      <c r="G142" s="268"/>
      <c r="H142" s="268"/>
      <c r="I142" s="15"/>
      <c r="J142" s="268"/>
      <c r="K142" s="268"/>
      <c r="L142" s="18"/>
    </row>
    <row r="143" spans="1:12" ht="18">
      <c r="A143" s="271"/>
      <c r="B143" s="271"/>
      <c r="C143" s="271"/>
      <c r="D143" s="271"/>
      <c r="E143" s="271"/>
      <c r="F143" s="271"/>
      <c r="G143" s="271"/>
      <c r="H143" s="271"/>
      <c r="I143" s="21"/>
      <c r="J143" s="271"/>
      <c r="K143" s="271"/>
      <c r="L143" s="20"/>
    </row>
    <row r="144" spans="1:12" ht="23.25" thickBot="1">
      <c r="A144" s="14" t="s">
        <v>5</v>
      </c>
      <c r="B144" s="271"/>
      <c r="C144" s="327" t="str">
        <f>'09-54-01 BIC'!$F$19</f>
        <v/>
      </c>
      <c r="D144" s="327"/>
      <c r="E144" s="15" t="s">
        <v>6</v>
      </c>
      <c r="F144" s="327" t="str">
        <f>IF('09-54-01 BIC'!$F$20="","",'09-54-01 BIC'!$F$20)</f>
        <v/>
      </c>
      <c r="G144" s="327"/>
      <c r="H144" s="327"/>
      <c r="I144" s="15" t="s">
        <v>7</v>
      </c>
      <c r="J144" s="327" t="str">
        <f>'09-54-01 BIC'!$F$21</f>
        <v/>
      </c>
      <c r="K144" s="327"/>
      <c r="L144" s="16" t="s">
        <v>8</v>
      </c>
    </row>
    <row r="145" spans="1:12" ht="32.25">
      <c r="A145" s="14"/>
      <c r="B145" s="271"/>
      <c r="C145" s="268"/>
      <c r="D145" s="268"/>
      <c r="E145" s="15"/>
      <c r="F145" s="268"/>
      <c r="G145" s="268"/>
      <c r="H145" s="268"/>
      <c r="I145" s="15"/>
      <c r="J145" s="268"/>
      <c r="K145" s="268"/>
      <c r="L145" s="18"/>
    </row>
    <row r="146" spans="1:12" ht="19.5">
      <c r="A146" s="13"/>
      <c r="B146" s="14"/>
      <c r="C146" s="14"/>
      <c r="D146" s="14"/>
      <c r="E146" s="13"/>
      <c r="F146" s="13"/>
      <c r="G146" s="13"/>
      <c r="H146" s="13"/>
      <c r="I146" s="19"/>
      <c r="J146" s="13"/>
      <c r="K146" s="13"/>
      <c r="L146" s="20"/>
    </row>
    <row r="147" spans="1:12" ht="23.25" thickBot="1">
      <c r="A147" s="14" t="s">
        <v>5</v>
      </c>
      <c r="B147" s="271"/>
      <c r="C147" s="327" t="str">
        <f>'09-54-01 BIC'!$F$23</f>
        <v/>
      </c>
      <c r="D147" s="327"/>
      <c r="E147" s="15" t="s">
        <v>6</v>
      </c>
      <c r="F147" s="327" t="str">
        <f>IF('09-54-01 BIC'!$F$24="","",'09-54-01 BIC'!$F$24)</f>
        <v/>
      </c>
      <c r="G147" s="327"/>
      <c r="H147" s="327"/>
      <c r="I147" s="15" t="s">
        <v>7</v>
      </c>
      <c r="J147" s="327" t="str">
        <f>'09-54-01 BIC'!$F$25</f>
        <v/>
      </c>
      <c r="K147" s="327"/>
      <c r="L147" s="16" t="s">
        <v>8</v>
      </c>
    </row>
    <row r="148" spans="1:12" ht="1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</row>
    <row r="149" spans="1:12" ht="19.5">
      <c r="A149" s="14"/>
      <c r="B149" s="14"/>
      <c r="C149" s="14"/>
      <c r="D149" s="23"/>
      <c r="E149" s="23"/>
      <c r="F149" s="23"/>
      <c r="G149" s="23"/>
      <c r="H149" s="23"/>
      <c r="I149" s="23"/>
      <c r="J149" s="22"/>
      <c r="K149" s="22"/>
      <c r="L149" s="22"/>
    </row>
    <row r="150" spans="1:12" ht="22.5">
      <c r="A150" s="251"/>
      <c r="B150" s="252"/>
      <c r="C150" s="333"/>
      <c r="D150" s="333"/>
      <c r="E150" s="15"/>
      <c r="F150" s="333"/>
      <c r="G150" s="333"/>
      <c r="H150" s="333"/>
      <c r="I150" s="15"/>
      <c r="J150" s="333"/>
      <c r="K150" s="333"/>
      <c r="L150" s="18"/>
    </row>
    <row r="151" spans="1:12" ht="19.5">
      <c r="A151" s="14"/>
      <c r="B151" s="14"/>
      <c r="C151" s="14"/>
      <c r="D151" s="23"/>
      <c r="E151" s="23"/>
      <c r="F151" s="23"/>
      <c r="G151" s="23"/>
      <c r="H151" s="23"/>
      <c r="I151" s="23"/>
      <c r="J151" s="22"/>
      <c r="K151" s="22"/>
      <c r="L151" s="22"/>
    </row>
    <row r="154" spans="1:12" ht="22.5">
      <c r="A154" s="24" t="s">
        <v>9</v>
      </c>
      <c r="B154" s="24"/>
      <c r="C154" s="25"/>
      <c r="D154" s="328"/>
      <c r="E154" s="328"/>
      <c r="F154" s="328"/>
      <c r="G154" s="25"/>
      <c r="H154" s="26" t="s">
        <v>10</v>
      </c>
      <c r="I154" s="25"/>
      <c r="J154" s="329">
        <f ca="1">$J$26</f>
        <v>43845</v>
      </c>
      <c r="K154" s="329"/>
      <c r="L154" s="329"/>
    </row>
    <row r="155" spans="1:12" ht="13.5" thickBot="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</row>
    <row r="156" spans="1:12" ht="18.75" thickBot="1">
      <c r="A156" s="20"/>
      <c r="B156" s="20"/>
      <c r="C156" s="27"/>
      <c r="D156" s="27"/>
      <c r="E156" s="27"/>
      <c r="F156" s="23"/>
      <c r="G156" s="23"/>
      <c r="H156" s="23"/>
      <c r="I156" s="20"/>
      <c r="J156" s="20"/>
      <c r="K156" s="20"/>
      <c r="L156" s="20"/>
    </row>
    <row r="157" spans="1:12" ht="45" thickBot="1">
      <c r="C157" s="7" t="s">
        <v>11</v>
      </c>
      <c r="G157" s="330">
        <f>G125+1</f>
        <v>5</v>
      </c>
      <c r="H157" s="331"/>
      <c r="I157" s="332"/>
    </row>
    <row r="160" spans="1:12">
      <c r="A160" s="176" t="s">
        <v>12</v>
      </c>
      <c r="B160" s="178" t="s">
        <v>208</v>
      </c>
      <c r="C160" s="28"/>
      <c r="D160" s="28"/>
      <c r="E160" s="28"/>
      <c r="F160" s="28"/>
      <c r="G160" s="28"/>
      <c r="H160" s="28"/>
      <c r="I160" s="28"/>
      <c r="J160" s="28"/>
      <c r="K160" s="177"/>
      <c r="L160" s="176" t="s">
        <v>13</v>
      </c>
    </row>
    <row r="161" spans="1:12" ht="34.5">
      <c r="A161" s="1" t="s">
        <v>0</v>
      </c>
      <c r="B161" s="2"/>
      <c r="C161" s="2"/>
      <c r="D161" s="2"/>
      <c r="E161" s="3" t="s">
        <v>1</v>
      </c>
      <c r="F161" s="2"/>
      <c r="G161" s="2"/>
      <c r="H161" s="2"/>
      <c r="I161" s="2"/>
      <c r="J161" s="2"/>
      <c r="K161" s="2"/>
      <c r="L161" s="4" t="s">
        <v>0</v>
      </c>
    </row>
    <row r="162" spans="1:12" ht="34.5">
      <c r="B162" s="3"/>
      <c r="E162" s="3"/>
      <c r="F162" s="3"/>
      <c r="G162" s="3"/>
      <c r="H162" s="3"/>
    </row>
    <row r="163" spans="1:12" ht="32.25">
      <c r="B163" s="5"/>
      <c r="C163" s="6" t="s">
        <v>2</v>
      </c>
      <c r="E163" s="5"/>
      <c r="F163" s="5"/>
      <c r="G163" s="5"/>
      <c r="H163" s="5"/>
    </row>
    <row r="166" spans="1:12" ht="59.25">
      <c r="C166" s="7" t="s">
        <v>3</v>
      </c>
      <c r="G166" s="137" t="s">
        <v>4</v>
      </c>
      <c r="H166" s="326">
        <f>IF($H$6 = "", "", $H$6)</f>
        <v>12345</v>
      </c>
      <c r="I166" s="326"/>
      <c r="J166" s="326"/>
      <c r="K166" s="326"/>
    </row>
    <row r="167" spans="1:12" ht="33" thickBot="1">
      <c r="A167" s="9"/>
      <c r="B167" s="10"/>
      <c r="C167" s="10"/>
      <c r="D167" s="10"/>
      <c r="E167" s="10"/>
      <c r="F167" s="10"/>
      <c r="G167" s="10"/>
      <c r="H167" s="10"/>
      <c r="I167" s="11"/>
      <c r="J167" s="12"/>
      <c r="K167" s="12"/>
      <c r="L167" s="10"/>
    </row>
    <row r="168" spans="1:12" ht="19.5">
      <c r="A168" s="13"/>
      <c r="B168" s="5"/>
      <c r="C168" s="5"/>
      <c r="D168" s="5"/>
      <c r="E168" s="5"/>
      <c r="F168" s="13"/>
      <c r="G168" s="13"/>
      <c r="H168" s="13"/>
      <c r="I168" s="13"/>
      <c r="J168" s="13"/>
      <c r="K168" s="13"/>
      <c r="L168" s="13"/>
    </row>
    <row r="170" spans="1:12" ht="23.25" thickBot="1">
      <c r="A170" s="14" t="s">
        <v>5</v>
      </c>
      <c r="B170" s="271"/>
      <c r="C170" s="327" t="str">
        <f>'09-54-01 BIC'!$G$11</f>
        <v/>
      </c>
      <c r="D170" s="327"/>
      <c r="E170" s="15" t="s">
        <v>6</v>
      </c>
      <c r="F170" s="327" t="str">
        <f>IF('09-54-01 BIC'!$G$12="","",'09-54-01 BIC'!$G$12)</f>
        <v/>
      </c>
      <c r="G170" s="327"/>
      <c r="H170" s="327"/>
      <c r="I170" s="15" t="s">
        <v>7</v>
      </c>
      <c r="J170" s="327" t="str">
        <f>'09-54-01 BIC'!$G$13</f>
        <v/>
      </c>
      <c r="K170" s="327"/>
      <c r="L170" s="16" t="s">
        <v>8</v>
      </c>
    </row>
    <row r="171" spans="1:12" ht="32.25">
      <c r="A171" s="14"/>
      <c r="B171" s="271"/>
      <c r="C171" s="268"/>
      <c r="D171" s="268"/>
      <c r="E171" s="15"/>
      <c r="F171" s="268"/>
      <c r="G171" s="268"/>
      <c r="H171" s="268"/>
      <c r="I171" s="15"/>
      <c r="J171" s="268"/>
      <c r="K171" s="268"/>
      <c r="L171" s="18"/>
    </row>
    <row r="172" spans="1:12" ht="19.5">
      <c r="A172" s="13"/>
      <c r="B172" s="13"/>
      <c r="C172" s="13"/>
      <c r="D172" s="13"/>
      <c r="E172" s="13"/>
      <c r="F172" s="13"/>
      <c r="G172" s="13"/>
      <c r="H172" s="13"/>
      <c r="I172" s="19"/>
      <c r="J172" s="13"/>
      <c r="K172" s="13"/>
      <c r="L172" s="20"/>
    </row>
    <row r="173" spans="1:12" ht="23.25" thickBot="1">
      <c r="A173" s="14" t="s">
        <v>5</v>
      </c>
      <c r="B173" s="271"/>
      <c r="C173" s="327" t="str">
        <f>'09-54-01 BIC'!$G$15</f>
        <v/>
      </c>
      <c r="D173" s="327"/>
      <c r="E173" s="15" t="s">
        <v>6</v>
      </c>
      <c r="F173" s="327" t="str">
        <f>IF('09-54-01 BIC'!$G$16="","",'09-54-01 BIC'!$G$16)</f>
        <v/>
      </c>
      <c r="G173" s="327"/>
      <c r="H173" s="327"/>
      <c r="I173" s="15" t="s">
        <v>7</v>
      </c>
      <c r="J173" s="327" t="str">
        <f>'09-54-01 BIC'!$G$17</f>
        <v/>
      </c>
      <c r="K173" s="327"/>
      <c r="L173" s="16" t="s">
        <v>8</v>
      </c>
    </row>
    <row r="174" spans="1:12" ht="32.25">
      <c r="A174" s="14"/>
      <c r="B174" s="271"/>
      <c r="C174" s="268"/>
      <c r="D174" s="268"/>
      <c r="E174" s="15"/>
      <c r="F174" s="268"/>
      <c r="G174" s="268"/>
      <c r="H174" s="268"/>
      <c r="I174" s="15"/>
      <c r="J174" s="268"/>
      <c r="K174" s="268"/>
      <c r="L174" s="18"/>
    </row>
    <row r="175" spans="1:12" ht="18">
      <c r="A175" s="271"/>
      <c r="B175" s="271"/>
      <c r="C175" s="271"/>
      <c r="D175" s="271"/>
      <c r="E175" s="271"/>
      <c r="F175" s="271"/>
      <c r="G175" s="271"/>
      <c r="H175" s="271"/>
      <c r="I175" s="21"/>
      <c r="J175" s="271"/>
      <c r="K175" s="271"/>
      <c r="L175" s="20"/>
    </row>
    <row r="176" spans="1:12" ht="23.25" thickBot="1">
      <c r="A176" s="14" t="s">
        <v>5</v>
      </c>
      <c r="B176" s="271"/>
      <c r="C176" s="327" t="str">
        <f>'09-54-01 BIC'!$G$19</f>
        <v/>
      </c>
      <c r="D176" s="327"/>
      <c r="E176" s="15" t="s">
        <v>6</v>
      </c>
      <c r="F176" s="327" t="str">
        <f>IF('09-54-01 BIC'!$G$20="","",'09-54-01 BIC'!$G$20)</f>
        <v/>
      </c>
      <c r="G176" s="327"/>
      <c r="H176" s="327"/>
      <c r="I176" s="15" t="s">
        <v>7</v>
      </c>
      <c r="J176" s="327" t="str">
        <f>'09-54-01 BIC'!$G$21</f>
        <v/>
      </c>
      <c r="K176" s="327"/>
      <c r="L176" s="16" t="s">
        <v>8</v>
      </c>
    </row>
    <row r="177" spans="1:12" ht="32.25">
      <c r="A177" s="14"/>
      <c r="B177" s="271"/>
      <c r="C177" s="268"/>
      <c r="D177" s="268"/>
      <c r="E177" s="15"/>
      <c r="F177" s="268"/>
      <c r="G177" s="268"/>
      <c r="H177" s="268"/>
      <c r="I177" s="15"/>
      <c r="J177" s="268"/>
      <c r="K177" s="268"/>
      <c r="L177" s="18"/>
    </row>
    <row r="178" spans="1:12" ht="19.5">
      <c r="A178" s="13"/>
      <c r="B178" s="14"/>
      <c r="C178" s="14"/>
      <c r="D178" s="14"/>
      <c r="E178" s="13"/>
      <c r="F178" s="13"/>
      <c r="G178" s="13"/>
      <c r="H178" s="13"/>
      <c r="I178" s="19"/>
      <c r="J178" s="13"/>
      <c r="K178" s="13"/>
      <c r="L178" s="20"/>
    </row>
    <row r="179" spans="1:12" ht="23.25" thickBot="1">
      <c r="A179" s="14" t="s">
        <v>5</v>
      </c>
      <c r="B179" s="271"/>
      <c r="C179" s="327" t="str">
        <f>'09-54-01 BIC'!$G$23</f>
        <v/>
      </c>
      <c r="D179" s="327"/>
      <c r="E179" s="15" t="s">
        <v>6</v>
      </c>
      <c r="F179" s="327" t="str">
        <f>IF('09-54-01 BIC'!$G$24="","",'09-54-01 BIC'!$G$24)</f>
        <v/>
      </c>
      <c r="G179" s="327"/>
      <c r="H179" s="327"/>
      <c r="I179" s="15" t="s">
        <v>7</v>
      </c>
      <c r="J179" s="327" t="str">
        <f>'09-54-01 BIC'!$G$25</f>
        <v/>
      </c>
      <c r="K179" s="327"/>
      <c r="L179" s="16" t="s">
        <v>8</v>
      </c>
    </row>
    <row r="180" spans="1:12" ht="1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</row>
    <row r="181" spans="1:12" ht="19.5">
      <c r="A181" s="14"/>
      <c r="B181" s="14"/>
      <c r="C181" s="14"/>
      <c r="D181" s="23"/>
      <c r="E181" s="23"/>
      <c r="F181" s="23"/>
      <c r="G181" s="23"/>
      <c r="H181" s="23"/>
      <c r="I181" s="23"/>
      <c r="J181" s="22"/>
      <c r="K181" s="22"/>
      <c r="L181" s="22"/>
    </row>
    <row r="182" spans="1:12" ht="22.5">
      <c r="A182" s="251"/>
      <c r="B182" s="252"/>
      <c r="C182" s="333"/>
      <c r="D182" s="333"/>
      <c r="E182" s="15"/>
      <c r="F182" s="333"/>
      <c r="G182" s="333"/>
      <c r="H182" s="333"/>
      <c r="I182" s="15"/>
      <c r="J182" s="333"/>
      <c r="K182" s="333"/>
      <c r="L182" s="18"/>
    </row>
    <row r="183" spans="1:12" ht="19.5">
      <c r="A183" s="14"/>
      <c r="B183" s="14"/>
      <c r="C183" s="14"/>
      <c r="D183" s="23"/>
      <c r="E183" s="23"/>
      <c r="F183" s="23"/>
      <c r="G183" s="23"/>
      <c r="H183" s="23"/>
      <c r="I183" s="23"/>
      <c r="J183" s="22"/>
      <c r="K183" s="22"/>
      <c r="L183" s="22"/>
    </row>
    <row r="186" spans="1:12" ht="22.5">
      <c r="A186" s="24" t="s">
        <v>9</v>
      </c>
      <c r="B186" s="24"/>
      <c r="C186" s="25"/>
      <c r="D186" s="328"/>
      <c r="E186" s="328"/>
      <c r="F186" s="328"/>
      <c r="G186" s="25"/>
      <c r="H186" s="26" t="s">
        <v>10</v>
      </c>
      <c r="I186" s="25"/>
      <c r="J186" s="329">
        <f ca="1">$J$26</f>
        <v>43845</v>
      </c>
      <c r="K186" s="329"/>
      <c r="L186" s="329"/>
    </row>
    <row r="187" spans="1:12" ht="13.5" thickBot="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</row>
    <row r="188" spans="1:12" ht="18.75" thickBot="1">
      <c r="A188" s="20"/>
      <c r="B188" s="20"/>
      <c r="C188" s="27"/>
      <c r="D188" s="27"/>
      <c r="E188" s="27"/>
      <c r="F188" s="23"/>
      <c r="G188" s="23"/>
      <c r="H188" s="23"/>
      <c r="I188" s="20"/>
      <c r="J188" s="20"/>
      <c r="K188" s="20"/>
      <c r="L188" s="20"/>
    </row>
    <row r="189" spans="1:12" ht="45" thickBot="1">
      <c r="C189" s="7" t="s">
        <v>11</v>
      </c>
      <c r="G189" s="330">
        <f>G157+1</f>
        <v>6</v>
      </c>
      <c r="H189" s="331"/>
      <c r="I189" s="332"/>
    </row>
    <row r="192" spans="1:12">
      <c r="A192" s="176" t="s">
        <v>12</v>
      </c>
      <c r="B192" s="178" t="s">
        <v>208</v>
      </c>
      <c r="C192" s="28"/>
      <c r="D192" s="28"/>
      <c r="E192" s="28"/>
      <c r="F192" s="28"/>
      <c r="G192" s="28"/>
      <c r="H192" s="28"/>
      <c r="I192" s="28"/>
      <c r="J192" s="28"/>
      <c r="K192" s="177"/>
      <c r="L192" s="176" t="s">
        <v>13</v>
      </c>
    </row>
    <row r="193" spans="1:12" ht="34.5">
      <c r="A193" s="1" t="s">
        <v>0</v>
      </c>
      <c r="B193" s="2"/>
      <c r="C193" s="2"/>
      <c r="D193" s="2"/>
      <c r="E193" s="3" t="s">
        <v>1</v>
      </c>
      <c r="F193" s="2"/>
      <c r="G193" s="2"/>
      <c r="H193" s="2"/>
      <c r="I193" s="2"/>
      <c r="J193" s="2"/>
      <c r="K193" s="2"/>
      <c r="L193" s="4" t="s">
        <v>0</v>
      </c>
    </row>
    <row r="194" spans="1:12" ht="34.5">
      <c r="B194" s="3"/>
      <c r="E194" s="3"/>
      <c r="F194" s="3"/>
      <c r="G194" s="3"/>
      <c r="H194" s="3"/>
    </row>
    <row r="195" spans="1:12" ht="32.25">
      <c r="B195" s="5"/>
      <c r="C195" s="6" t="s">
        <v>2</v>
      </c>
      <c r="E195" s="5"/>
      <c r="F195" s="5"/>
      <c r="G195" s="5"/>
      <c r="H195" s="5"/>
    </row>
    <row r="198" spans="1:12" ht="59.25">
      <c r="C198" s="7" t="s">
        <v>3</v>
      </c>
      <c r="G198" s="137" t="s">
        <v>4</v>
      </c>
      <c r="H198" s="326">
        <f>IF($H$6 = "", "", $H$6)</f>
        <v>12345</v>
      </c>
      <c r="I198" s="326"/>
      <c r="J198" s="326"/>
      <c r="K198" s="326"/>
    </row>
    <row r="199" spans="1:12" ht="33" thickBot="1">
      <c r="A199" s="9"/>
      <c r="B199" s="10"/>
      <c r="C199" s="10"/>
      <c r="D199" s="10"/>
      <c r="E199" s="10"/>
      <c r="F199" s="10"/>
      <c r="G199" s="10"/>
      <c r="H199" s="10"/>
      <c r="I199" s="11"/>
      <c r="J199" s="12"/>
      <c r="K199" s="12"/>
      <c r="L199" s="10"/>
    </row>
    <row r="200" spans="1:12" ht="19.5">
      <c r="A200" s="13"/>
      <c r="B200" s="5"/>
      <c r="C200" s="5"/>
      <c r="D200" s="5"/>
      <c r="E200" s="5"/>
      <c r="F200" s="13"/>
      <c r="G200" s="13"/>
      <c r="H200" s="13"/>
      <c r="I200" s="13"/>
      <c r="J200" s="13"/>
      <c r="K200" s="13"/>
      <c r="L200" s="13"/>
    </row>
    <row r="202" spans="1:12" ht="23.25" thickBot="1">
      <c r="A202" s="14" t="s">
        <v>5</v>
      </c>
      <c r="B202" s="271"/>
      <c r="C202" s="327" t="str">
        <f>'09-54-01 BIC'!$H$11</f>
        <v/>
      </c>
      <c r="D202" s="327"/>
      <c r="E202" s="15" t="s">
        <v>6</v>
      </c>
      <c r="F202" s="327" t="str">
        <f>IF('09-54-01 BIC'!$H$12="","",'09-54-01 BIC'!$H$12)</f>
        <v/>
      </c>
      <c r="G202" s="327"/>
      <c r="H202" s="327"/>
      <c r="I202" s="15" t="s">
        <v>7</v>
      </c>
      <c r="J202" s="327" t="str">
        <f>'09-54-01 BIC'!$H$13</f>
        <v/>
      </c>
      <c r="K202" s="327"/>
      <c r="L202" s="16" t="s">
        <v>8</v>
      </c>
    </row>
    <row r="203" spans="1:12" ht="32.25">
      <c r="A203" s="14"/>
      <c r="B203" s="271"/>
      <c r="C203" s="268"/>
      <c r="D203" s="268"/>
      <c r="E203" s="15"/>
      <c r="F203" s="268"/>
      <c r="G203" s="268"/>
      <c r="H203" s="268"/>
      <c r="I203" s="15"/>
      <c r="J203" s="268"/>
      <c r="K203" s="268"/>
      <c r="L203" s="18"/>
    </row>
    <row r="204" spans="1:12" ht="19.5">
      <c r="A204" s="13"/>
      <c r="B204" s="13"/>
      <c r="C204" s="13"/>
      <c r="D204" s="13"/>
      <c r="E204" s="13"/>
      <c r="F204" s="13"/>
      <c r="G204" s="13"/>
      <c r="H204" s="13"/>
      <c r="I204" s="19"/>
      <c r="J204" s="13"/>
      <c r="K204" s="13"/>
      <c r="L204" s="20"/>
    </row>
    <row r="205" spans="1:12" ht="23.25" thickBot="1">
      <c r="A205" s="14" t="s">
        <v>5</v>
      </c>
      <c r="B205" s="271"/>
      <c r="C205" s="327" t="str">
        <f>'09-54-01 BIC'!$H$15</f>
        <v/>
      </c>
      <c r="D205" s="327"/>
      <c r="E205" s="15" t="s">
        <v>6</v>
      </c>
      <c r="F205" s="327" t="str">
        <f>IF('09-54-01 BIC'!$H$16="","",'09-54-01 BIC'!$H$16)</f>
        <v/>
      </c>
      <c r="G205" s="327"/>
      <c r="H205" s="327"/>
      <c r="I205" s="15" t="s">
        <v>7</v>
      </c>
      <c r="J205" s="327" t="str">
        <f>'09-54-01 BIC'!$H$17</f>
        <v/>
      </c>
      <c r="K205" s="327"/>
      <c r="L205" s="16" t="s">
        <v>8</v>
      </c>
    </row>
    <row r="206" spans="1:12" ht="32.25">
      <c r="A206" s="14"/>
      <c r="B206" s="271"/>
      <c r="C206" s="268"/>
      <c r="D206" s="268"/>
      <c r="E206" s="15"/>
      <c r="F206" s="268"/>
      <c r="G206" s="268"/>
      <c r="H206" s="268"/>
      <c r="I206" s="15"/>
      <c r="J206" s="268"/>
      <c r="K206" s="268"/>
      <c r="L206" s="18"/>
    </row>
    <row r="207" spans="1:12" ht="18">
      <c r="A207" s="271"/>
      <c r="B207" s="271"/>
      <c r="C207" s="271"/>
      <c r="D207" s="271"/>
      <c r="E207" s="271"/>
      <c r="F207" s="271"/>
      <c r="G207" s="271"/>
      <c r="H207" s="271"/>
      <c r="I207" s="21"/>
      <c r="J207" s="271"/>
      <c r="K207" s="271"/>
      <c r="L207" s="20"/>
    </row>
    <row r="208" spans="1:12" ht="23.25" thickBot="1">
      <c r="A208" s="14" t="s">
        <v>5</v>
      </c>
      <c r="B208" s="271"/>
      <c r="C208" s="327" t="str">
        <f>'09-54-01 BIC'!$H$19</f>
        <v/>
      </c>
      <c r="D208" s="327"/>
      <c r="E208" s="15" t="s">
        <v>6</v>
      </c>
      <c r="F208" s="327" t="str">
        <f>IF('09-54-01 BIC'!$H$20="","",'09-54-01 BIC'!$H$20)</f>
        <v/>
      </c>
      <c r="G208" s="327"/>
      <c r="H208" s="327"/>
      <c r="I208" s="15" t="s">
        <v>7</v>
      </c>
      <c r="J208" s="327" t="str">
        <f>'09-54-01 BIC'!$H$21</f>
        <v/>
      </c>
      <c r="K208" s="327"/>
      <c r="L208" s="16" t="s">
        <v>8</v>
      </c>
    </row>
    <row r="209" spans="1:12" ht="32.25">
      <c r="A209" s="14"/>
      <c r="B209" s="271"/>
      <c r="C209" s="268"/>
      <c r="D209" s="268"/>
      <c r="E209" s="15"/>
      <c r="F209" s="268"/>
      <c r="G209" s="268"/>
      <c r="H209" s="268"/>
      <c r="I209" s="15"/>
      <c r="J209" s="268"/>
      <c r="K209" s="268"/>
      <c r="L209" s="18"/>
    </row>
    <row r="210" spans="1:12" ht="19.5">
      <c r="A210" s="13"/>
      <c r="B210" s="14"/>
      <c r="C210" s="14"/>
      <c r="D210" s="14"/>
      <c r="E210" s="13"/>
      <c r="F210" s="13"/>
      <c r="G210" s="13"/>
      <c r="H210" s="13"/>
      <c r="I210" s="19"/>
      <c r="J210" s="13"/>
      <c r="K210" s="13"/>
      <c r="L210" s="20"/>
    </row>
    <row r="211" spans="1:12" ht="23.25" thickBot="1">
      <c r="A211" s="14" t="s">
        <v>5</v>
      </c>
      <c r="B211" s="271"/>
      <c r="C211" s="327" t="str">
        <f>'09-54-01 BIC'!$H$23</f>
        <v/>
      </c>
      <c r="D211" s="327"/>
      <c r="E211" s="15" t="s">
        <v>6</v>
      </c>
      <c r="F211" s="327" t="str">
        <f>IF('09-54-01 BIC'!$H$24="","",'09-54-01 BIC'!$H$24)</f>
        <v/>
      </c>
      <c r="G211" s="327"/>
      <c r="H211" s="327"/>
      <c r="I211" s="15" t="s">
        <v>7</v>
      </c>
      <c r="J211" s="327" t="str">
        <f>'09-54-01 BIC'!$H$25</f>
        <v/>
      </c>
      <c r="K211" s="327"/>
      <c r="L211" s="16" t="s">
        <v>8</v>
      </c>
    </row>
    <row r="212" spans="1:12" ht="1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</row>
    <row r="213" spans="1:12" ht="19.5">
      <c r="A213" s="14"/>
      <c r="B213" s="14"/>
      <c r="C213" s="14"/>
      <c r="D213" s="23"/>
      <c r="E213" s="23"/>
      <c r="F213" s="23"/>
      <c r="G213" s="23"/>
      <c r="H213" s="23"/>
      <c r="I213" s="23"/>
      <c r="J213" s="22"/>
      <c r="K213" s="22"/>
      <c r="L213" s="22"/>
    </row>
    <row r="214" spans="1:12" ht="22.5">
      <c r="A214" s="251"/>
      <c r="B214" s="252"/>
      <c r="C214" s="333"/>
      <c r="D214" s="333"/>
      <c r="E214" s="15"/>
      <c r="F214" s="333"/>
      <c r="G214" s="333"/>
      <c r="H214" s="333"/>
      <c r="I214" s="15"/>
      <c r="J214" s="333"/>
      <c r="K214" s="333"/>
      <c r="L214" s="18"/>
    </row>
    <row r="215" spans="1:12" ht="19.5">
      <c r="A215" s="14"/>
      <c r="B215" s="14"/>
      <c r="C215" s="14"/>
      <c r="D215" s="23"/>
      <c r="E215" s="23"/>
      <c r="F215" s="23"/>
      <c r="G215" s="23"/>
      <c r="H215" s="23"/>
      <c r="I215" s="23"/>
      <c r="J215" s="22"/>
      <c r="K215" s="22"/>
      <c r="L215" s="22"/>
    </row>
    <row r="218" spans="1:12" ht="22.5">
      <c r="A218" s="24" t="s">
        <v>9</v>
      </c>
      <c r="B218" s="24"/>
      <c r="C218" s="25"/>
      <c r="D218" s="328"/>
      <c r="E218" s="328"/>
      <c r="F218" s="328"/>
      <c r="G218" s="25"/>
      <c r="H218" s="26" t="s">
        <v>10</v>
      </c>
      <c r="I218" s="25"/>
      <c r="J218" s="329">
        <f ca="1">$J$26</f>
        <v>43845</v>
      </c>
      <c r="K218" s="329"/>
      <c r="L218" s="329"/>
    </row>
    <row r="219" spans="1:12" ht="13.5" thickBot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</row>
    <row r="220" spans="1:12" ht="18.75" thickBot="1">
      <c r="A220" s="20"/>
      <c r="B220" s="20"/>
      <c r="C220" s="27"/>
      <c r="D220" s="27"/>
      <c r="E220" s="27"/>
      <c r="F220" s="23"/>
      <c r="G220" s="23"/>
      <c r="H220" s="23"/>
      <c r="I220" s="20"/>
      <c r="J220" s="20"/>
      <c r="K220" s="20"/>
      <c r="L220" s="20"/>
    </row>
    <row r="221" spans="1:12" ht="45" thickBot="1">
      <c r="C221" s="7" t="s">
        <v>11</v>
      </c>
      <c r="G221" s="330">
        <f>G189+1</f>
        <v>7</v>
      </c>
      <c r="H221" s="331"/>
      <c r="I221" s="332"/>
    </row>
    <row r="224" spans="1:12">
      <c r="A224" s="176" t="s">
        <v>12</v>
      </c>
      <c r="B224" s="178" t="s">
        <v>208</v>
      </c>
      <c r="C224" s="28"/>
      <c r="D224" s="28"/>
      <c r="E224" s="28"/>
      <c r="F224" s="28"/>
      <c r="G224" s="28"/>
      <c r="H224" s="28"/>
      <c r="I224" s="28"/>
      <c r="J224" s="28"/>
      <c r="K224" s="177"/>
      <c r="L224" s="176" t="s">
        <v>13</v>
      </c>
    </row>
    <row r="225" spans="1:12" ht="34.5">
      <c r="A225" s="1" t="s">
        <v>0</v>
      </c>
      <c r="B225" s="2"/>
      <c r="C225" s="2"/>
      <c r="D225" s="2"/>
      <c r="E225" s="3" t="s">
        <v>1</v>
      </c>
      <c r="F225" s="2"/>
      <c r="G225" s="2"/>
      <c r="H225" s="2"/>
      <c r="I225" s="2"/>
      <c r="J225" s="2"/>
      <c r="K225" s="2"/>
      <c r="L225" s="4" t="s">
        <v>0</v>
      </c>
    </row>
    <row r="226" spans="1:12" ht="34.5">
      <c r="B226" s="3"/>
      <c r="E226" s="3"/>
      <c r="F226" s="3"/>
      <c r="G226" s="3"/>
      <c r="H226" s="3"/>
    </row>
    <row r="227" spans="1:12" ht="32.25">
      <c r="B227" s="5"/>
      <c r="C227" s="6" t="s">
        <v>2</v>
      </c>
      <c r="E227" s="5"/>
      <c r="F227" s="5"/>
      <c r="G227" s="5"/>
      <c r="H227" s="5"/>
    </row>
    <row r="230" spans="1:12" ht="59.25">
      <c r="C230" s="7" t="s">
        <v>3</v>
      </c>
      <c r="G230" s="137" t="s">
        <v>4</v>
      </c>
      <c r="H230" s="326">
        <f>IF($H$6 = "", "", $H$6)</f>
        <v>12345</v>
      </c>
      <c r="I230" s="326"/>
      <c r="J230" s="326"/>
      <c r="K230" s="326"/>
    </row>
    <row r="231" spans="1:12" ht="33" thickBot="1">
      <c r="A231" s="9"/>
      <c r="B231" s="10"/>
      <c r="C231" s="10"/>
      <c r="D231" s="10"/>
      <c r="E231" s="10"/>
      <c r="F231" s="10"/>
      <c r="G231" s="10"/>
      <c r="H231" s="10"/>
      <c r="I231" s="11"/>
      <c r="J231" s="12"/>
      <c r="K231" s="12"/>
      <c r="L231" s="10"/>
    </row>
    <row r="232" spans="1:12" ht="19.5">
      <c r="A232" s="13"/>
      <c r="B232" s="5"/>
      <c r="C232" s="5"/>
      <c r="D232" s="5"/>
      <c r="E232" s="5"/>
      <c r="F232" s="13"/>
      <c r="G232" s="13"/>
      <c r="H232" s="13"/>
      <c r="I232" s="13"/>
      <c r="J232" s="13"/>
      <c r="K232" s="13"/>
      <c r="L232" s="13"/>
    </row>
    <row r="234" spans="1:12" ht="23.25" thickBot="1">
      <c r="A234" s="14" t="s">
        <v>5</v>
      </c>
      <c r="B234" s="271"/>
      <c r="C234" s="327" t="str">
        <f>'09-54-01 BIC'!$I$11</f>
        <v/>
      </c>
      <c r="D234" s="327"/>
      <c r="E234" s="15" t="s">
        <v>6</v>
      </c>
      <c r="F234" s="327" t="str">
        <f>IF('09-54-01 BIC'!$I$12="","",'09-54-01 BIC'!$I$12)</f>
        <v/>
      </c>
      <c r="G234" s="327"/>
      <c r="H234" s="327"/>
      <c r="I234" s="15" t="s">
        <v>7</v>
      </c>
      <c r="J234" s="327" t="str">
        <f>'09-54-01 BIC'!$I$13</f>
        <v/>
      </c>
      <c r="K234" s="327"/>
      <c r="L234" s="16" t="s">
        <v>8</v>
      </c>
    </row>
    <row r="235" spans="1:12" ht="32.25">
      <c r="A235" s="14"/>
      <c r="B235" s="271"/>
      <c r="C235" s="268"/>
      <c r="D235" s="268"/>
      <c r="E235" s="15"/>
      <c r="F235" s="268"/>
      <c r="G235" s="268"/>
      <c r="H235" s="268"/>
      <c r="I235" s="15"/>
      <c r="J235" s="268"/>
      <c r="K235" s="268"/>
      <c r="L235" s="18"/>
    </row>
    <row r="236" spans="1:12" ht="19.5">
      <c r="A236" s="13"/>
      <c r="B236" s="13"/>
      <c r="C236" s="13"/>
      <c r="D236" s="13"/>
      <c r="E236" s="13"/>
      <c r="F236" s="13"/>
      <c r="G236" s="13"/>
      <c r="H236" s="13"/>
      <c r="I236" s="19"/>
      <c r="J236" s="13"/>
      <c r="K236" s="13"/>
      <c r="L236" s="20"/>
    </row>
    <row r="237" spans="1:12" ht="23.25" thickBot="1">
      <c r="A237" s="14" t="s">
        <v>5</v>
      </c>
      <c r="B237" s="271"/>
      <c r="C237" s="327" t="str">
        <f>'09-54-01 BIC'!$I$15</f>
        <v/>
      </c>
      <c r="D237" s="327"/>
      <c r="E237" s="15" t="s">
        <v>6</v>
      </c>
      <c r="F237" s="327" t="str">
        <f>IF('09-54-01 BIC'!$I$16="","",'09-54-01 BIC'!$I$16)</f>
        <v/>
      </c>
      <c r="G237" s="327"/>
      <c r="H237" s="327"/>
      <c r="I237" s="15" t="s">
        <v>7</v>
      </c>
      <c r="J237" s="327" t="str">
        <f>'09-54-01 BIC'!$I$17</f>
        <v/>
      </c>
      <c r="K237" s="327"/>
      <c r="L237" s="16" t="s">
        <v>8</v>
      </c>
    </row>
    <row r="238" spans="1:12" ht="32.25">
      <c r="A238" s="14"/>
      <c r="B238" s="271"/>
      <c r="C238" s="268"/>
      <c r="D238" s="268"/>
      <c r="E238" s="15"/>
      <c r="F238" s="268"/>
      <c r="G238" s="268"/>
      <c r="H238" s="268"/>
      <c r="I238" s="15"/>
      <c r="J238" s="268"/>
      <c r="K238" s="268"/>
      <c r="L238" s="18"/>
    </row>
    <row r="239" spans="1:12" ht="18">
      <c r="A239" s="271"/>
      <c r="B239" s="271"/>
      <c r="C239" s="271"/>
      <c r="D239" s="271"/>
      <c r="E239" s="271"/>
      <c r="F239" s="271"/>
      <c r="G239" s="271"/>
      <c r="H239" s="271"/>
      <c r="I239" s="21"/>
      <c r="J239" s="271"/>
      <c r="K239" s="271"/>
      <c r="L239" s="20"/>
    </row>
    <row r="240" spans="1:12" ht="23.25" thickBot="1">
      <c r="A240" s="14" t="s">
        <v>5</v>
      </c>
      <c r="B240" s="271"/>
      <c r="C240" s="327" t="str">
        <f>'09-54-01 BIC'!$I$19</f>
        <v/>
      </c>
      <c r="D240" s="327"/>
      <c r="E240" s="15" t="s">
        <v>6</v>
      </c>
      <c r="F240" s="327" t="str">
        <f>IF('09-54-01 BIC'!$I$20="","",'09-54-01 BIC'!$I$20)</f>
        <v/>
      </c>
      <c r="G240" s="327"/>
      <c r="H240" s="327"/>
      <c r="I240" s="15" t="s">
        <v>7</v>
      </c>
      <c r="J240" s="327" t="str">
        <f>'09-54-01 BIC'!$I$21</f>
        <v/>
      </c>
      <c r="K240" s="327"/>
      <c r="L240" s="16" t="s">
        <v>8</v>
      </c>
    </row>
    <row r="241" spans="1:12" ht="32.25">
      <c r="A241" s="14"/>
      <c r="B241" s="271"/>
      <c r="C241" s="268"/>
      <c r="D241" s="268"/>
      <c r="E241" s="15"/>
      <c r="F241" s="268"/>
      <c r="G241" s="268"/>
      <c r="H241" s="268"/>
      <c r="I241" s="15"/>
      <c r="J241" s="268"/>
      <c r="K241" s="268"/>
      <c r="L241" s="18"/>
    </row>
    <row r="242" spans="1:12" ht="19.5">
      <c r="A242" s="13"/>
      <c r="B242" s="14"/>
      <c r="C242" s="14"/>
      <c r="D242" s="14"/>
      <c r="E242" s="13"/>
      <c r="F242" s="13"/>
      <c r="G242" s="13"/>
      <c r="H242" s="13"/>
      <c r="I242" s="19"/>
      <c r="J242" s="13"/>
      <c r="K242" s="13"/>
      <c r="L242" s="20"/>
    </row>
    <row r="243" spans="1:12" ht="23.25" thickBot="1">
      <c r="A243" s="14" t="s">
        <v>5</v>
      </c>
      <c r="B243" s="271"/>
      <c r="C243" s="327" t="str">
        <f>'09-54-01 BIC'!$I$23</f>
        <v/>
      </c>
      <c r="D243" s="327"/>
      <c r="E243" s="15" t="s">
        <v>6</v>
      </c>
      <c r="F243" s="327" t="str">
        <f>IF('09-54-01 BIC'!$I$24="","",'09-54-01 BIC'!$I$24)</f>
        <v/>
      </c>
      <c r="G243" s="327"/>
      <c r="H243" s="327"/>
      <c r="I243" s="15" t="s">
        <v>7</v>
      </c>
      <c r="J243" s="327" t="str">
        <f>'09-54-01 BIC'!$I$25</f>
        <v/>
      </c>
      <c r="K243" s="327"/>
      <c r="L243" s="16" t="s">
        <v>8</v>
      </c>
    </row>
    <row r="244" spans="1:12" ht="1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</row>
    <row r="245" spans="1:12" ht="19.5">
      <c r="A245" s="14"/>
      <c r="B245" s="14"/>
      <c r="C245" s="14"/>
      <c r="D245" s="23"/>
      <c r="E245" s="23"/>
      <c r="F245" s="23"/>
      <c r="G245" s="23"/>
      <c r="H245" s="23"/>
      <c r="I245" s="23"/>
      <c r="J245" s="22"/>
      <c r="K245" s="22"/>
      <c r="L245" s="22"/>
    </row>
    <row r="246" spans="1:12" ht="22.5">
      <c r="A246" s="251"/>
      <c r="B246" s="252"/>
      <c r="C246" s="333"/>
      <c r="D246" s="333"/>
      <c r="E246" s="15"/>
      <c r="F246" s="333"/>
      <c r="G246" s="333"/>
      <c r="H246" s="333"/>
      <c r="I246" s="15"/>
      <c r="J246" s="333"/>
      <c r="K246" s="333"/>
      <c r="L246" s="18"/>
    </row>
    <row r="247" spans="1:12" ht="19.5">
      <c r="A247" s="14"/>
      <c r="B247" s="14"/>
      <c r="C247" s="14"/>
      <c r="D247" s="23"/>
      <c r="E247" s="23"/>
      <c r="F247" s="23"/>
      <c r="G247" s="23"/>
      <c r="H247" s="23"/>
      <c r="I247" s="23"/>
      <c r="J247" s="22"/>
      <c r="K247" s="22"/>
      <c r="L247" s="22"/>
    </row>
    <row r="250" spans="1:12" ht="22.5">
      <c r="A250" s="24" t="s">
        <v>9</v>
      </c>
      <c r="B250" s="24"/>
      <c r="C250" s="25"/>
      <c r="D250" s="328"/>
      <c r="E250" s="328"/>
      <c r="F250" s="328"/>
      <c r="G250" s="25"/>
      <c r="H250" s="26" t="s">
        <v>10</v>
      </c>
      <c r="I250" s="25"/>
      <c r="J250" s="329">
        <f ca="1">$J$26</f>
        <v>43845</v>
      </c>
      <c r="K250" s="329"/>
      <c r="L250" s="329"/>
    </row>
    <row r="251" spans="1:12" ht="13.5" thickBot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</row>
    <row r="252" spans="1:12" ht="18.75" thickBot="1">
      <c r="A252" s="20"/>
      <c r="B252" s="20"/>
      <c r="C252" s="27"/>
      <c r="D252" s="27"/>
      <c r="E252" s="27"/>
      <c r="F252" s="23"/>
      <c r="G252" s="23"/>
      <c r="H252" s="23"/>
      <c r="I252" s="20"/>
      <c r="J252" s="20"/>
      <c r="K252" s="20"/>
      <c r="L252" s="20"/>
    </row>
    <row r="253" spans="1:12" ht="45" thickBot="1">
      <c r="C253" s="7" t="s">
        <v>11</v>
      </c>
      <c r="G253" s="330">
        <f>G221+1</f>
        <v>8</v>
      </c>
      <c r="H253" s="331"/>
      <c r="I253" s="332"/>
    </row>
    <row r="256" spans="1:12">
      <c r="A256" s="176" t="s">
        <v>12</v>
      </c>
      <c r="B256" s="178" t="s">
        <v>208</v>
      </c>
      <c r="C256" s="28"/>
      <c r="D256" s="28"/>
      <c r="E256" s="28"/>
      <c r="F256" s="28"/>
      <c r="G256" s="28"/>
      <c r="H256" s="28"/>
      <c r="I256" s="28"/>
      <c r="J256" s="28"/>
      <c r="K256" s="177"/>
      <c r="L256" s="176" t="s">
        <v>13</v>
      </c>
    </row>
    <row r="257" spans="1:12" ht="34.5">
      <c r="A257" s="1" t="s">
        <v>0</v>
      </c>
      <c r="B257" s="2"/>
      <c r="C257" s="2"/>
      <c r="D257" s="2"/>
      <c r="E257" s="3" t="s">
        <v>1</v>
      </c>
      <c r="F257" s="2"/>
      <c r="G257" s="2"/>
      <c r="H257" s="2"/>
      <c r="I257" s="2"/>
      <c r="J257" s="2"/>
      <c r="K257" s="2"/>
      <c r="L257" s="4" t="s">
        <v>0</v>
      </c>
    </row>
    <row r="258" spans="1:12" ht="34.5">
      <c r="B258" s="3"/>
      <c r="E258" s="3"/>
      <c r="F258" s="3"/>
      <c r="G258" s="3"/>
      <c r="H258" s="3"/>
    </row>
    <row r="259" spans="1:12" ht="32.25">
      <c r="B259" s="5"/>
      <c r="C259" s="6" t="s">
        <v>2</v>
      </c>
      <c r="E259" s="5"/>
      <c r="F259" s="5"/>
      <c r="G259" s="5"/>
      <c r="H259" s="5"/>
    </row>
    <row r="262" spans="1:12" ht="59.25">
      <c r="C262" s="7" t="s">
        <v>3</v>
      </c>
      <c r="G262" s="137" t="s">
        <v>4</v>
      </c>
      <c r="H262" s="326">
        <f>IF($H$6 = "", "", $H$6)</f>
        <v>12345</v>
      </c>
      <c r="I262" s="326"/>
      <c r="J262" s="326"/>
      <c r="K262" s="326"/>
    </row>
    <row r="263" spans="1:12" ht="33" thickBot="1">
      <c r="A263" s="9"/>
      <c r="B263" s="10"/>
      <c r="C263" s="10"/>
      <c r="D263" s="10"/>
      <c r="E263" s="10"/>
      <c r="F263" s="10"/>
      <c r="G263" s="10"/>
      <c r="H263" s="10"/>
      <c r="I263" s="11"/>
      <c r="J263" s="12"/>
      <c r="K263" s="12"/>
      <c r="L263" s="10"/>
    </row>
    <row r="264" spans="1:12" ht="19.5">
      <c r="A264" s="13"/>
      <c r="B264" s="5"/>
      <c r="C264" s="5"/>
      <c r="D264" s="5"/>
      <c r="E264" s="5"/>
      <c r="F264" s="13"/>
      <c r="G264" s="13"/>
      <c r="H264" s="13"/>
      <c r="I264" s="13"/>
      <c r="J264" s="13"/>
      <c r="K264" s="13"/>
      <c r="L264" s="13"/>
    </row>
    <row r="266" spans="1:12" ht="23.25" thickBot="1">
      <c r="A266" s="14" t="s">
        <v>5</v>
      </c>
      <c r="B266" s="271"/>
      <c r="C266" s="327" t="str">
        <f>'09-54-01 BIC'!$J$11</f>
        <v/>
      </c>
      <c r="D266" s="327"/>
      <c r="E266" s="15" t="s">
        <v>6</v>
      </c>
      <c r="F266" s="327" t="str">
        <f>IF('09-54-01 BIC'!$J$12="","",'09-54-01 BIC'!$J$12)</f>
        <v/>
      </c>
      <c r="G266" s="327"/>
      <c r="H266" s="327"/>
      <c r="I266" s="15" t="s">
        <v>7</v>
      </c>
      <c r="J266" s="327" t="str">
        <f>'09-54-01 BIC'!$J$13</f>
        <v/>
      </c>
      <c r="K266" s="327"/>
      <c r="L266" s="16" t="s">
        <v>8</v>
      </c>
    </row>
    <row r="267" spans="1:12" ht="32.25">
      <c r="A267" s="14"/>
      <c r="B267" s="271"/>
      <c r="C267" s="268"/>
      <c r="D267" s="268"/>
      <c r="E267" s="15"/>
      <c r="F267" s="268"/>
      <c r="G267" s="268"/>
      <c r="H267" s="268"/>
      <c r="I267" s="15"/>
      <c r="J267" s="268"/>
      <c r="K267" s="268"/>
      <c r="L267" s="18"/>
    </row>
    <row r="268" spans="1:12" ht="19.5">
      <c r="A268" s="13"/>
      <c r="B268" s="13"/>
      <c r="C268" s="13"/>
      <c r="D268" s="13"/>
      <c r="E268" s="13"/>
      <c r="F268" s="13"/>
      <c r="G268" s="13"/>
      <c r="H268" s="13"/>
      <c r="I268" s="19"/>
      <c r="J268" s="13"/>
      <c r="K268" s="13"/>
      <c r="L268" s="20"/>
    </row>
    <row r="269" spans="1:12" ht="23.25" thickBot="1">
      <c r="A269" s="14" t="s">
        <v>5</v>
      </c>
      <c r="B269" s="271"/>
      <c r="C269" s="327" t="str">
        <f>'09-54-01 BIC'!$J$15</f>
        <v/>
      </c>
      <c r="D269" s="327"/>
      <c r="E269" s="15" t="s">
        <v>6</v>
      </c>
      <c r="F269" s="327" t="str">
        <f>IF('09-54-01 BIC'!$J$16="","",'09-54-01 BIC'!$J$16)</f>
        <v/>
      </c>
      <c r="G269" s="327"/>
      <c r="H269" s="327"/>
      <c r="I269" s="15" t="s">
        <v>7</v>
      </c>
      <c r="J269" s="327" t="str">
        <f>'09-54-01 BIC'!$J$17</f>
        <v/>
      </c>
      <c r="K269" s="327"/>
      <c r="L269" s="16" t="s">
        <v>8</v>
      </c>
    </row>
    <row r="270" spans="1:12" ht="32.25">
      <c r="A270" s="14"/>
      <c r="B270" s="271"/>
      <c r="C270" s="268"/>
      <c r="D270" s="268"/>
      <c r="E270" s="15"/>
      <c r="F270" s="268"/>
      <c r="G270" s="268"/>
      <c r="H270" s="268"/>
      <c r="I270" s="15"/>
      <c r="J270" s="268"/>
      <c r="K270" s="268"/>
      <c r="L270" s="18"/>
    </row>
    <row r="271" spans="1:12" ht="18">
      <c r="A271" s="271"/>
      <c r="B271" s="271"/>
      <c r="C271" s="271"/>
      <c r="D271" s="271"/>
      <c r="E271" s="271"/>
      <c r="F271" s="271"/>
      <c r="G271" s="271"/>
      <c r="H271" s="271"/>
      <c r="I271" s="21"/>
      <c r="J271" s="271"/>
      <c r="K271" s="271"/>
      <c r="L271" s="20"/>
    </row>
    <row r="272" spans="1:12" ht="23.25" thickBot="1">
      <c r="A272" s="14" t="s">
        <v>5</v>
      </c>
      <c r="B272" s="271"/>
      <c r="C272" s="327" t="str">
        <f>'09-54-01 BIC'!$J$19</f>
        <v/>
      </c>
      <c r="D272" s="327"/>
      <c r="E272" s="15" t="s">
        <v>6</v>
      </c>
      <c r="F272" s="327" t="str">
        <f>IF('09-54-01 BIC'!$J$20="","",'09-54-01 BIC'!$J$20)</f>
        <v/>
      </c>
      <c r="G272" s="327"/>
      <c r="H272" s="327"/>
      <c r="I272" s="15" t="s">
        <v>7</v>
      </c>
      <c r="J272" s="327" t="str">
        <f>'09-54-01 BIC'!$J$21</f>
        <v/>
      </c>
      <c r="K272" s="327"/>
      <c r="L272" s="16" t="s">
        <v>8</v>
      </c>
    </row>
    <row r="273" spans="1:12" ht="32.25">
      <c r="A273" s="14"/>
      <c r="B273" s="271"/>
      <c r="C273" s="268"/>
      <c r="D273" s="268"/>
      <c r="E273" s="15"/>
      <c r="F273" s="268"/>
      <c r="G273" s="268"/>
      <c r="H273" s="268"/>
      <c r="I273" s="15"/>
      <c r="J273" s="268"/>
      <c r="K273" s="268"/>
      <c r="L273" s="18"/>
    </row>
    <row r="274" spans="1:12" ht="19.5">
      <c r="A274" s="13"/>
      <c r="B274" s="14"/>
      <c r="C274" s="14"/>
      <c r="D274" s="14"/>
      <c r="E274" s="13"/>
      <c r="F274" s="13"/>
      <c r="G274" s="13"/>
      <c r="H274" s="13"/>
      <c r="I274" s="19"/>
      <c r="J274" s="13"/>
      <c r="K274" s="13"/>
      <c r="L274" s="20"/>
    </row>
    <row r="275" spans="1:12" ht="23.25" thickBot="1">
      <c r="A275" s="14" t="s">
        <v>5</v>
      </c>
      <c r="B275" s="271"/>
      <c r="C275" s="327" t="str">
        <f>'09-54-01 BIC'!$J$23</f>
        <v/>
      </c>
      <c r="D275" s="327"/>
      <c r="E275" s="15" t="s">
        <v>6</v>
      </c>
      <c r="F275" s="327" t="str">
        <f>IF('09-54-01 BIC'!$J$24="","",'09-54-01 BIC'!$J$24)</f>
        <v/>
      </c>
      <c r="G275" s="327"/>
      <c r="H275" s="327"/>
      <c r="I275" s="15" t="s">
        <v>7</v>
      </c>
      <c r="J275" s="327" t="str">
        <f>'09-54-01 BIC'!$J$25</f>
        <v/>
      </c>
      <c r="K275" s="327"/>
      <c r="L275" s="16" t="s">
        <v>8</v>
      </c>
    </row>
    <row r="276" spans="1:12" ht="1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</row>
    <row r="277" spans="1:12" ht="19.5">
      <c r="A277" s="14"/>
      <c r="B277" s="14"/>
      <c r="C277" s="14"/>
      <c r="D277" s="23"/>
      <c r="E277" s="23"/>
      <c r="F277" s="23"/>
      <c r="G277" s="23"/>
      <c r="H277" s="23"/>
      <c r="I277" s="23"/>
      <c r="J277" s="22"/>
      <c r="K277" s="22"/>
      <c r="L277" s="22"/>
    </row>
    <row r="278" spans="1:12" ht="22.5">
      <c r="A278" s="251"/>
      <c r="B278" s="252"/>
      <c r="C278" s="333"/>
      <c r="D278" s="333"/>
      <c r="E278" s="15"/>
      <c r="F278" s="333"/>
      <c r="G278" s="333"/>
      <c r="H278" s="333"/>
      <c r="I278" s="15"/>
      <c r="J278" s="333"/>
      <c r="K278" s="333"/>
      <c r="L278" s="18"/>
    </row>
    <row r="279" spans="1:12" ht="19.5">
      <c r="A279" s="14"/>
      <c r="B279" s="14"/>
      <c r="C279" s="14"/>
      <c r="D279" s="23"/>
      <c r="E279" s="23"/>
      <c r="F279" s="23"/>
      <c r="G279" s="23"/>
      <c r="H279" s="23"/>
      <c r="I279" s="23"/>
      <c r="J279" s="22"/>
      <c r="K279" s="22"/>
      <c r="L279" s="22"/>
    </row>
    <row r="282" spans="1:12" ht="22.5">
      <c r="A282" s="24" t="s">
        <v>9</v>
      </c>
      <c r="B282" s="24"/>
      <c r="C282" s="25"/>
      <c r="D282" s="328"/>
      <c r="E282" s="328"/>
      <c r="F282" s="328"/>
      <c r="G282" s="25"/>
      <c r="H282" s="26" t="s">
        <v>10</v>
      </c>
      <c r="I282" s="25"/>
      <c r="J282" s="329">
        <f ca="1">$J$26</f>
        <v>43845</v>
      </c>
      <c r="K282" s="329"/>
      <c r="L282" s="329"/>
    </row>
    <row r="283" spans="1:12" ht="13.5" thickBot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</row>
    <row r="284" spans="1:12" ht="18.75" thickBot="1">
      <c r="A284" s="20"/>
      <c r="B284" s="20"/>
      <c r="C284" s="27"/>
      <c r="D284" s="27"/>
      <c r="E284" s="27"/>
      <c r="F284" s="23"/>
      <c r="G284" s="23"/>
      <c r="H284" s="23"/>
      <c r="I284" s="20"/>
      <c r="J284" s="20"/>
      <c r="K284" s="20"/>
      <c r="L284" s="20"/>
    </row>
    <row r="285" spans="1:12" ht="45" thickBot="1">
      <c r="C285" s="7" t="s">
        <v>11</v>
      </c>
      <c r="G285" s="330">
        <f>G253+1</f>
        <v>9</v>
      </c>
      <c r="H285" s="331"/>
      <c r="I285" s="332"/>
    </row>
    <row r="288" spans="1:12">
      <c r="A288" s="176" t="s">
        <v>12</v>
      </c>
      <c r="B288" s="178" t="s">
        <v>208</v>
      </c>
      <c r="C288" s="28"/>
      <c r="D288" s="28"/>
      <c r="E288" s="28"/>
      <c r="F288" s="28"/>
      <c r="G288" s="28"/>
      <c r="H288" s="28"/>
      <c r="I288" s="28"/>
      <c r="J288" s="28"/>
      <c r="K288" s="177"/>
      <c r="L288" s="176" t="s">
        <v>13</v>
      </c>
    </row>
    <row r="289" spans="1:12" ht="34.5">
      <c r="A289" s="1" t="s">
        <v>0</v>
      </c>
      <c r="B289" s="2"/>
      <c r="C289" s="2"/>
      <c r="D289" s="2"/>
      <c r="E289" s="3" t="s">
        <v>1</v>
      </c>
      <c r="F289" s="2"/>
      <c r="G289" s="2"/>
      <c r="H289" s="2"/>
      <c r="I289" s="2"/>
      <c r="J289" s="2"/>
      <c r="K289" s="2"/>
      <c r="L289" s="4" t="s">
        <v>0</v>
      </c>
    </row>
    <row r="290" spans="1:12" ht="34.5">
      <c r="B290" s="3"/>
      <c r="E290" s="3"/>
      <c r="F290" s="3"/>
      <c r="G290" s="3"/>
      <c r="H290" s="3"/>
    </row>
    <row r="291" spans="1:12" ht="32.25">
      <c r="B291" s="5"/>
      <c r="C291" s="6" t="s">
        <v>2</v>
      </c>
      <c r="E291" s="5"/>
      <c r="F291" s="5"/>
      <c r="G291" s="5"/>
      <c r="H291" s="5"/>
    </row>
    <row r="294" spans="1:12" ht="59.25">
      <c r="C294" s="7" t="s">
        <v>3</v>
      </c>
      <c r="G294" s="137" t="s">
        <v>4</v>
      </c>
      <c r="H294" s="326">
        <f>IF($H$6 = "", "", $H$6)</f>
        <v>12345</v>
      </c>
      <c r="I294" s="326"/>
      <c r="J294" s="326"/>
      <c r="K294" s="326"/>
    </row>
    <row r="295" spans="1:12" ht="33" thickBot="1">
      <c r="A295" s="9"/>
      <c r="B295" s="10"/>
      <c r="C295" s="10"/>
      <c r="D295" s="10"/>
      <c r="E295" s="10"/>
      <c r="F295" s="10"/>
      <c r="G295" s="10"/>
      <c r="H295" s="10"/>
      <c r="I295" s="11"/>
      <c r="J295" s="12"/>
      <c r="K295" s="12"/>
      <c r="L295" s="10"/>
    </row>
    <row r="296" spans="1:12" ht="19.5">
      <c r="A296" s="13"/>
      <c r="B296" s="5"/>
      <c r="C296" s="5"/>
      <c r="D296" s="5"/>
      <c r="E296" s="5"/>
      <c r="F296" s="13"/>
      <c r="G296" s="13"/>
      <c r="H296" s="13"/>
      <c r="I296" s="13"/>
      <c r="J296" s="13"/>
      <c r="K296" s="13"/>
      <c r="L296" s="13"/>
    </row>
    <row r="298" spans="1:12" ht="23.25" thickBot="1">
      <c r="A298" s="14" t="s">
        <v>5</v>
      </c>
      <c r="B298" s="271"/>
      <c r="C298" s="327" t="str">
        <f>'09-54-01 BIC'!$K$11</f>
        <v/>
      </c>
      <c r="D298" s="327"/>
      <c r="E298" s="15" t="s">
        <v>6</v>
      </c>
      <c r="F298" s="327" t="str">
        <f>IF('09-54-01 BIC'!$K$12="","",'09-54-01 BIC'!$K$12)</f>
        <v/>
      </c>
      <c r="G298" s="327"/>
      <c r="H298" s="327"/>
      <c r="I298" s="15" t="s">
        <v>7</v>
      </c>
      <c r="J298" s="327" t="str">
        <f>'09-54-01 BIC'!$K$13</f>
        <v/>
      </c>
      <c r="K298" s="327"/>
      <c r="L298" s="16" t="s">
        <v>8</v>
      </c>
    </row>
    <row r="299" spans="1:12" ht="32.25">
      <c r="A299" s="14"/>
      <c r="B299" s="271"/>
      <c r="C299" s="268"/>
      <c r="D299" s="268"/>
      <c r="E299" s="15"/>
      <c r="F299" s="268"/>
      <c r="G299" s="268"/>
      <c r="H299" s="268"/>
      <c r="I299" s="15"/>
      <c r="J299" s="268"/>
      <c r="K299" s="268"/>
      <c r="L299" s="18"/>
    </row>
    <row r="300" spans="1:12" ht="19.5">
      <c r="A300" s="13"/>
      <c r="B300" s="13"/>
      <c r="C300" s="13"/>
      <c r="D300" s="13"/>
      <c r="E300" s="13"/>
      <c r="F300" s="13"/>
      <c r="G300" s="13"/>
      <c r="H300" s="13"/>
      <c r="I300" s="19"/>
      <c r="J300" s="13"/>
      <c r="K300" s="13"/>
      <c r="L300" s="20"/>
    </row>
    <row r="301" spans="1:12" ht="23.25" thickBot="1">
      <c r="A301" s="14" t="s">
        <v>5</v>
      </c>
      <c r="B301" s="271"/>
      <c r="C301" s="327" t="str">
        <f>'09-54-01 BIC'!$K$15</f>
        <v/>
      </c>
      <c r="D301" s="327"/>
      <c r="E301" s="15" t="s">
        <v>6</v>
      </c>
      <c r="F301" s="327" t="str">
        <f>IF('09-54-01 BIC'!$K$16="","",'09-54-01 BIC'!$K$16)</f>
        <v/>
      </c>
      <c r="G301" s="327"/>
      <c r="H301" s="327"/>
      <c r="I301" s="15" t="s">
        <v>7</v>
      </c>
      <c r="J301" s="327" t="str">
        <f>'09-54-01 BIC'!$K$17</f>
        <v/>
      </c>
      <c r="K301" s="327"/>
      <c r="L301" s="16" t="s">
        <v>8</v>
      </c>
    </row>
    <row r="302" spans="1:12" ht="32.25">
      <c r="A302" s="14"/>
      <c r="B302" s="271"/>
      <c r="C302" s="268"/>
      <c r="D302" s="268"/>
      <c r="E302" s="15"/>
      <c r="F302" s="268"/>
      <c r="G302" s="268"/>
      <c r="H302" s="268"/>
      <c r="I302" s="15"/>
      <c r="J302" s="268"/>
      <c r="K302" s="268"/>
      <c r="L302" s="18"/>
    </row>
    <row r="303" spans="1:12" ht="18">
      <c r="A303" s="271"/>
      <c r="B303" s="271"/>
      <c r="C303" s="271"/>
      <c r="D303" s="271"/>
      <c r="E303" s="271"/>
      <c r="F303" s="271"/>
      <c r="G303" s="271"/>
      <c r="H303" s="271"/>
      <c r="I303" s="21"/>
      <c r="J303" s="271"/>
      <c r="K303" s="271"/>
      <c r="L303" s="20"/>
    </row>
    <row r="304" spans="1:12" ht="23.25" thickBot="1">
      <c r="A304" s="14" t="s">
        <v>5</v>
      </c>
      <c r="B304" s="271"/>
      <c r="C304" s="327" t="str">
        <f>'09-54-01 BIC'!$K$19</f>
        <v/>
      </c>
      <c r="D304" s="327"/>
      <c r="E304" s="15" t="s">
        <v>6</v>
      </c>
      <c r="F304" s="327" t="str">
        <f>IF('09-54-01 BIC'!$K$20="","",'09-54-01 BIC'!$K$20)</f>
        <v/>
      </c>
      <c r="G304" s="327"/>
      <c r="H304" s="327"/>
      <c r="I304" s="15" t="s">
        <v>7</v>
      </c>
      <c r="J304" s="327" t="str">
        <f>'09-54-01 BIC'!$K$21</f>
        <v/>
      </c>
      <c r="K304" s="327"/>
      <c r="L304" s="16" t="s">
        <v>8</v>
      </c>
    </row>
    <row r="305" spans="1:12" ht="32.25">
      <c r="A305" s="14"/>
      <c r="B305" s="271"/>
      <c r="C305" s="268"/>
      <c r="D305" s="268"/>
      <c r="E305" s="15"/>
      <c r="F305" s="268"/>
      <c r="G305" s="268"/>
      <c r="H305" s="268"/>
      <c r="I305" s="15"/>
      <c r="J305" s="268"/>
      <c r="K305" s="268"/>
      <c r="L305" s="18"/>
    </row>
    <row r="306" spans="1:12" ht="19.5">
      <c r="A306" s="13"/>
      <c r="B306" s="14"/>
      <c r="C306" s="14"/>
      <c r="D306" s="14"/>
      <c r="E306" s="13"/>
      <c r="F306" s="13"/>
      <c r="G306" s="13"/>
      <c r="H306" s="13"/>
      <c r="I306" s="19"/>
      <c r="J306" s="13"/>
      <c r="K306" s="13"/>
      <c r="L306" s="20"/>
    </row>
    <row r="307" spans="1:12" ht="23.25" thickBot="1">
      <c r="A307" s="14" t="s">
        <v>5</v>
      </c>
      <c r="B307" s="271"/>
      <c r="C307" s="327" t="str">
        <f>'09-54-01 BIC'!$K$23</f>
        <v/>
      </c>
      <c r="D307" s="327"/>
      <c r="E307" s="15" t="s">
        <v>6</v>
      </c>
      <c r="F307" s="327" t="str">
        <f>IF('09-54-01 BIC'!$K$24="","",'09-54-01 BIC'!$K$24)</f>
        <v/>
      </c>
      <c r="G307" s="327"/>
      <c r="H307" s="327"/>
      <c r="I307" s="15" t="s">
        <v>7</v>
      </c>
      <c r="J307" s="327" t="str">
        <f>'09-54-01 BIC'!$K$25</f>
        <v/>
      </c>
      <c r="K307" s="327"/>
      <c r="L307" s="16" t="s">
        <v>8</v>
      </c>
    </row>
    <row r="308" spans="1:12" ht="1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</row>
    <row r="309" spans="1:12" ht="19.5">
      <c r="A309" s="14"/>
      <c r="B309" s="14"/>
      <c r="C309" s="14"/>
      <c r="D309" s="23"/>
      <c r="E309" s="23"/>
      <c r="F309" s="23"/>
      <c r="G309" s="23"/>
      <c r="H309" s="23"/>
      <c r="I309" s="23"/>
      <c r="J309" s="22"/>
      <c r="K309" s="22"/>
      <c r="L309" s="22"/>
    </row>
    <row r="310" spans="1:12" ht="22.5">
      <c r="A310" s="251"/>
      <c r="B310" s="252"/>
      <c r="C310" s="333"/>
      <c r="D310" s="333"/>
      <c r="E310" s="15"/>
      <c r="F310" s="333"/>
      <c r="G310" s="333"/>
      <c r="H310" s="333"/>
      <c r="I310" s="15"/>
      <c r="J310" s="333"/>
      <c r="K310" s="333"/>
      <c r="L310" s="18"/>
    </row>
    <row r="311" spans="1:12" ht="19.5">
      <c r="A311" s="14"/>
      <c r="B311" s="14"/>
      <c r="C311" s="14"/>
      <c r="D311" s="23"/>
      <c r="E311" s="23"/>
      <c r="F311" s="23"/>
      <c r="G311" s="23"/>
      <c r="H311" s="23"/>
      <c r="I311" s="23"/>
      <c r="J311" s="22"/>
      <c r="K311" s="22"/>
      <c r="L311" s="22"/>
    </row>
    <row r="314" spans="1:12" ht="22.5">
      <c r="A314" s="24" t="s">
        <v>9</v>
      </c>
      <c r="B314" s="24"/>
      <c r="C314" s="25"/>
      <c r="D314" s="328"/>
      <c r="E314" s="328"/>
      <c r="F314" s="328"/>
      <c r="G314" s="25"/>
      <c r="H314" s="26" t="s">
        <v>10</v>
      </c>
      <c r="I314" s="25"/>
      <c r="J314" s="329">
        <f ca="1">$J$26</f>
        <v>43845</v>
      </c>
      <c r="K314" s="329"/>
      <c r="L314" s="329"/>
    </row>
    <row r="315" spans="1:12" ht="13.5" thickBot="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</row>
    <row r="316" spans="1:12" ht="18.75" thickBot="1">
      <c r="A316" s="20"/>
      <c r="B316" s="20"/>
      <c r="C316" s="27"/>
      <c r="D316" s="27"/>
      <c r="E316" s="27"/>
      <c r="F316" s="23"/>
      <c r="G316" s="23"/>
      <c r="H316" s="23"/>
      <c r="I316" s="20"/>
      <c r="J316" s="20"/>
      <c r="K316" s="20"/>
      <c r="L316" s="20"/>
    </row>
    <row r="317" spans="1:12" ht="45" thickBot="1">
      <c r="C317" s="7" t="s">
        <v>11</v>
      </c>
      <c r="G317" s="330">
        <f>G285+1</f>
        <v>10</v>
      </c>
      <c r="H317" s="331"/>
      <c r="I317" s="332"/>
    </row>
    <row r="320" spans="1:12">
      <c r="A320" s="176" t="s">
        <v>12</v>
      </c>
      <c r="B320" s="178" t="s">
        <v>208</v>
      </c>
      <c r="C320" s="28"/>
      <c r="D320" s="28"/>
      <c r="E320" s="28"/>
      <c r="F320" s="28"/>
      <c r="G320" s="28"/>
      <c r="H320" s="28"/>
      <c r="I320" s="28"/>
      <c r="J320" s="28"/>
      <c r="K320" s="177"/>
      <c r="L320" s="176" t="s">
        <v>13</v>
      </c>
    </row>
    <row r="321" spans="1:12" ht="34.5">
      <c r="A321" s="1" t="s">
        <v>0</v>
      </c>
      <c r="B321" s="2"/>
      <c r="C321" s="2"/>
      <c r="D321" s="2"/>
      <c r="E321" s="3" t="s">
        <v>1</v>
      </c>
      <c r="F321" s="2"/>
      <c r="G321" s="2"/>
      <c r="H321" s="2"/>
      <c r="I321" s="2"/>
      <c r="J321" s="2"/>
      <c r="K321" s="2"/>
      <c r="L321" s="4" t="s">
        <v>0</v>
      </c>
    </row>
    <row r="322" spans="1:12" ht="34.5">
      <c r="B322" s="3"/>
      <c r="E322" s="3"/>
      <c r="F322" s="3"/>
      <c r="G322" s="3"/>
      <c r="H322" s="3"/>
    </row>
    <row r="323" spans="1:12" ht="32.25">
      <c r="B323" s="5"/>
      <c r="C323" s="6" t="s">
        <v>2</v>
      </c>
      <c r="E323" s="5"/>
      <c r="F323" s="5"/>
      <c r="G323" s="5"/>
      <c r="H323" s="5"/>
    </row>
    <row r="326" spans="1:12" ht="59.25">
      <c r="C326" s="7" t="s">
        <v>3</v>
      </c>
      <c r="G326" s="137" t="s">
        <v>4</v>
      </c>
      <c r="H326" s="326">
        <f>IF($H$6 = "", "", $H$6)</f>
        <v>12345</v>
      </c>
      <c r="I326" s="326"/>
      <c r="J326" s="326"/>
      <c r="K326" s="326"/>
    </row>
    <row r="327" spans="1:12" ht="33" thickBot="1">
      <c r="A327" s="9"/>
      <c r="B327" s="10"/>
      <c r="C327" s="10"/>
      <c r="D327" s="10"/>
      <c r="E327" s="10"/>
      <c r="F327" s="10"/>
      <c r="G327" s="10"/>
      <c r="H327" s="10"/>
      <c r="I327" s="11"/>
      <c r="J327" s="12"/>
      <c r="K327" s="12"/>
      <c r="L327" s="10"/>
    </row>
    <row r="328" spans="1:12" ht="19.5">
      <c r="A328" s="13"/>
      <c r="B328" s="5"/>
      <c r="C328" s="5"/>
      <c r="D328" s="5"/>
      <c r="E328" s="5"/>
      <c r="F328" s="13"/>
      <c r="G328" s="13"/>
      <c r="H328" s="13"/>
      <c r="I328" s="13"/>
      <c r="J328" s="13"/>
      <c r="K328" s="13"/>
      <c r="L328" s="13"/>
    </row>
    <row r="330" spans="1:12" ht="23.25" thickBot="1">
      <c r="A330" s="14" t="s">
        <v>5</v>
      </c>
      <c r="B330" s="271"/>
      <c r="C330" s="327" t="str">
        <f>'09-54-01 BIC'!$L$11</f>
        <v/>
      </c>
      <c r="D330" s="327"/>
      <c r="E330" s="15" t="s">
        <v>6</v>
      </c>
      <c r="F330" s="327" t="str">
        <f>IF('09-54-01 BIC'!$L$12="","",'09-54-01 BIC'!$L$12)</f>
        <v/>
      </c>
      <c r="G330" s="327"/>
      <c r="H330" s="327"/>
      <c r="I330" s="15" t="s">
        <v>7</v>
      </c>
      <c r="J330" s="327" t="str">
        <f>'09-54-01 BIC'!$L$13</f>
        <v/>
      </c>
      <c r="K330" s="327"/>
      <c r="L330" s="16" t="s">
        <v>8</v>
      </c>
    </row>
    <row r="331" spans="1:12" ht="32.25">
      <c r="A331" s="14"/>
      <c r="B331" s="271"/>
      <c r="C331" s="268"/>
      <c r="D331" s="268"/>
      <c r="E331" s="15"/>
      <c r="F331" s="268"/>
      <c r="G331" s="268"/>
      <c r="H331" s="268"/>
      <c r="I331" s="15"/>
      <c r="J331" s="268"/>
      <c r="K331" s="268"/>
      <c r="L331" s="18"/>
    </row>
    <row r="332" spans="1:12" ht="19.5">
      <c r="A332" s="13"/>
      <c r="B332" s="13"/>
      <c r="C332" s="13"/>
      <c r="D332" s="13"/>
      <c r="E332" s="13"/>
      <c r="F332" s="13"/>
      <c r="G332" s="13"/>
      <c r="H332" s="13"/>
      <c r="I332" s="19"/>
      <c r="J332" s="13"/>
      <c r="K332" s="13"/>
      <c r="L332" s="20"/>
    </row>
    <row r="333" spans="1:12" ht="23.25" thickBot="1">
      <c r="A333" s="14" t="s">
        <v>5</v>
      </c>
      <c r="B333" s="271"/>
      <c r="C333" s="327" t="str">
        <f>'09-54-01 BIC'!$L$15</f>
        <v/>
      </c>
      <c r="D333" s="327"/>
      <c r="E333" s="15" t="s">
        <v>6</v>
      </c>
      <c r="F333" s="327" t="str">
        <f>IF('09-54-01 BIC'!$L$16="","",'09-54-01 BIC'!$L$16)</f>
        <v/>
      </c>
      <c r="G333" s="327"/>
      <c r="H333" s="327"/>
      <c r="I333" s="15" t="s">
        <v>7</v>
      </c>
      <c r="J333" s="327" t="str">
        <f>'09-54-01 BIC'!$L$17</f>
        <v/>
      </c>
      <c r="K333" s="327"/>
      <c r="L333" s="16" t="s">
        <v>8</v>
      </c>
    </row>
    <row r="334" spans="1:12" ht="32.25">
      <c r="A334" s="14"/>
      <c r="B334" s="271"/>
      <c r="C334" s="268"/>
      <c r="D334" s="268"/>
      <c r="E334" s="15"/>
      <c r="F334" s="268"/>
      <c r="G334" s="268"/>
      <c r="H334" s="268"/>
      <c r="I334" s="15"/>
      <c r="J334" s="268"/>
      <c r="K334" s="268"/>
      <c r="L334" s="18"/>
    </row>
    <row r="335" spans="1:12" ht="18">
      <c r="A335" s="271"/>
      <c r="B335" s="271"/>
      <c r="C335" s="271"/>
      <c r="D335" s="271"/>
      <c r="E335" s="271"/>
      <c r="F335" s="271"/>
      <c r="G335" s="271"/>
      <c r="H335" s="271"/>
      <c r="I335" s="21"/>
      <c r="J335" s="271"/>
      <c r="K335" s="271"/>
      <c r="L335" s="20"/>
    </row>
    <row r="336" spans="1:12" ht="23.25" thickBot="1">
      <c r="A336" s="14" t="s">
        <v>5</v>
      </c>
      <c r="B336" s="271"/>
      <c r="C336" s="327" t="str">
        <f>'09-54-01 BIC'!$L$19</f>
        <v/>
      </c>
      <c r="D336" s="327"/>
      <c r="E336" s="15" t="s">
        <v>6</v>
      </c>
      <c r="F336" s="327" t="str">
        <f>IF('09-54-01 BIC'!$L$20="","",'09-54-01 BIC'!$L$20)</f>
        <v/>
      </c>
      <c r="G336" s="327"/>
      <c r="H336" s="327"/>
      <c r="I336" s="15" t="s">
        <v>7</v>
      </c>
      <c r="J336" s="327" t="str">
        <f>'09-54-01 BIC'!$L$21</f>
        <v/>
      </c>
      <c r="K336" s="327"/>
      <c r="L336" s="16" t="s">
        <v>8</v>
      </c>
    </row>
    <row r="337" spans="1:12" ht="32.25">
      <c r="A337" s="14"/>
      <c r="B337" s="271"/>
      <c r="C337" s="268"/>
      <c r="D337" s="268"/>
      <c r="E337" s="15"/>
      <c r="F337" s="268"/>
      <c r="G337" s="268"/>
      <c r="H337" s="268"/>
      <c r="I337" s="15"/>
      <c r="J337" s="268"/>
      <c r="K337" s="268"/>
      <c r="L337" s="18"/>
    </row>
    <row r="338" spans="1:12" ht="19.5">
      <c r="A338" s="13"/>
      <c r="B338" s="14"/>
      <c r="C338" s="14"/>
      <c r="D338" s="14"/>
      <c r="E338" s="13"/>
      <c r="F338" s="13"/>
      <c r="G338" s="13"/>
      <c r="H338" s="13"/>
      <c r="I338" s="19"/>
      <c r="J338" s="13"/>
      <c r="K338" s="13"/>
      <c r="L338" s="20"/>
    </row>
    <row r="339" spans="1:12" ht="23.25" thickBot="1">
      <c r="A339" s="14" t="s">
        <v>5</v>
      </c>
      <c r="B339" s="271"/>
      <c r="C339" s="327" t="str">
        <f>'09-54-01 BIC'!$L$23</f>
        <v/>
      </c>
      <c r="D339" s="327"/>
      <c r="E339" s="15" t="s">
        <v>6</v>
      </c>
      <c r="F339" s="327" t="str">
        <f>IF('09-54-01 BIC'!$L$24="","",'09-54-01 BIC'!$L$24)</f>
        <v/>
      </c>
      <c r="G339" s="327"/>
      <c r="H339" s="327"/>
      <c r="I339" s="15" t="s">
        <v>7</v>
      </c>
      <c r="J339" s="327" t="str">
        <f>'09-54-01 BIC'!$L$25</f>
        <v/>
      </c>
      <c r="K339" s="327"/>
      <c r="L339" s="16" t="s">
        <v>8</v>
      </c>
    </row>
    <row r="340" spans="1:12" ht="1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</row>
    <row r="341" spans="1:12" ht="19.5">
      <c r="A341" s="14"/>
      <c r="B341" s="14"/>
      <c r="C341" s="14"/>
      <c r="D341" s="23"/>
      <c r="E341" s="23"/>
      <c r="F341" s="23"/>
      <c r="G341" s="23"/>
      <c r="H341" s="23"/>
      <c r="I341" s="23"/>
      <c r="J341" s="22"/>
      <c r="K341" s="22"/>
      <c r="L341" s="22"/>
    </row>
    <row r="342" spans="1:12" ht="22.5">
      <c r="A342" s="251"/>
      <c r="B342" s="252"/>
      <c r="C342" s="333"/>
      <c r="D342" s="333"/>
      <c r="E342" s="15"/>
      <c r="F342" s="333"/>
      <c r="G342" s="333"/>
      <c r="H342" s="333"/>
      <c r="I342" s="15"/>
      <c r="J342" s="333"/>
      <c r="K342" s="333"/>
      <c r="L342" s="18"/>
    </row>
    <row r="343" spans="1:12" ht="19.5">
      <c r="A343" s="14"/>
      <c r="B343" s="14"/>
      <c r="C343" s="14"/>
      <c r="D343" s="23"/>
      <c r="E343" s="23"/>
      <c r="F343" s="23"/>
      <c r="G343" s="23"/>
      <c r="H343" s="23"/>
      <c r="I343" s="23"/>
      <c r="J343" s="22"/>
      <c r="K343" s="22"/>
      <c r="L343" s="22"/>
    </row>
    <row r="346" spans="1:12" ht="22.5">
      <c r="A346" s="24" t="s">
        <v>9</v>
      </c>
      <c r="B346" s="24"/>
      <c r="C346" s="25"/>
      <c r="D346" s="328"/>
      <c r="E346" s="328"/>
      <c r="F346" s="328"/>
      <c r="G346" s="25"/>
      <c r="H346" s="26" t="s">
        <v>10</v>
      </c>
      <c r="I346" s="25"/>
      <c r="J346" s="329">
        <f ca="1">$J$26</f>
        <v>43845</v>
      </c>
      <c r="K346" s="329"/>
      <c r="L346" s="329"/>
    </row>
    <row r="347" spans="1:12" ht="13.5" thickBot="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</row>
    <row r="348" spans="1:12" ht="18.75" thickBot="1">
      <c r="A348" s="20"/>
      <c r="B348" s="20"/>
      <c r="C348" s="27"/>
      <c r="D348" s="27"/>
      <c r="E348" s="27"/>
      <c r="F348" s="23"/>
      <c r="G348" s="23"/>
      <c r="H348" s="23"/>
      <c r="I348" s="20"/>
      <c r="J348" s="20"/>
      <c r="K348" s="20"/>
      <c r="L348" s="20"/>
    </row>
    <row r="349" spans="1:12" ht="45" thickBot="1">
      <c r="C349" s="7" t="s">
        <v>11</v>
      </c>
      <c r="G349" s="330">
        <f>G317+1</f>
        <v>11</v>
      </c>
      <c r="H349" s="331"/>
      <c r="I349" s="332"/>
    </row>
    <row r="352" spans="1:12">
      <c r="A352" s="176" t="s">
        <v>12</v>
      </c>
      <c r="B352" s="178" t="s">
        <v>208</v>
      </c>
      <c r="C352" s="28"/>
      <c r="D352" s="28"/>
      <c r="E352" s="28"/>
      <c r="F352" s="28"/>
      <c r="G352" s="28"/>
      <c r="H352" s="28"/>
      <c r="I352" s="28"/>
      <c r="J352" s="28"/>
      <c r="K352" s="177"/>
      <c r="L352" s="176" t="s">
        <v>13</v>
      </c>
    </row>
    <row r="353" spans="1:12" ht="34.5">
      <c r="A353" s="1" t="s">
        <v>0</v>
      </c>
      <c r="B353" s="2"/>
      <c r="C353" s="2"/>
      <c r="D353" s="2"/>
      <c r="E353" s="3" t="s">
        <v>1</v>
      </c>
      <c r="F353" s="2"/>
      <c r="G353" s="2"/>
      <c r="H353" s="2"/>
      <c r="I353" s="2"/>
      <c r="J353" s="2"/>
      <c r="K353" s="2"/>
      <c r="L353" s="4" t="s">
        <v>0</v>
      </c>
    </row>
    <row r="354" spans="1:12" ht="34.5">
      <c r="B354" s="3"/>
      <c r="E354" s="3"/>
      <c r="F354" s="3"/>
      <c r="G354" s="3"/>
      <c r="H354" s="3"/>
    </row>
    <row r="355" spans="1:12" ht="32.25">
      <c r="B355" s="5"/>
      <c r="C355" s="6" t="s">
        <v>2</v>
      </c>
      <c r="E355" s="5"/>
      <c r="F355" s="5"/>
      <c r="G355" s="5"/>
      <c r="H355" s="5"/>
    </row>
    <row r="358" spans="1:12" ht="59.25">
      <c r="C358" s="7" t="s">
        <v>3</v>
      </c>
      <c r="G358" s="137" t="s">
        <v>4</v>
      </c>
      <c r="H358" s="326">
        <f>IF($H$6 = "", "", $H$6)</f>
        <v>12345</v>
      </c>
      <c r="I358" s="326"/>
      <c r="J358" s="326"/>
      <c r="K358" s="326"/>
    </row>
    <row r="359" spans="1:12" ht="33" thickBot="1">
      <c r="A359" s="9"/>
      <c r="B359" s="10"/>
      <c r="C359" s="10"/>
      <c r="D359" s="10"/>
      <c r="E359" s="10"/>
      <c r="F359" s="10"/>
      <c r="G359" s="10"/>
      <c r="H359" s="10"/>
      <c r="I359" s="11"/>
      <c r="J359" s="12"/>
      <c r="K359" s="12"/>
      <c r="L359" s="10"/>
    </row>
    <row r="360" spans="1:12" ht="19.5">
      <c r="A360" s="13"/>
      <c r="B360" s="5"/>
      <c r="C360" s="5"/>
      <c r="D360" s="5"/>
      <c r="E360" s="5"/>
      <c r="F360" s="13"/>
      <c r="G360" s="13"/>
      <c r="H360" s="13"/>
      <c r="I360" s="13"/>
      <c r="J360" s="13"/>
      <c r="K360" s="13"/>
      <c r="L360" s="13"/>
    </row>
    <row r="362" spans="1:12" ht="23.25" thickBot="1">
      <c r="A362" s="14" t="s">
        <v>5</v>
      </c>
      <c r="B362" s="271"/>
      <c r="C362" s="327" t="str">
        <f>'09-54-01 BIC'!$M$11</f>
        <v/>
      </c>
      <c r="D362" s="327"/>
      <c r="E362" s="15" t="s">
        <v>6</v>
      </c>
      <c r="F362" s="327" t="str">
        <f>IF('09-54-01 BIC'!$M$12="","",'09-54-01 BIC'!$M$12)</f>
        <v/>
      </c>
      <c r="G362" s="327"/>
      <c r="H362" s="327"/>
      <c r="I362" s="15" t="s">
        <v>7</v>
      </c>
      <c r="J362" s="327" t="str">
        <f>'09-54-01 BIC'!$M$13</f>
        <v/>
      </c>
      <c r="K362" s="327"/>
      <c r="L362" s="16" t="s">
        <v>8</v>
      </c>
    </row>
    <row r="363" spans="1:12" ht="32.25">
      <c r="A363" s="14"/>
      <c r="B363" s="271"/>
      <c r="C363" s="268"/>
      <c r="D363" s="268"/>
      <c r="E363" s="15"/>
      <c r="F363" s="268"/>
      <c r="G363" s="268"/>
      <c r="H363" s="268"/>
      <c r="I363" s="15"/>
      <c r="J363" s="268"/>
      <c r="K363" s="268"/>
      <c r="L363" s="18"/>
    </row>
    <row r="364" spans="1:12" ht="19.5">
      <c r="A364" s="13"/>
      <c r="B364" s="13"/>
      <c r="C364" s="13"/>
      <c r="D364" s="13"/>
      <c r="E364" s="13"/>
      <c r="F364" s="13"/>
      <c r="G364" s="13"/>
      <c r="H364" s="13"/>
      <c r="I364" s="19"/>
      <c r="J364" s="13"/>
      <c r="K364" s="13"/>
      <c r="L364" s="20"/>
    </row>
    <row r="365" spans="1:12" ht="23.25" thickBot="1">
      <c r="A365" s="14" t="s">
        <v>5</v>
      </c>
      <c r="B365" s="271"/>
      <c r="C365" s="327" t="str">
        <f>'09-54-01 BIC'!$M$15</f>
        <v/>
      </c>
      <c r="D365" s="327"/>
      <c r="E365" s="15" t="s">
        <v>6</v>
      </c>
      <c r="F365" s="327" t="str">
        <f>IF('09-54-01 BIC'!$M$16="","",'09-54-01 BIC'!$M$16)</f>
        <v/>
      </c>
      <c r="G365" s="327"/>
      <c r="H365" s="327"/>
      <c r="I365" s="15" t="s">
        <v>7</v>
      </c>
      <c r="J365" s="327" t="str">
        <f>'09-54-01 BIC'!$M$17</f>
        <v/>
      </c>
      <c r="K365" s="327"/>
      <c r="L365" s="16" t="s">
        <v>8</v>
      </c>
    </row>
    <row r="366" spans="1:12" ht="32.25">
      <c r="A366" s="14"/>
      <c r="B366" s="271"/>
      <c r="C366" s="268"/>
      <c r="D366" s="268"/>
      <c r="E366" s="15"/>
      <c r="F366" s="268"/>
      <c r="G366" s="268"/>
      <c r="H366" s="268"/>
      <c r="I366" s="15"/>
      <c r="J366" s="268"/>
      <c r="K366" s="268"/>
      <c r="L366" s="18"/>
    </row>
    <row r="367" spans="1:12" ht="18">
      <c r="A367" s="271"/>
      <c r="B367" s="271"/>
      <c r="C367" s="271"/>
      <c r="D367" s="271"/>
      <c r="E367" s="271"/>
      <c r="F367" s="271"/>
      <c r="G367" s="271"/>
      <c r="H367" s="271"/>
      <c r="I367" s="21"/>
      <c r="J367" s="271"/>
      <c r="K367" s="271"/>
      <c r="L367" s="20"/>
    </row>
    <row r="368" spans="1:12" ht="23.25" thickBot="1">
      <c r="A368" s="14" t="s">
        <v>5</v>
      </c>
      <c r="B368" s="271"/>
      <c r="C368" s="327" t="str">
        <f>'09-54-01 BIC'!$M$19</f>
        <v/>
      </c>
      <c r="D368" s="327"/>
      <c r="E368" s="15" t="s">
        <v>6</v>
      </c>
      <c r="F368" s="327" t="str">
        <f>IF('09-54-01 BIC'!$M$20="","",'09-54-01 BIC'!$M$20)</f>
        <v/>
      </c>
      <c r="G368" s="327"/>
      <c r="H368" s="327"/>
      <c r="I368" s="15" t="s">
        <v>7</v>
      </c>
      <c r="J368" s="327" t="str">
        <f>'09-54-01 BIC'!$M$21</f>
        <v/>
      </c>
      <c r="K368" s="327"/>
      <c r="L368" s="16" t="s">
        <v>8</v>
      </c>
    </row>
    <row r="369" spans="1:12" ht="32.25">
      <c r="A369" s="14"/>
      <c r="B369" s="271"/>
      <c r="C369" s="268"/>
      <c r="D369" s="268"/>
      <c r="E369" s="15"/>
      <c r="F369" s="268"/>
      <c r="G369" s="268"/>
      <c r="H369" s="268"/>
      <c r="I369" s="15"/>
      <c r="J369" s="268"/>
      <c r="K369" s="268"/>
      <c r="L369" s="18"/>
    </row>
    <row r="370" spans="1:12" ht="19.5">
      <c r="A370" s="13"/>
      <c r="B370" s="14"/>
      <c r="C370" s="14"/>
      <c r="D370" s="14"/>
      <c r="E370" s="13"/>
      <c r="F370" s="13"/>
      <c r="G370" s="13"/>
      <c r="H370" s="13"/>
      <c r="I370" s="19"/>
      <c r="J370" s="13"/>
      <c r="K370" s="13"/>
      <c r="L370" s="20"/>
    </row>
    <row r="371" spans="1:12" ht="23.25" thickBot="1">
      <c r="A371" s="14" t="s">
        <v>5</v>
      </c>
      <c r="B371" s="271"/>
      <c r="C371" s="327" t="str">
        <f>'09-54-01 BIC'!$M$23</f>
        <v/>
      </c>
      <c r="D371" s="327"/>
      <c r="E371" s="15" t="s">
        <v>6</v>
      </c>
      <c r="F371" s="327" t="str">
        <f>IF('09-54-01 BIC'!$M$24="","",'09-54-01 BIC'!$M$24)</f>
        <v/>
      </c>
      <c r="G371" s="327"/>
      <c r="H371" s="327"/>
      <c r="I371" s="15" t="s">
        <v>7</v>
      </c>
      <c r="J371" s="327" t="str">
        <f>'09-54-01 BIC'!$M$25</f>
        <v/>
      </c>
      <c r="K371" s="327"/>
      <c r="L371" s="16" t="s">
        <v>8</v>
      </c>
    </row>
    <row r="372" spans="1:12" ht="1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</row>
    <row r="373" spans="1:12" ht="19.5">
      <c r="A373" s="14"/>
      <c r="B373" s="14"/>
      <c r="C373" s="14"/>
      <c r="D373" s="23"/>
      <c r="E373" s="23"/>
      <c r="F373" s="23"/>
      <c r="G373" s="23"/>
      <c r="H373" s="23"/>
      <c r="I373" s="23"/>
      <c r="J373" s="22"/>
      <c r="K373" s="22"/>
      <c r="L373" s="22"/>
    </row>
    <row r="374" spans="1:12" ht="22.5">
      <c r="A374" s="251"/>
      <c r="B374" s="252"/>
      <c r="C374" s="333"/>
      <c r="D374" s="333"/>
      <c r="E374" s="15"/>
      <c r="F374" s="333"/>
      <c r="G374" s="333"/>
      <c r="H374" s="333"/>
      <c r="I374" s="15"/>
      <c r="J374" s="333"/>
      <c r="K374" s="333"/>
      <c r="L374" s="18"/>
    </row>
    <row r="375" spans="1:12" ht="19.5">
      <c r="A375" s="14"/>
      <c r="B375" s="14"/>
      <c r="C375" s="14"/>
      <c r="D375" s="23"/>
      <c r="E375" s="23"/>
      <c r="F375" s="23"/>
      <c r="G375" s="23"/>
      <c r="H375" s="23"/>
      <c r="I375" s="23"/>
      <c r="J375" s="22"/>
      <c r="K375" s="22"/>
      <c r="L375" s="22"/>
    </row>
    <row r="378" spans="1:12" ht="22.5">
      <c r="A378" s="24" t="s">
        <v>9</v>
      </c>
      <c r="B378" s="24"/>
      <c r="C378" s="25"/>
      <c r="D378" s="328"/>
      <c r="E378" s="328"/>
      <c r="F378" s="328"/>
      <c r="G378" s="25"/>
      <c r="H378" s="26" t="s">
        <v>10</v>
      </c>
      <c r="I378" s="25"/>
      <c r="J378" s="329">
        <f ca="1">$J$26</f>
        <v>43845</v>
      </c>
      <c r="K378" s="329"/>
      <c r="L378" s="329"/>
    </row>
    <row r="379" spans="1:12" ht="13.5" thickBot="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</row>
    <row r="380" spans="1:12" ht="18.75" thickBot="1">
      <c r="A380" s="20"/>
      <c r="B380" s="20"/>
      <c r="C380" s="27"/>
      <c r="D380" s="27"/>
      <c r="E380" s="27"/>
      <c r="F380" s="23"/>
      <c r="G380" s="23"/>
      <c r="H380" s="23"/>
      <c r="I380" s="20"/>
      <c r="J380" s="20"/>
      <c r="K380" s="20"/>
      <c r="L380" s="20"/>
    </row>
    <row r="381" spans="1:12" ht="45" thickBot="1">
      <c r="C381" s="7" t="s">
        <v>11</v>
      </c>
      <c r="G381" s="330">
        <f>G349+1</f>
        <v>12</v>
      </c>
      <c r="H381" s="331"/>
      <c r="I381" s="332"/>
    </row>
    <row r="384" spans="1:12">
      <c r="A384" s="176" t="s">
        <v>12</v>
      </c>
      <c r="B384" s="178" t="s">
        <v>208</v>
      </c>
      <c r="C384" s="28"/>
      <c r="D384" s="28"/>
      <c r="E384" s="28"/>
      <c r="F384" s="28"/>
      <c r="G384" s="28"/>
      <c r="H384" s="28"/>
      <c r="I384" s="28"/>
      <c r="J384" s="28"/>
      <c r="K384" s="177"/>
      <c r="L384" s="176" t="s">
        <v>13</v>
      </c>
    </row>
    <row r="440" spans="5:7">
      <c r="E440" s="29"/>
      <c r="G440" s="29"/>
    </row>
    <row r="441" spans="5:7">
      <c r="E441" s="29"/>
      <c r="G441" s="29"/>
    </row>
    <row r="442" spans="5:7">
      <c r="E442" s="29"/>
      <c r="G442" s="29"/>
    </row>
    <row r="452" spans="7:7">
      <c r="G452" s="29"/>
    </row>
    <row r="453" spans="7:7">
      <c r="G453" s="29"/>
    </row>
    <row r="454" spans="7:7">
      <c r="G454" s="29"/>
    </row>
    <row r="455" spans="7:7">
      <c r="G455" s="29"/>
    </row>
    <row r="456" spans="7:7">
      <c r="G456" s="29"/>
    </row>
    <row r="457" spans="7:7">
      <c r="G457" s="29"/>
    </row>
    <row r="458" spans="7:7">
      <c r="G458" s="29"/>
    </row>
    <row r="459" spans="7:7">
      <c r="G459" s="29"/>
    </row>
    <row r="460" spans="7:7">
      <c r="G460" s="29"/>
    </row>
    <row r="461" spans="7:7">
      <c r="G461" s="29"/>
    </row>
    <row r="462" spans="7:7">
      <c r="G462" s="29"/>
    </row>
    <row r="463" spans="7:7">
      <c r="G463" s="29"/>
    </row>
    <row r="464" spans="7:7">
      <c r="G464" s="29"/>
    </row>
    <row r="465" spans="7:7">
      <c r="G465" s="29"/>
    </row>
    <row r="466" spans="7:7">
      <c r="G466" s="29"/>
    </row>
    <row r="467" spans="7:7">
      <c r="G467" s="29"/>
    </row>
    <row r="468" spans="7:7">
      <c r="G468" s="29"/>
    </row>
    <row r="469" spans="7:7">
      <c r="G469" s="29"/>
    </row>
    <row r="470" spans="7:7">
      <c r="G470" s="29"/>
    </row>
    <row r="471" spans="7:7">
      <c r="G471" s="29"/>
    </row>
    <row r="472" spans="7:7">
      <c r="G472" s="29"/>
    </row>
    <row r="473" spans="7:7">
      <c r="G473" s="29"/>
    </row>
    <row r="474" spans="7:7">
      <c r="G474" s="29"/>
    </row>
    <row r="475" spans="7:7">
      <c r="G475" s="29"/>
    </row>
    <row r="476" spans="7:7">
      <c r="G476" s="29"/>
    </row>
    <row r="477" spans="7:7">
      <c r="G477" s="29"/>
    </row>
    <row r="478" spans="7:7">
      <c r="G478" s="29"/>
    </row>
    <row r="479" spans="7:7">
      <c r="G479" s="29"/>
    </row>
    <row r="480" spans="7:7">
      <c r="G480" s="29"/>
    </row>
    <row r="481" spans="7:7">
      <c r="G481" s="29"/>
    </row>
    <row r="482" spans="7:7">
      <c r="G482" s="29"/>
    </row>
    <row r="483" spans="7:7">
      <c r="G483" s="29"/>
    </row>
    <row r="484" spans="7:7">
      <c r="G484" s="29"/>
    </row>
    <row r="485" spans="7:7">
      <c r="G485" s="29"/>
    </row>
    <row r="486" spans="7:7">
      <c r="G486" s="29"/>
    </row>
    <row r="487" spans="7:7">
      <c r="G487" s="29"/>
    </row>
    <row r="488" spans="7:7">
      <c r="G488" s="29"/>
    </row>
    <row r="489" spans="7:7">
      <c r="G489" s="29"/>
    </row>
    <row r="490" spans="7:7">
      <c r="G490" s="29"/>
    </row>
    <row r="491" spans="7:7">
      <c r="G491" s="29"/>
    </row>
    <row r="492" spans="7:7">
      <c r="G492" s="29"/>
    </row>
    <row r="493" spans="7:7">
      <c r="G493" s="29"/>
    </row>
    <row r="494" spans="7:7">
      <c r="G494" s="29"/>
    </row>
    <row r="495" spans="7:7">
      <c r="G495" s="29"/>
    </row>
  </sheetData>
  <mergeCells count="228">
    <mergeCell ref="C365:D365"/>
    <mergeCell ref="F365:H365"/>
    <mergeCell ref="J365:K365"/>
    <mergeCell ref="C368:D368"/>
    <mergeCell ref="F368:H368"/>
    <mergeCell ref="J368:K368"/>
    <mergeCell ref="D378:F378"/>
    <mergeCell ref="J378:L378"/>
    <mergeCell ref="G381:I381"/>
    <mergeCell ref="C371:D371"/>
    <mergeCell ref="F371:H371"/>
    <mergeCell ref="J371:K371"/>
    <mergeCell ref="C374:D374"/>
    <mergeCell ref="F374:H374"/>
    <mergeCell ref="J374:K374"/>
    <mergeCell ref="C342:D342"/>
    <mergeCell ref="F342:H342"/>
    <mergeCell ref="J342:K342"/>
    <mergeCell ref="D346:F346"/>
    <mergeCell ref="J346:L346"/>
    <mergeCell ref="G349:I349"/>
    <mergeCell ref="H358:K358"/>
    <mergeCell ref="C362:D362"/>
    <mergeCell ref="F362:H362"/>
    <mergeCell ref="J362:K362"/>
    <mergeCell ref="C333:D333"/>
    <mergeCell ref="F333:H333"/>
    <mergeCell ref="J333:K333"/>
    <mergeCell ref="C336:D336"/>
    <mergeCell ref="F336:H336"/>
    <mergeCell ref="J336:K336"/>
    <mergeCell ref="C339:D339"/>
    <mergeCell ref="F339:H339"/>
    <mergeCell ref="J339:K339"/>
    <mergeCell ref="C310:D310"/>
    <mergeCell ref="F310:H310"/>
    <mergeCell ref="J310:K310"/>
    <mergeCell ref="D314:F314"/>
    <mergeCell ref="J314:L314"/>
    <mergeCell ref="G317:I317"/>
    <mergeCell ref="H326:K326"/>
    <mergeCell ref="C330:D330"/>
    <mergeCell ref="F330:H330"/>
    <mergeCell ref="J330:K330"/>
    <mergeCell ref="C301:D301"/>
    <mergeCell ref="F301:H301"/>
    <mergeCell ref="J301:K301"/>
    <mergeCell ref="C304:D304"/>
    <mergeCell ref="F304:H304"/>
    <mergeCell ref="J304:K304"/>
    <mergeCell ref="C307:D307"/>
    <mergeCell ref="F307:H307"/>
    <mergeCell ref="J307:K307"/>
    <mergeCell ref="C278:D278"/>
    <mergeCell ref="F278:H278"/>
    <mergeCell ref="J278:K278"/>
    <mergeCell ref="D282:F282"/>
    <mergeCell ref="J282:L282"/>
    <mergeCell ref="G285:I285"/>
    <mergeCell ref="H294:K294"/>
    <mergeCell ref="C298:D298"/>
    <mergeCell ref="F298:H298"/>
    <mergeCell ref="J298:K298"/>
    <mergeCell ref="C269:D269"/>
    <mergeCell ref="F269:H269"/>
    <mergeCell ref="J269:K269"/>
    <mergeCell ref="C272:D272"/>
    <mergeCell ref="F272:H272"/>
    <mergeCell ref="J272:K272"/>
    <mergeCell ref="C275:D275"/>
    <mergeCell ref="F275:H275"/>
    <mergeCell ref="J275:K275"/>
    <mergeCell ref="C246:D246"/>
    <mergeCell ref="F246:H246"/>
    <mergeCell ref="J246:K246"/>
    <mergeCell ref="D250:F250"/>
    <mergeCell ref="J250:L250"/>
    <mergeCell ref="G253:I253"/>
    <mergeCell ref="H262:K262"/>
    <mergeCell ref="C266:D266"/>
    <mergeCell ref="F266:H266"/>
    <mergeCell ref="J266:K266"/>
    <mergeCell ref="C237:D237"/>
    <mergeCell ref="F237:H237"/>
    <mergeCell ref="J237:K237"/>
    <mergeCell ref="C240:D240"/>
    <mergeCell ref="F240:H240"/>
    <mergeCell ref="J240:K240"/>
    <mergeCell ref="C243:D243"/>
    <mergeCell ref="F243:H243"/>
    <mergeCell ref="J243:K243"/>
    <mergeCell ref="C214:D214"/>
    <mergeCell ref="F214:H214"/>
    <mergeCell ref="J214:K214"/>
    <mergeCell ref="D218:F218"/>
    <mergeCell ref="J218:L218"/>
    <mergeCell ref="G221:I221"/>
    <mergeCell ref="H230:K230"/>
    <mergeCell ref="C234:D234"/>
    <mergeCell ref="F234:H234"/>
    <mergeCell ref="J234:K234"/>
    <mergeCell ref="C205:D205"/>
    <mergeCell ref="F205:H205"/>
    <mergeCell ref="J205:K205"/>
    <mergeCell ref="C208:D208"/>
    <mergeCell ref="F208:H208"/>
    <mergeCell ref="J208:K208"/>
    <mergeCell ref="C211:D211"/>
    <mergeCell ref="F211:H211"/>
    <mergeCell ref="J211:K211"/>
    <mergeCell ref="C182:D182"/>
    <mergeCell ref="F182:H182"/>
    <mergeCell ref="J182:K182"/>
    <mergeCell ref="D186:F186"/>
    <mergeCell ref="J186:L186"/>
    <mergeCell ref="G189:I189"/>
    <mergeCell ref="H198:K198"/>
    <mergeCell ref="C202:D202"/>
    <mergeCell ref="F202:H202"/>
    <mergeCell ref="J202:K202"/>
    <mergeCell ref="C173:D173"/>
    <mergeCell ref="F173:H173"/>
    <mergeCell ref="J173:K173"/>
    <mergeCell ref="C176:D176"/>
    <mergeCell ref="F176:H176"/>
    <mergeCell ref="J176:K176"/>
    <mergeCell ref="C179:D179"/>
    <mergeCell ref="F179:H179"/>
    <mergeCell ref="J179:K179"/>
    <mergeCell ref="C150:D150"/>
    <mergeCell ref="F150:H150"/>
    <mergeCell ref="J150:K150"/>
    <mergeCell ref="D154:F154"/>
    <mergeCell ref="J154:L154"/>
    <mergeCell ref="G157:I157"/>
    <mergeCell ref="H166:K166"/>
    <mergeCell ref="C170:D170"/>
    <mergeCell ref="F170:H170"/>
    <mergeCell ref="J170:K170"/>
    <mergeCell ref="C141:D141"/>
    <mergeCell ref="F141:H141"/>
    <mergeCell ref="J141:K141"/>
    <mergeCell ref="C144:D144"/>
    <mergeCell ref="F144:H144"/>
    <mergeCell ref="J144:K144"/>
    <mergeCell ref="C147:D147"/>
    <mergeCell ref="F147:H147"/>
    <mergeCell ref="J147:K147"/>
    <mergeCell ref="C118:D118"/>
    <mergeCell ref="F118:H118"/>
    <mergeCell ref="J118:K118"/>
    <mergeCell ref="D122:F122"/>
    <mergeCell ref="J122:L122"/>
    <mergeCell ref="G125:I125"/>
    <mergeCell ref="H134:K134"/>
    <mergeCell ref="C138:D138"/>
    <mergeCell ref="F138:H138"/>
    <mergeCell ref="J138:K138"/>
    <mergeCell ref="C109:D109"/>
    <mergeCell ref="F109:H109"/>
    <mergeCell ref="J109:K109"/>
    <mergeCell ref="C112:D112"/>
    <mergeCell ref="F112:H112"/>
    <mergeCell ref="J112:K112"/>
    <mergeCell ref="C115:D115"/>
    <mergeCell ref="F115:H115"/>
    <mergeCell ref="J115:K115"/>
    <mergeCell ref="C86:D86"/>
    <mergeCell ref="F86:H86"/>
    <mergeCell ref="J86:K86"/>
    <mergeCell ref="D90:F90"/>
    <mergeCell ref="J90:L90"/>
    <mergeCell ref="G93:I93"/>
    <mergeCell ref="H102:K102"/>
    <mergeCell ref="C106:D106"/>
    <mergeCell ref="F106:H106"/>
    <mergeCell ref="J106:K106"/>
    <mergeCell ref="C77:D77"/>
    <mergeCell ref="F77:H77"/>
    <mergeCell ref="J77:K77"/>
    <mergeCell ref="C80:D80"/>
    <mergeCell ref="F80:H80"/>
    <mergeCell ref="J80:K80"/>
    <mergeCell ref="C83:D83"/>
    <mergeCell ref="F83:H83"/>
    <mergeCell ref="J83:K83"/>
    <mergeCell ref="G61:I61"/>
    <mergeCell ref="H70:K70"/>
    <mergeCell ref="C74:D74"/>
    <mergeCell ref="F74:H74"/>
    <mergeCell ref="J74:K74"/>
    <mergeCell ref="C54:D54"/>
    <mergeCell ref="F54:H54"/>
    <mergeCell ref="J54:K54"/>
    <mergeCell ref="D58:F58"/>
    <mergeCell ref="J58:L58"/>
    <mergeCell ref="C45:D45"/>
    <mergeCell ref="F45:H45"/>
    <mergeCell ref="J45:K45"/>
    <mergeCell ref="C48:D48"/>
    <mergeCell ref="F48:H48"/>
    <mergeCell ref="J48:K48"/>
    <mergeCell ref="C51:D51"/>
    <mergeCell ref="F51:H51"/>
    <mergeCell ref="J51:K51"/>
    <mergeCell ref="H6:K6"/>
    <mergeCell ref="C10:D10"/>
    <mergeCell ref="F10:H10"/>
    <mergeCell ref="J10:K10"/>
    <mergeCell ref="C13:D13"/>
    <mergeCell ref="F13:H13"/>
    <mergeCell ref="J13:K13"/>
    <mergeCell ref="H38:K38"/>
    <mergeCell ref="C42:D42"/>
    <mergeCell ref="F42:H42"/>
    <mergeCell ref="J42:K42"/>
    <mergeCell ref="D26:F26"/>
    <mergeCell ref="J26:L26"/>
    <mergeCell ref="G29:I29"/>
    <mergeCell ref="C16:D16"/>
    <mergeCell ref="F16:H16"/>
    <mergeCell ref="J16:K16"/>
    <mergeCell ref="C19:D19"/>
    <mergeCell ref="F19:H19"/>
    <mergeCell ref="J19:K19"/>
    <mergeCell ref="C22:D22"/>
    <mergeCell ref="F22:H22"/>
    <mergeCell ref="J22:K22"/>
  </mergeCells>
  <dataValidations count="1">
    <dataValidation allowBlank="1" showInputMessage="1" showErrorMessage="1" promptTitle="Pallet #" prompt="Select Pallet Numberfrom BIC" sqref="G61:I61 G29:I29 G93:I93 G125:I125 G157:I157 G189:I189 G221:I221 G253:I253 G285:I285 G317:I317 G349:I349 G381:I381" xr:uid="{00000000-0002-0000-0400-000000000000}"/>
  </dataValidations>
  <printOptions horizontalCentered="1"/>
  <pageMargins left="0.2" right="0.2" top="0.5" bottom="0" header="0.5" footer="0"/>
  <pageSetup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Pallet #" prompt="Select Pallet Numberfrom BIC" xr:uid="{00000000-0002-0000-0400-000001000000}">
          <x14:formula1>
            <xm:f>'\\ediserver\c\Users\Muhamad\Desktop\[Pack Off SOP 09-54 SOP Forms DCO#016024.xls]Scrap Sheet'!#REF!</xm:f>
          </x14:formula1>
          <xm:sqref>WVO983069:WVQ983069 JC29:JE29 SY29:TA29 ACU29:ACW29 AMQ29:AMS29 AWM29:AWO29 BGI29:BGK29 BQE29:BQG29 CAA29:CAC29 CJW29:CJY29 CTS29:CTU29 DDO29:DDQ29 DNK29:DNM29 DXG29:DXI29 EHC29:EHE29 EQY29:ERA29 FAU29:FAW29 FKQ29:FKS29 FUM29:FUO29 GEI29:GEK29 GOE29:GOG29 GYA29:GYC29 HHW29:HHY29 HRS29:HRU29 IBO29:IBQ29 ILK29:ILM29 IVG29:IVI29 JFC29:JFE29 JOY29:JPA29 JYU29:JYW29 KIQ29:KIS29 KSM29:KSO29 LCI29:LCK29 LME29:LMG29 LWA29:LWC29 MFW29:MFY29 MPS29:MPU29 MZO29:MZQ29 NJK29:NJM29 NTG29:NTI29 ODC29:ODE29 OMY29:ONA29 OWU29:OWW29 PGQ29:PGS29 PQM29:PQO29 QAI29:QAK29 QKE29:QKG29 QUA29:QUC29 RDW29:RDY29 RNS29:RNU29 RXO29:RXQ29 SHK29:SHM29 SRG29:SRI29 TBC29:TBE29 TKY29:TLA29 TUU29:TUW29 UEQ29:UES29 UOM29:UOO29 UYI29:UYK29 VIE29:VIG29 VSA29:VSC29 WBW29:WBY29 WLS29:WLU29 WVO29:WVQ29 G65565:I65565 JC65565:JE65565 SY65565:TA65565 ACU65565:ACW65565 AMQ65565:AMS65565 AWM65565:AWO65565 BGI65565:BGK65565 BQE65565:BQG65565 CAA65565:CAC65565 CJW65565:CJY65565 CTS65565:CTU65565 DDO65565:DDQ65565 DNK65565:DNM65565 DXG65565:DXI65565 EHC65565:EHE65565 EQY65565:ERA65565 FAU65565:FAW65565 FKQ65565:FKS65565 FUM65565:FUO65565 GEI65565:GEK65565 GOE65565:GOG65565 GYA65565:GYC65565 HHW65565:HHY65565 HRS65565:HRU65565 IBO65565:IBQ65565 ILK65565:ILM65565 IVG65565:IVI65565 JFC65565:JFE65565 JOY65565:JPA65565 JYU65565:JYW65565 KIQ65565:KIS65565 KSM65565:KSO65565 LCI65565:LCK65565 LME65565:LMG65565 LWA65565:LWC65565 MFW65565:MFY65565 MPS65565:MPU65565 MZO65565:MZQ65565 NJK65565:NJM65565 NTG65565:NTI65565 ODC65565:ODE65565 OMY65565:ONA65565 OWU65565:OWW65565 PGQ65565:PGS65565 PQM65565:PQO65565 QAI65565:QAK65565 QKE65565:QKG65565 QUA65565:QUC65565 RDW65565:RDY65565 RNS65565:RNU65565 RXO65565:RXQ65565 SHK65565:SHM65565 SRG65565:SRI65565 TBC65565:TBE65565 TKY65565:TLA65565 TUU65565:TUW65565 UEQ65565:UES65565 UOM65565:UOO65565 UYI65565:UYK65565 VIE65565:VIG65565 VSA65565:VSC65565 WBW65565:WBY65565 WLS65565:WLU65565 WVO65565:WVQ65565 G131101:I131101 JC131101:JE131101 SY131101:TA131101 ACU131101:ACW131101 AMQ131101:AMS131101 AWM131101:AWO131101 BGI131101:BGK131101 BQE131101:BQG131101 CAA131101:CAC131101 CJW131101:CJY131101 CTS131101:CTU131101 DDO131101:DDQ131101 DNK131101:DNM131101 DXG131101:DXI131101 EHC131101:EHE131101 EQY131101:ERA131101 FAU131101:FAW131101 FKQ131101:FKS131101 FUM131101:FUO131101 GEI131101:GEK131101 GOE131101:GOG131101 GYA131101:GYC131101 HHW131101:HHY131101 HRS131101:HRU131101 IBO131101:IBQ131101 ILK131101:ILM131101 IVG131101:IVI131101 JFC131101:JFE131101 JOY131101:JPA131101 JYU131101:JYW131101 KIQ131101:KIS131101 KSM131101:KSO131101 LCI131101:LCK131101 LME131101:LMG131101 LWA131101:LWC131101 MFW131101:MFY131101 MPS131101:MPU131101 MZO131101:MZQ131101 NJK131101:NJM131101 NTG131101:NTI131101 ODC131101:ODE131101 OMY131101:ONA131101 OWU131101:OWW131101 PGQ131101:PGS131101 PQM131101:PQO131101 QAI131101:QAK131101 QKE131101:QKG131101 QUA131101:QUC131101 RDW131101:RDY131101 RNS131101:RNU131101 RXO131101:RXQ131101 SHK131101:SHM131101 SRG131101:SRI131101 TBC131101:TBE131101 TKY131101:TLA131101 TUU131101:TUW131101 UEQ131101:UES131101 UOM131101:UOO131101 UYI131101:UYK131101 VIE131101:VIG131101 VSA131101:VSC131101 WBW131101:WBY131101 WLS131101:WLU131101 WVO131101:WVQ131101 G196637:I196637 JC196637:JE196637 SY196637:TA196637 ACU196637:ACW196637 AMQ196637:AMS196637 AWM196637:AWO196637 BGI196637:BGK196637 BQE196637:BQG196637 CAA196637:CAC196637 CJW196637:CJY196637 CTS196637:CTU196637 DDO196637:DDQ196637 DNK196637:DNM196637 DXG196637:DXI196637 EHC196637:EHE196637 EQY196637:ERA196637 FAU196637:FAW196637 FKQ196637:FKS196637 FUM196637:FUO196637 GEI196637:GEK196637 GOE196637:GOG196637 GYA196637:GYC196637 HHW196637:HHY196637 HRS196637:HRU196637 IBO196637:IBQ196637 ILK196637:ILM196637 IVG196637:IVI196637 JFC196637:JFE196637 JOY196637:JPA196637 JYU196637:JYW196637 KIQ196637:KIS196637 KSM196637:KSO196637 LCI196637:LCK196637 LME196637:LMG196637 LWA196637:LWC196637 MFW196637:MFY196637 MPS196637:MPU196637 MZO196637:MZQ196637 NJK196637:NJM196637 NTG196637:NTI196637 ODC196637:ODE196637 OMY196637:ONA196637 OWU196637:OWW196637 PGQ196637:PGS196637 PQM196637:PQO196637 QAI196637:QAK196637 QKE196637:QKG196637 QUA196637:QUC196637 RDW196637:RDY196637 RNS196637:RNU196637 RXO196637:RXQ196637 SHK196637:SHM196637 SRG196637:SRI196637 TBC196637:TBE196637 TKY196637:TLA196637 TUU196637:TUW196637 UEQ196637:UES196637 UOM196637:UOO196637 UYI196637:UYK196637 VIE196637:VIG196637 VSA196637:VSC196637 WBW196637:WBY196637 WLS196637:WLU196637 WVO196637:WVQ196637 G262173:I262173 JC262173:JE262173 SY262173:TA262173 ACU262173:ACW262173 AMQ262173:AMS262173 AWM262173:AWO262173 BGI262173:BGK262173 BQE262173:BQG262173 CAA262173:CAC262173 CJW262173:CJY262173 CTS262173:CTU262173 DDO262173:DDQ262173 DNK262173:DNM262173 DXG262173:DXI262173 EHC262173:EHE262173 EQY262173:ERA262173 FAU262173:FAW262173 FKQ262173:FKS262173 FUM262173:FUO262173 GEI262173:GEK262173 GOE262173:GOG262173 GYA262173:GYC262173 HHW262173:HHY262173 HRS262173:HRU262173 IBO262173:IBQ262173 ILK262173:ILM262173 IVG262173:IVI262173 JFC262173:JFE262173 JOY262173:JPA262173 JYU262173:JYW262173 KIQ262173:KIS262173 KSM262173:KSO262173 LCI262173:LCK262173 LME262173:LMG262173 LWA262173:LWC262173 MFW262173:MFY262173 MPS262173:MPU262173 MZO262173:MZQ262173 NJK262173:NJM262173 NTG262173:NTI262173 ODC262173:ODE262173 OMY262173:ONA262173 OWU262173:OWW262173 PGQ262173:PGS262173 PQM262173:PQO262173 QAI262173:QAK262173 QKE262173:QKG262173 QUA262173:QUC262173 RDW262173:RDY262173 RNS262173:RNU262173 RXO262173:RXQ262173 SHK262173:SHM262173 SRG262173:SRI262173 TBC262173:TBE262173 TKY262173:TLA262173 TUU262173:TUW262173 UEQ262173:UES262173 UOM262173:UOO262173 UYI262173:UYK262173 VIE262173:VIG262173 VSA262173:VSC262173 WBW262173:WBY262173 WLS262173:WLU262173 WVO262173:WVQ262173 G327709:I327709 JC327709:JE327709 SY327709:TA327709 ACU327709:ACW327709 AMQ327709:AMS327709 AWM327709:AWO327709 BGI327709:BGK327709 BQE327709:BQG327709 CAA327709:CAC327709 CJW327709:CJY327709 CTS327709:CTU327709 DDO327709:DDQ327709 DNK327709:DNM327709 DXG327709:DXI327709 EHC327709:EHE327709 EQY327709:ERA327709 FAU327709:FAW327709 FKQ327709:FKS327709 FUM327709:FUO327709 GEI327709:GEK327709 GOE327709:GOG327709 GYA327709:GYC327709 HHW327709:HHY327709 HRS327709:HRU327709 IBO327709:IBQ327709 ILK327709:ILM327709 IVG327709:IVI327709 JFC327709:JFE327709 JOY327709:JPA327709 JYU327709:JYW327709 KIQ327709:KIS327709 KSM327709:KSO327709 LCI327709:LCK327709 LME327709:LMG327709 LWA327709:LWC327709 MFW327709:MFY327709 MPS327709:MPU327709 MZO327709:MZQ327709 NJK327709:NJM327709 NTG327709:NTI327709 ODC327709:ODE327709 OMY327709:ONA327709 OWU327709:OWW327709 PGQ327709:PGS327709 PQM327709:PQO327709 QAI327709:QAK327709 QKE327709:QKG327709 QUA327709:QUC327709 RDW327709:RDY327709 RNS327709:RNU327709 RXO327709:RXQ327709 SHK327709:SHM327709 SRG327709:SRI327709 TBC327709:TBE327709 TKY327709:TLA327709 TUU327709:TUW327709 UEQ327709:UES327709 UOM327709:UOO327709 UYI327709:UYK327709 VIE327709:VIG327709 VSA327709:VSC327709 WBW327709:WBY327709 WLS327709:WLU327709 WVO327709:WVQ327709 G393245:I393245 JC393245:JE393245 SY393245:TA393245 ACU393245:ACW393245 AMQ393245:AMS393245 AWM393245:AWO393245 BGI393245:BGK393245 BQE393245:BQG393245 CAA393245:CAC393245 CJW393245:CJY393245 CTS393245:CTU393245 DDO393245:DDQ393245 DNK393245:DNM393245 DXG393245:DXI393245 EHC393245:EHE393245 EQY393245:ERA393245 FAU393245:FAW393245 FKQ393245:FKS393245 FUM393245:FUO393245 GEI393245:GEK393245 GOE393245:GOG393245 GYA393245:GYC393245 HHW393245:HHY393245 HRS393245:HRU393245 IBO393245:IBQ393245 ILK393245:ILM393245 IVG393245:IVI393245 JFC393245:JFE393245 JOY393245:JPA393245 JYU393245:JYW393245 KIQ393245:KIS393245 KSM393245:KSO393245 LCI393245:LCK393245 LME393245:LMG393245 LWA393245:LWC393245 MFW393245:MFY393245 MPS393245:MPU393245 MZO393245:MZQ393245 NJK393245:NJM393245 NTG393245:NTI393245 ODC393245:ODE393245 OMY393245:ONA393245 OWU393245:OWW393245 PGQ393245:PGS393245 PQM393245:PQO393245 QAI393245:QAK393245 QKE393245:QKG393245 QUA393245:QUC393245 RDW393245:RDY393245 RNS393245:RNU393245 RXO393245:RXQ393245 SHK393245:SHM393245 SRG393245:SRI393245 TBC393245:TBE393245 TKY393245:TLA393245 TUU393245:TUW393245 UEQ393245:UES393245 UOM393245:UOO393245 UYI393245:UYK393245 VIE393245:VIG393245 VSA393245:VSC393245 WBW393245:WBY393245 WLS393245:WLU393245 WVO393245:WVQ393245 G458781:I458781 JC458781:JE458781 SY458781:TA458781 ACU458781:ACW458781 AMQ458781:AMS458781 AWM458781:AWO458781 BGI458781:BGK458781 BQE458781:BQG458781 CAA458781:CAC458781 CJW458781:CJY458781 CTS458781:CTU458781 DDO458781:DDQ458781 DNK458781:DNM458781 DXG458781:DXI458781 EHC458781:EHE458781 EQY458781:ERA458781 FAU458781:FAW458781 FKQ458781:FKS458781 FUM458781:FUO458781 GEI458781:GEK458781 GOE458781:GOG458781 GYA458781:GYC458781 HHW458781:HHY458781 HRS458781:HRU458781 IBO458781:IBQ458781 ILK458781:ILM458781 IVG458781:IVI458781 JFC458781:JFE458781 JOY458781:JPA458781 JYU458781:JYW458781 KIQ458781:KIS458781 KSM458781:KSO458781 LCI458781:LCK458781 LME458781:LMG458781 LWA458781:LWC458781 MFW458781:MFY458781 MPS458781:MPU458781 MZO458781:MZQ458781 NJK458781:NJM458781 NTG458781:NTI458781 ODC458781:ODE458781 OMY458781:ONA458781 OWU458781:OWW458781 PGQ458781:PGS458781 PQM458781:PQO458781 QAI458781:QAK458781 QKE458781:QKG458781 QUA458781:QUC458781 RDW458781:RDY458781 RNS458781:RNU458781 RXO458781:RXQ458781 SHK458781:SHM458781 SRG458781:SRI458781 TBC458781:TBE458781 TKY458781:TLA458781 TUU458781:TUW458781 UEQ458781:UES458781 UOM458781:UOO458781 UYI458781:UYK458781 VIE458781:VIG458781 VSA458781:VSC458781 WBW458781:WBY458781 WLS458781:WLU458781 WVO458781:WVQ458781 G524317:I524317 JC524317:JE524317 SY524317:TA524317 ACU524317:ACW524317 AMQ524317:AMS524317 AWM524317:AWO524317 BGI524317:BGK524317 BQE524317:BQG524317 CAA524317:CAC524317 CJW524317:CJY524317 CTS524317:CTU524317 DDO524317:DDQ524317 DNK524317:DNM524317 DXG524317:DXI524317 EHC524317:EHE524317 EQY524317:ERA524317 FAU524317:FAW524317 FKQ524317:FKS524317 FUM524317:FUO524317 GEI524317:GEK524317 GOE524317:GOG524317 GYA524317:GYC524317 HHW524317:HHY524317 HRS524317:HRU524317 IBO524317:IBQ524317 ILK524317:ILM524317 IVG524317:IVI524317 JFC524317:JFE524317 JOY524317:JPA524317 JYU524317:JYW524317 KIQ524317:KIS524317 KSM524317:KSO524317 LCI524317:LCK524317 LME524317:LMG524317 LWA524317:LWC524317 MFW524317:MFY524317 MPS524317:MPU524317 MZO524317:MZQ524317 NJK524317:NJM524317 NTG524317:NTI524317 ODC524317:ODE524317 OMY524317:ONA524317 OWU524317:OWW524317 PGQ524317:PGS524317 PQM524317:PQO524317 QAI524317:QAK524317 QKE524317:QKG524317 QUA524317:QUC524317 RDW524317:RDY524317 RNS524317:RNU524317 RXO524317:RXQ524317 SHK524317:SHM524317 SRG524317:SRI524317 TBC524317:TBE524317 TKY524317:TLA524317 TUU524317:TUW524317 UEQ524317:UES524317 UOM524317:UOO524317 UYI524317:UYK524317 VIE524317:VIG524317 VSA524317:VSC524317 WBW524317:WBY524317 WLS524317:WLU524317 WVO524317:WVQ524317 G589853:I589853 JC589853:JE589853 SY589853:TA589853 ACU589853:ACW589853 AMQ589853:AMS589853 AWM589853:AWO589853 BGI589853:BGK589853 BQE589853:BQG589853 CAA589853:CAC589853 CJW589853:CJY589853 CTS589853:CTU589853 DDO589853:DDQ589853 DNK589853:DNM589853 DXG589853:DXI589853 EHC589853:EHE589853 EQY589853:ERA589853 FAU589853:FAW589853 FKQ589853:FKS589853 FUM589853:FUO589853 GEI589853:GEK589853 GOE589853:GOG589853 GYA589853:GYC589853 HHW589853:HHY589853 HRS589853:HRU589853 IBO589853:IBQ589853 ILK589853:ILM589853 IVG589853:IVI589853 JFC589853:JFE589853 JOY589853:JPA589853 JYU589853:JYW589853 KIQ589853:KIS589853 KSM589853:KSO589853 LCI589853:LCK589853 LME589853:LMG589853 LWA589853:LWC589853 MFW589853:MFY589853 MPS589853:MPU589853 MZO589853:MZQ589853 NJK589853:NJM589853 NTG589853:NTI589853 ODC589853:ODE589853 OMY589853:ONA589853 OWU589853:OWW589853 PGQ589853:PGS589853 PQM589853:PQO589853 QAI589853:QAK589853 QKE589853:QKG589853 QUA589853:QUC589853 RDW589853:RDY589853 RNS589853:RNU589853 RXO589853:RXQ589853 SHK589853:SHM589853 SRG589853:SRI589853 TBC589853:TBE589853 TKY589853:TLA589853 TUU589853:TUW589853 UEQ589853:UES589853 UOM589853:UOO589853 UYI589853:UYK589853 VIE589853:VIG589853 VSA589853:VSC589853 WBW589853:WBY589853 WLS589853:WLU589853 WVO589853:WVQ589853 G655389:I655389 JC655389:JE655389 SY655389:TA655389 ACU655389:ACW655389 AMQ655389:AMS655389 AWM655389:AWO655389 BGI655389:BGK655389 BQE655389:BQG655389 CAA655389:CAC655389 CJW655389:CJY655389 CTS655389:CTU655389 DDO655389:DDQ655389 DNK655389:DNM655389 DXG655389:DXI655389 EHC655389:EHE655389 EQY655389:ERA655389 FAU655389:FAW655389 FKQ655389:FKS655389 FUM655389:FUO655389 GEI655389:GEK655389 GOE655389:GOG655389 GYA655389:GYC655389 HHW655389:HHY655389 HRS655389:HRU655389 IBO655389:IBQ655389 ILK655389:ILM655389 IVG655389:IVI655389 JFC655389:JFE655389 JOY655389:JPA655389 JYU655389:JYW655389 KIQ655389:KIS655389 KSM655389:KSO655389 LCI655389:LCK655389 LME655389:LMG655389 LWA655389:LWC655389 MFW655389:MFY655389 MPS655389:MPU655389 MZO655389:MZQ655389 NJK655389:NJM655389 NTG655389:NTI655389 ODC655389:ODE655389 OMY655389:ONA655389 OWU655389:OWW655389 PGQ655389:PGS655389 PQM655389:PQO655389 QAI655389:QAK655389 QKE655389:QKG655389 QUA655389:QUC655389 RDW655389:RDY655389 RNS655389:RNU655389 RXO655389:RXQ655389 SHK655389:SHM655389 SRG655389:SRI655389 TBC655389:TBE655389 TKY655389:TLA655389 TUU655389:TUW655389 UEQ655389:UES655389 UOM655389:UOO655389 UYI655389:UYK655389 VIE655389:VIG655389 VSA655389:VSC655389 WBW655389:WBY655389 WLS655389:WLU655389 WVO655389:WVQ655389 G720925:I720925 JC720925:JE720925 SY720925:TA720925 ACU720925:ACW720925 AMQ720925:AMS720925 AWM720925:AWO720925 BGI720925:BGK720925 BQE720925:BQG720925 CAA720925:CAC720925 CJW720925:CJY720925 CTS720925:CTU720925 DDO720925:DDQ720925 DNK720925:DNM720925 DXG720925:DXI720925 EHC720925:EHE720925 EQY720925:ERA720925 FAU720925:FAW720925 FKQ720925:FKS720925 FUM720925:FUO720925 GEI720925:GEK720925 GOE720925:GOG720925 GYA720925:GYC720925 HHW720925:HHY720925 HRS720925:HRU720925 IBO720925:IBQ720925 ILK720925:ILM720925 IVG720925:IVI720925 JFC720925:JFE720925 JOY720925:JPA720925 JYU720925:JYW720925 KIQ720925:KIS720925 KSM720925:KSO720925 LCI720925:LCK720925 LME720925:LMG720925 LWA720925:LWC720925 MFW720925:MFY720925 MPS720925:MPU720925 MZO720925:MZQ720925 NJK720925:NJM720925 NTG720925:NTI720925 ODC720925:ODE720925 OMY720925:ONA720925 OWU720925:OWW720925 PGQ720925:PGS720925 PQM720925:PQO720925 QAI720925:QAK720925 QKE720925:QKG720925 QUA720925:QUC720925 RDW720925:RDY720925 RNS720925:RNU720925 RXO720925:RXQ720925 SHK720925:SHM720925 SRG720925:SRI720925 TBC720925:TBE720925 TKY720925:TLA720925 TUU720925:TUW720925 UEQ720925:UES720925 UOM720925:UOO720925 UYI720925:UYK720925 VIE720925:VIG720925 VSA720925:VSC720925 WBW720925:WBY720925 WLS720925:WLU720925 WVO720925:WVQ720925 G786461:I786461 JC786461:JE786461 SY786461:TA786461 ACU786461:ACW786461 AMQ786461:AMS786461 AWM786461:AWO786461 BGI786461:BGK786461 BQE786461:BQG786461 CAA786461:CAC786461 CJW786461:CJY786461 CTS786461:CTU786461 DDO786461:DDQ786461 DNK786461:DNM786461 DXG786461:DXI786461 EHC786461:EHE786461 EQY786461:ERA786461 FAU786461:FAW786461 FKQ786461:FKS786461 FUM786461:FUO786461 GEI786461:GEK786461 GOE786461:GOG786461 GYA786461:GYC786461 HHW786461:HHY786461 HRS786461:HRU786461 IBO786461:IBQ786461 ILK786461:ILM786461 IVG786461:IVI786461 JFC786461:JFE786461 JOY786461:JPA786461 JYU786461:JYW786461 KIQ786461:KIS786461 KSM786461:KSO786461 LCI786461:LCK786461 LME786461:LMG786461 LWA786461:LWC786461 MFW786461:MFY786461 MPS786461:MPU786461 MZO786461:MZQ786461 NJK786461:NJM786461 NTG786461:NTI786461 ODC786461:ODE786461 OMY786461:ONA786461 OWU786461:OWW786461 PGQ786461:PGS786461 PQM786461:PQO786461 QAI786461:QAK786461 QKE786461:QKG786461 QUA786461:QUC786461 RDW786461:RDY786461 RNS786461:RNU786461 RXO786461:RXQ786461 SHK786461:SHM786461 SRG786461:SRI786461 TBC786461:TBE786461 TKY786461:TLA786461 TUU786461:TUW786461 UEQ786461:UES786461 UOM786461:UOO786461 UYI786461:UYK786461 VIE786461:VIG786461 VSA786461:VSC786461 WBW786461:WBY786461 WLS786461:WLU786461 WVO786461:WVQ786461 G851997:I851997 JC851997:JE851997 SY851997:TA851997 ACU851997:ACW851997 AMQ851997:AMS851997 AWM851997:AWO851997 BGI851997:BGK851997 BQE851997:BQG851997 CAA851997:CAC851997 CJW851997:CJY851997 CTS851997:CTU851997 DDO851997:DDQ851997 DNK851997:DNM851997 DXG851997:DXI851997 EHC851997:EHE851997 EQY851997:ERA851997 FAU851997:FAW851997 FKQ851997:FKS851997 FUM851997:FUO851997 GEI851997:GEK851997 GOE851997:GOG851997 GYA851997:GYC851997 HHW851997:HHY851997 HRS851997:HRU851997 IBO851997:IBQ851997 ILK851997:ILM851997 IVG851997:IVI851997 JFC851997:JFE851997 JOY851997:JPA851997 JYU851997:JYW851997 KIQ851997:KIS851997 KSM851997:KSO851997 LCI851997:LCK851997 LME851997:LMG851997 LWA851997:LWC851997 MFW851997:MFY851997 MPS851997:MPU851997 MZO851997:MZQ851997 NJK851997:NJM851997 NTG851997:NTI851997 ODC851997:ODE851997 OMY851997:ONA851997 OWU851997:OWW851997 PGQ851997:PGS851997 PQM851997:PQO851997 QAI851997:QAK851997 QKE851997:QKG851997 QUA851997:QUC851997 RDW851997:RDY851997 RNS851997:RNU851997 RXO851997:RXQ851997 SHK851997:SHM851997 SRG851997:SRI851997 TBC851997:TBE851997 TKY851997:TLA851997 TUU851997:TUW851997 UEQ851997:UES851997 UOM851997:UOO851997 UYI851997:UYK851997 VIE851997:VIG851997 VSA851997:VSC851997 WBW851997:WBY851997 WLS851997:WLU851997 WVO851997:WVQ851997 G917533:I917533 JC917533:JE917533 SY917533:TA917533 ACU917533:ACW917533 AMQ917533:AMS917533 AWM917533:AWO917533 BGI917533:BGK917533 BQE917533:BQG917533 CAA917533:CAC917533 CJW917533:CJY917533 CTS917533:CTU917533 DDO917533:DDQ917533 DNK917533:DNM917533 DXG917533:DXI917533 EHC917533:EHE917533 EQY917533:ERA917533 FAU917533:FAW917533 FKQ917533:FKS917533 FUM917533:FUO917533 GEI917533:GEK917533 GOE917533:GOG917533 GYA917533:GYC917533 HHW917533:HHY917533 HRS917533:HRU917533 IBO917533:IBQ917533 ILK917533:ILM917533 IVG917533:IVI917533 JFC917533:JFE917533 JOY917533:JPA917533 JYU917533:JYW917533 KIQ917533:KIS917533 KSM917533:KSO917533 LCI917533:LCK917533 LME917533:LMG917533 LWA917533:LWC917533 MFW917533:MFY917533 MPS917533:MPU917533 MZO917533:MZQ917533 NJK917533:NJM917533 NTG917533:NTI917533 ODC917533:ODE917533 OMY917533:ONA917533 OWU917533:OWW917533 PGQ917533:PGS917533 PQM917533:PQO917533 QAI917533:QAK917533 QKE917533:QKG917533 QUA917533:QUC917533 RDW917533:RDY917533 RNS917533:RNU917533 RXO917533:RXQ917533 SHK917533:SHM917533 SRG917533:SRI917533 TBC917533:TBE917533 TKY917533:TLA917533 TUU917533:TUW917533 UEQ917533:UES917533 UOM917533:UOO917533 UYI917533:UYK917533 VIE917533:VIG917533 VSA917533:VSC917533 WBW917533:WBY917533 WLS917533:WLU917533 WVO917533:WVQ917533 G983069:I983069 JC983069:JE983069 SY983069:TA983069 ACU983069:ACW983069 AMQ983069:AMS983069 AWM983069:AWO983069 BGI983069:BGK983069 BQE983069:BQG983069 CAA983069:CAC983069 CJW983069:CJY983069 CTS983069:CTU983069 DDO983069:DDQ983069 DNK983069:DNM983069 DXG983069:DXI983069 EHC983069:EHE983069 EQY983069:ERA983069 FAU983069:FAW983069 FKQ983069:FKS983069 FUM983069:FUO983069 GEI983069:GEK983069 GOE983069:GOG983069 GYA983069:GYC983069 HHW983069:HHY983069 HRS983069:HRU983069 IBO983069:IBQ983069 ILK983069:ILM983069 IVG983069:IVI983069 JFC983069:JFE983069 JOY983069:JPA983069 JYU983069:JYW983069 KIQ983069:KIS983069 KSM983069:KSO983069 LCI983069:LCK983069 LME983069:LMG983069 LWA983069:LWC983069 MFW983069:MFY983069 MPS983069:MPU983069 MZO983069:MZQ983069 NJK983069:NJM983069 NTG983069:NTI983069 ODC983069:ODE983069 OMY983069:ONA983069 OWU983069:OWW983069 PGQ983069:PGS983069 PQM983069:PQO983069 QAI983069:QAK983069 QKE983069:QKG983069 QUA983069:QUC983069 RDW983069:RDY983069 RNS983069:RNU983069 RXO983069:RXQ983069 SHK983069:SHM983069 SRG983069:SRI983069 TBC983069:TBE983069 TKY983069:TLA983069 TUU983069:TUW983069 UEQ983069:UES983069 UOM983069:UOO983069 UYI983069:UYK983069 VIE983069:VIG983069 VSA983069:VSC983069 WBW983069:WBY983069 WLS983069:WLU983069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G90"/>
  <sheetViews>
    <sheetView zoomScale="75" zoomScaleNormal="75" zoomScaleSheetLayoutView="75" workbookViewId="0">
      <selection activeCell="V33" sqref="V33"/>
    </sheetView>
  </sheetViews>
  <sheetFormatPr defaultColWidth="8.75" defaultRowHeight="12.75"/>
  <cols>
    <col min="1" max="18" width="8.75" style="182"/>
    <col min="19" max="26" width="8.75" style="185"/>
    <col min="27" max="16384" width="8.75" style="182"/>
  </cols>
  <sheetData>
    <row r="1" spans="1:33" s="30" customFormat="1" ht="18.75">
      <c r="A1" s="334"/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S1" s="184"/>
      <c r="T1" s="184"/>
      <c r="U1" s="184"/>
      <c r="V1" s="184"/>
      <c r="W1" s="184"/>
      <c r="X1" s="184"/>
      <c r="Y1" s="184"/>
      <c r="Z1" s="184"/>
    </row>
    <row r="2" spans="1:33" ht="147" thickBot="1">
      <c r="A2" s="31" t="s">
        <v>14</v>
      </c>
      <c r="H2" s="335" t="e">
        <f>INDEX(W:W,MATCH($P$4,Z:Z,0))</f>
        <v>#N/A</v>
      </c>
      <c r="I2" s="335"/>
      <c r="J2" s="335"/>
      <c r="K2" s="335"/>
      <c r="L2" s="335"/>
      <c r="M2" s="335"/>
      <c r="N2" s="335"/>
      <c r="O2" s="335"/>
      <c r="U2" s="190" t="s">
        <v>398</v>
      </c>
    </row>
    <row r="3" spans="1:33" ht="42" customHeight="1">
      <c r="A3" s="32"/>
    </row>
    <row r="4" spans="1:33" ht="147" thickBot="1">
      <c r="A4" s="31" t="s">
        <v>15</v>
      </c>
      <c r="H4" s="335" t="e">
        <f>INDEX(X:X,MATCH($P$4,Z:Z,0))</f>
        <v>#N/A</v>
      </c>
      <c r="I4" s="335"/>
      <c r="J4" s="335"/>
      <c r="K4" s="335"/>
      <c r="L4" s="335"/>
      <c r="M4" s="335"/>
      <c r="N4" s="335"/>
      <c r="O4" s="335"/>
      <c r="P4" s="186">
        <v>5</v>
      </c>
      <c r="Q4" s="185" t="s">
        <v>397</v>
      </c>
    </row>
    <row r="5" spans="1:33" ht="42" customHeight="1"/>
    <row r="6" spans="1:33" ht="147" thickBot="1">
      <c r="A6" s="31" t="s">
        <v>7</v>
      </c>
      <c r="H6" s="335" t="e">
        <f>INDEX(Y:Y,MATCH($P$4,Z:Z,0))</f>
        <v>#N/A</v>
      </c>
      <c r="I6" s="335"/>
      <c r="J6" s="335"/>
      <c r="K6" s="335"/>
      <c r="L6" s="335"/>
      <c r="M6" s="335"/>
      <c r="N6" s="335"/>
      <c r="O6" s="335"/>
      <c r="V6" s="190" t="s">
        <v>399</v>
      </c>
    </row>
    <row r="10" spans="1:33" ht="35.25" thickBot="1">
      <c r="A10" s="33" t="s">
        <v>16</v>
      </c>
      <c r="H10" s="10"/>
      <c r="I10" s="10"/>
      <c r="J10" s="10"/>
      <c r="K10" s="10"/>
      <c r="L10" s="10"/>
      <c r="M10" s="10"/>
      <c r="N10" s="10"/>
      <c r="O10" s="10"/>
    </row>
    <row r="12" spans="1:33">
      <c r="V12" s="189"/>
      <c r="W12" s="189"/>
      <c r="X12" s="189"/>
      <c r="Y12" s="189"/>
      <c r="Z12" s="189"/>
    </row>
    <row r="13" spans="1:33">
      <c r="V13" s="189"/>
      <c r="W13" s="189"/>
      <c r="X13" s="189"/>
      <c r="Y13" s="189"/>
      <c r="Z13" s="189"/>
    </row>
    <row r="14" spans="1:33" ht="15">
      <c r="A14" s="187" t="s">
        <v>379</v>
      </c>
      <c r="B14" s="188"/>
      <c r="C14" s="183"/>
      <c r="D14" s="183"/>
      <c r="E14" s="183"/>
      <c r="F14" s="183"/>
      <c r="G14" s="183"/>
      <c r="H14" s="183"/>
      <c r="I14" s="183"/>
      <c r="J14" s="183"/>
      <c r="K14" s="183"/>
      <c r="L14" s="183"/>
      <c r="M14" s="336" t="s">
        <v>17</v>
      </c>
      <c r="N14" s="337"/>
      <c r="O14" s="337"/>
      <c r="P14" s="337"/>
      <c r="V14" s="189"/>
      <c r="W14" s="189"/>
      <c r="X14" s="189"/>
      <c r="Y14" s="189"/>
      <c r="Z14" s="189"/>
    </row>
    <row r="15" spans="1:33">
      <c r="S15" s="140"/>
      <c r="T15" s="140"/>
      <c r="U15" s="140"/>
      <c r="V15" s="271"/>
      <c r="W15" s="271" t="s">
        <v>378</v>
      </c>
      <c r="X15" s="271"/>
      <c r="Y15" s="271" t="s">
        <v>378</v>
      </c>
      <c r="Z15" s="189" t="str">
        <f>IF(W15&lt;&gt;"",1,"")</f>
        <v/>
      </c>
      <c r="AD15" s="271"/>
      <c r="AE15" s="185"/>
      <c r="AF15" s="185"/>
      <c r="AG15" s="185"/>
    </row>
    <row r="16" spans="1:33">
      <c r="R16" s="140">
        <v>1</v>
      </c>
      <c r="S16" s="140" t="str">
        <f>'09-54-01 BIC'!$B$11</f>
        <v/>
      </c>
      <c r="T16" s="140">
        <f>'09-54-01 BIC'!$B$12</f>
        <v>0</v>
      </c>
      <c r="U16" s="140" t="str">
        <f>'09-54-01 BIC'!$B$13</f>
        <v/>
      </c>
      <c r="V16"/>
      <c r="W16" t="s">
        <v>378</v>
      </c>
      <c r="X16"/>
      <c r="Y16" s="271" t="s">
        <v>378</v>
      </c>
      <c r="Z16" s="189" t="str">
        <f>IF(AND(W16&lt;&gt;0,W16&lt;&gt;""),Z15+1,"")</f>
        <v/>
      </c>
      <c r="AD16" s="271"/>
      <c r="AE16" s="185"/>
      <c r="AF16" s="185"/>
      <c r="AG16" s="185"/>
    </row>
    <row r="17" spans="18:33">
      <c r="R17" s="140">
        <v>1</v>
      </c>
      <c r="S17" s="140" t="str">
        <f>'09-54-01 BIC'!$B$15</f>
        <v/>
      </c>
      <c r="T17" s="140">
        <f>'09-54-01 BIC'!$B$16</f>
        <v>0</v>
      </c>
      <c r="U17" s="140" t="str">
        <f>'09-54-01 BIC'!$B$17</f>
        <v/>
      </c>
      <c r="V17" s="271"/>
      <c r="W17" s="271" t="s">
        <v>378</v>
      </c>
      <c r="X17" s="271"/>
      <c r="Y17" s="271" t="s">
        <v>378</v>
      </c>
      <c r="Z17" s="189" t="str">
        <f t="shared" ref="Z17:Z62" si="0">IF(AND(W17&lt;&gt;0,W17&lt;&gt;""),Z16+1,"")</f>
        <v/>
      </c>
      <c r="AD17" s="271"/>
      <c r="AE17" s="185"/>
      <c r="AF17" s="185"/>
      <c r="AG17" s="185"/>
    </row>
    <row r="18" spans="18:33">
      <c r="R18" s="140">
        <v>1</v>
      </c>
      <c r="S18" s="140" t="str">
        <f>'09-54-01 BIC'!$B$19</f>
        <v/>
      </c>
      <c r="T18" s="140">
        <f>'09-54-01 BIC'!$B$20</f>
        <v>0</v>
      </c>
      <c r="U18" s="140" t="str">
        <f>'09-54-01 BIC'!$B$21</f>
        <v/>
      </c>
      <c r="V18"/>
      <c r="W18" t="s">
        <v>378</v>
      </c>
      <c r="X18"/>
      <c r="Y18" s="271" t="s">
        <v>378</v>
      </c>
      <c r="Z18" s="189" t="str">
        <f t="shared" si="0"/>
        <v/>
      </c>
      <c r="AD18" s="271"/>
      <c r="AE18" s="185"/>
      <c r="AF18" s="185"/>
      <c r="AG18" s="185"/>
    </row>
    <row r="19" spans="18:33">
      <c r="R19" s="140">
        <v>1</v>
      </c>
      <c r="S19" s="140" t="str">
        <f>'09-54-01 BIC'!$B$23</f>
        <v/>
      </c>
      <c r="T19" s="140">
        <f>'09-54-01 BIC'!$B$24</f>
        <v>0</v>
      </c>
      <c r="U19" s="140" t="str">
        <f>'09-54-01 BIC'!$B$25</f>
        <v/>
      </c>
      <c r="V19"/>
      <c r="W19" t="s">
        <v>378</v>
      </c>
      <c r="X19"/>
      <c r="Y19" s="271" t="s">
        <v>378</v>
      </c>
      <c r="Z19" s="189" t="str">
        <f t="shared" si="0"/>
        <v/>
      </c>
      <c r="AD19" s="271"/>
      <c r="AE19" s="185"/>
      <c r="AF19" s="185"/>
      <c r="AG19" s="185"/>
    </row>
    <row r="20" spans="18:33">
      <c r="R20" s="140">
        <v>2</v>
      </c>
      <c r="S20" s="140" t="str">
        <f>'09-54-01 BIC'!$C$11</f>
        <v/>
      </c>
      <c r="T20" s="140">
        <f>'09-54-01 BIC'!$C$12</f>
        <v>0</v>
      </c>
      <c r="U20" s="140" t="str">
        <f>'09-54-01 BIC'!$C$13</f>
        <v/>
      </c>
      <c r="V20"/>
      <c r="W20" t="s">
        <v>378</v>
      </c>
      <c r="X20"/>
      <c r="Y20" s="271" t="s">
        <v>378</v>
      </c>
      <c r="Z20" s="189" t="str">
        <f t="shared" si="0"/>
        <v/>
      </c>
      <c r="AD20" s="271"/>
      <c r="AE20" s="185"/>
      <c r="AF20" s="185"/>
      <c r="AG20" s="185"/>
    </row>
    <row r="21" spans="18:33">
      <c r="R21" s="140">
        <v>2</v>
      </c>
      <c r="S21" s="140" t="str">
        <f>'09-54-01 BIC'!$C$15</f>
        <v/>
      </c>
      <c r="T21" s="140">
        <f>'09-54-01 BIC'!$C$16</f>
        <v>0</v>
      </c>
      <c r="U21" s="140" t="str">
        <f>'09-54-01 BIC'!$C$17</f>
        <v/>
      </c>
      <c r="V21"/>
      <c r="W21" t="s">
        <v>378</v>
      </c>
      <c r="X21"/>
      <c r="Y21" s="271" t="s">
        <v>378</v>
      </c>
      <c r="Z21" s="189" t="str">
        <f t="shared" si="0"/>
        <v/>
      </c>
      <c r="AD21" s="271"/>
      <c r="AE21" s="185"/>
      <c r="AF21" s="185"/>
      <c r="AG21" s="185"/>
    </row>
    <row r="22" spans="18:33">
      <c r="R22" s="140">
        <v>2</v>
      </c>
      <c r="S22" s="140" t="str">
        <f>'09-54-01 BIC'!$C$19</f>
        <v/>
      </c>
      <c r="T22" s="140">
        <f>'09-54-01 BIC'!$C$20</f>
        <v>0</v>
      </c>
      <c r="U22" s="140" t="str">
        <f>'09-54-01 BIC'!$C$21</f>
        <v/>
      </c>
      <c r="V22"/>
      <c r="W22" t="s">
        <v>378</v>
      </c>
      <c r="X22"/>
      <c r="Y22" s="271" t="s">
        <v>378</v>
      </c>
      <c r="Z22" s="189" t="str">
        <f t="shared" si="0"/>
        <v/>
      </c>
      <c r="AD22" s="271"/>
      <c r="AE22" s="185"/>
      <c r="AF22" s="185"/>
      <c r="AG22" s="185"/>
    </row>
    <row r="23" spans="18:33">
      <c r="R23" s="140">
        <v>2</v>
      </c>
      <c r="S23" s="140" t="str">
        <f>'09-54-01 BIC'!$C$23</f>
        <v/>
      </c>
      <c r="T23" s="140">
        <f>'09-54-01 BIC'!$C$24</f>
        <v>0</v>
      </c>
      <c r="U23" s="140" t="str">
        <f>'09-54-01 BIC'!$C$25</f>
        <v/>
      </c>
      <c r="V23"/>
      <c r="W23" t="s">
        <v>378</v>
      </c>
      <c r="X23"/>
      <c r="Y23" s="271" t="s">
        <v>378</v>
      </c>
      <c r="Z23" s="189" t="str">
        <f t="shared" si="0"/>
        <v/>
      </c>
      <c r="AD23" s="271"/>
      <c r="AE23" s="185"/>
      <c r="AF23" s="185"/>
      <c r="AG23" s="185"/>
    </row>
    <row r="24" spans="18:33">
      <c r="R24" s="140">
        <v>3</v>
      </c>
      <c r="S24" s="140" t="str">
        <f>'09-54-01 BIC'!$D$11</f>
        <v/>
      </c>
      <c r="T24" s="140">
        <f>'09-54-01 BIC'!$D$12</f>
        <v>0</v>
      </c>
      <c r="U24" s="140" t="str">
        <f>'09-54-01 BIC'!$D$13</f>
        <v/>
      </c>
      <c r="V24"/>
      <c r="W24" t="s">
        <v>378</v>
      </c>
      <c r="X24"/>
      <c r="Y24" s="271" t="s">
        <v>378</v>
      </c>
      <c r="Z24" s="189" t="str">
        <f t="shared" si="0"/>
        <v/>
      </c>
      <c r="AD24" s="271"/>
      <c r="AE24" s="185"/>
      <c r="AF24" s="185"/>
      <c r="AG24" s="185"/>
    </row>
    <row r="25" spans="18:33">
      <c r="R25" s="140">
        <v>3</v>
      </c>
      <c r="S25" s="140" t="str">
        <f>'09-54-01 BIC'!$D$15</f>
        <v/>
      </c>
      <c r="T25" s="140">
        <f>'09-54-01 BIC'!$D$16</f>
        <v>0</v>
      </c>
      <c r="U25" s="140" t="str">
        <f>'09-54-01 BIC'!$D$17</f>
        <v/>
      </c>
      <c r="V25"/>
      <c r="W25" t="s">
        <v>378</v>
      </c>
      <c r="X25"/>
      <c r="Y25" s="271" t="s">
        <v>378</v>
      </c>
      <c r="Z25" s="189" t="str">
        <f t="shared" si="0"/>
        <v/>
      </c>
      <c r="AD25" s="271"/>
      <c r="AE25" s="185"/>
      <c r="AF25" s="185"/>
      <c r="AG25" s="185"/>
    </row>
    <row r="26" spans="18:33">
      <c r="R26" s="140">
        <v>3</v>
      </c>
      <c r="S26" s="140" t="str">
        <f>'09-54-01 BIC'!$D$19</f>
        <v/>
      </c>
      <c r="T26" s="140">
        <f>'09-54-01 BIC'!$D$20</f>
        <v>0</v>
      </c>
      <c r="U26" s="140" t="str">
        <f>'09-54-01 BIC'!$D$21</f>
        <v/>
      </c>
      <c r="V26"/>
      <c r="W26" t="s">
        <v>378</v>
      </c>
      <c r="X26"/>
      <c r="Y26" s="271" t="s">
        <v>378</v>
      </c>
      <c r="Z26" s="189" t="str">
        <f t="shared" si="0"/>
        <v/>
      </c>
      <c r="AD26" s="271"/>
      <c r="AE26" s="185"/>
      <c r="AF26" s="185"/>
      <c r="AG26" s="185"/>
    </row>
    <row r="27" spans="18:33">
      <c r="R27" s="140">
        <v>3</v>
      </c>
      <c r="S27" s="140" t="str">
        <f>'09-54-01 BIC'!$D$23</f>
        <v/>
      </c>
      <c r="T27" s="140">
        <f>'09-54-01 BIC'!$D$24</f>
        <v>0</v>
      </c>
      <c r="U27" s="140" t="str">
        <f>'09-54-01 BIC'!$D$25</f>
        <v/>
      </c>
      <c r="V27"/>
      <c r="W27" t="s">
        <v>378</v>
      </c>
      <c r="X27"/>
      <c r="Y27" s="271" t="s">
        <v>378</v>
      </c>
      <c r="Z27" s="189" t="str">
        <f t="shared" si="0"/>
        <v/>
      </c>
      <c r="AD27" s="271"/>
      <c r="AE27" s="185"/>
      <c r="AF27" s="185"/>
      <c r="AG27" s="185"/>
    </row>
    <row r="28" spans="18:33">
      <c r="R28" s="140">
        <v>4</v>
      </c>
      <c r="S28" s="140" t="str">
        <f>'09-54-01 BIC'!$E$11</f>
        <v/>
      </c>
      <c r="T28" s="140">
        <f>'09-54-01 BIC'!$E$12</f>
        <v>0</v>
      </c>
      <c r="U28" s="140" t="str">
        <f>'09-54-01 BIC'!$E$13</f>
        <v/>
      </c>
      <c r="V28"/>
      <c r="W28" t="s">
        <v>378</v>
      </c>
      <c r="X28"/>
      <c r="Y28" s="271" t="s">
        <v>378</v>
      </c>
      <c r="Z28" s="189" t="str">
        <f t="shared" si="0"/>
        <v/>
      </c>
      <c r="AD28" s="271"/>
      <c r="AE28" s="185"/>
      <c r="AF28" s="185"/>
      <c r="AG28" s="185"/>
    </row>
    <row r="29" spans="18:33">
      <c r="R29" s="140">
        <v>4</v>
      </c>
      <c r="S29" s="140" t="str">
        <f>'09-54-01 BIC'!$E$15</f>
        <v/>
      </c>
      <c r="T29" s="140">
        <f>'09-54-01 BIC'!$E$16</f>
        <v>0</v>
      </c>
      <c r="U29" s="140" t="str">
        <f>'09-54-01 BIC'!$E$17</f>
        <v/>
      </c>
      <c r="V29"/>
      <c r="W29" t="s">
        <v>378</v>
      </c>
      <c r="X29"/>
      <c r="Y29" s="271" t="s">
        <v>378</v>
      </c>
      <c r="Z29" s="189" t="str">
        <f t="shared" si="0"/>
        <v/>
      </c>
      <c r="AD29" s="271"/>
      <c r="AE29" s="185"/>
      <c r="AF29" s="185"/>
      <c r="AG29" s="185"/>
    </row>
    <row r="30" spans="18:33">
      <c r="R30" s="140">
        <v>4</v>
      </c>
      <c r="S30" s="140" t="str">
        <f>'09-54-01 BIC'!$E$19</f>
        <v/>
      </c>
      <c r="T30" s="140">
        <f>'09-54-01 BIC'!$E$20</f>
        <v>0</v>
      </c>
      <c r="U30" s="140" t="str">
        <f>'09-54-01 BIC'!$E$21</f>
        <v/>
      </c>
      <c r="V30"/>
      <c r="W30" t="s">
        <v>378</v>
      </c>
      <c r="X30"/>
      <c r="Y30" s="271" t="s">
        <v>378</v>
      </c>
      <c r="Z30" s="189" t="str">
        <f t="shared" si="0"/>
        <v/>
      </c>
      <c r="AD30" s="271"/>
      <c r="AE30" s="185"/>
      <c r="AF30" s="185"/>
      <c r="AG30" s="185"/>
    </row>
    <row r="31" spans="18:33">
      <c r="R31" s="140">
        <v>4</v>
      </c>
      <c r="S31" s="140" t="str">
        <f>'09-54-01 BIC'!$E$23</f>
        <v/>
      </c>
      <c r="T31" s="140">
        <f>'09-54-01 BIC'!$E$24</f>
        <v>0</v>
      </c>
      <c r="U31" s="140" t="str">
        <f>'09-54-01 BIC'!$E$25</f>
        <v/>
      </c>
      <c r="V31"/>
      <c r="W31" t="s">
        <v>378</v>
      </c>
      <c r="X31"/>
      <c r="Y31" s="271" t="s">
        <v>378</v>
      </c>
      <c r="Z31" s="189" t="str">
        <f t="shared" si="0"/>
        <v/>
      </c>
      <c r="AD31" s="271"/>
      <c r="AE31" s="185"/>
      <c r="AF31" s="185"/>
      <c r="AG31" s="185"/>
    </row>
    <row r="32" spans="18:33">
      <c r="R32" s="140">
        <v>5</v>
      </c>
      <c r="S32" s="140" t="str">
        <f>'09-54-01 BIC'!$F$11</f>
        <v/>
      </c>
      <c r="T32" s="140">
        <f>'09-54-01 BIC'!$F$12</f>
        <v>0</v>
      </c>
      <c r="U32" s="140" t="str">
        <f>'09-54-01 BIC'!$F$13</f>
        <v/>
      </c>
      <c r="V32"/>
      <c r="W32" t="s">
        <v>378</v>
      </c>
      <c r="X32"/>
      <c r="Y32" s="271" t="s">
        <v>378</v>
      </c>
      <c r="Z32" s="189" t="str">
        <f t="shared" si="0"/>
        <v/>
      </c>
      <c r="AD32" s="271"/>
      <c r="AE32" s="185"/>
      <c r="AF32" s="185"/>
      <c r="AG32" s="185"/>
    </row>
    <row r="33" spans="18:33">
      <c r="R33" s="140">
        <v>5</v>
      </c>
      <c r="S33" s="140" t="str">
        <f>'09-54-01 BIC'!$F$15</f>
        <v/>
      </c>
      <c r="T33" s="140">
        <f>'09-54-01 BIC'!$F$16</f>
        <v>0</v>
      </c>
      <c r="U33" s="140" t="str">
        <f>'09-54-01 BIC'!$F$17</f>
        <v/>
      </c>
      <c r="V33"/>
      <c r="W33" t="s">
        <v>378</v>
      </c>
      <c r="X33"/>
      <c r="Y33" s="271" t="s">
        <v>378</v>
      </c>
      <c r="Z33" s="189" t="str">
        <f t="shared" si="0"/>
        <v/>
      </c>
      <c r="AD33" s="271"/>
      <c r="AE33" s="185"/>
      <c r="AF33" s="185"/>
      <c r="AG33" s="185"/>
    </row>
    <row r="34" spans="18:33">
      <c r="R34" s="140">
        <v>5</v>
      </c>
      <c r="S34" s="140" t="str">
        <f>'09-54-01 BIC'!$F$19</f>
        <v/>
      </c>
      <c r="T34" s="140">
        <f>'09-54-01 BIC'!$F$20</f>
        <v>0</v>
      </c>
      <c r="U34" s="140" t="str">
        <f>'09-54-01 BIC'!$F$21</f>
        <v/>
      </c>
      <c r="V34"/>
      <c r="W34" t="s">
        <v>378</v>
      </c>
      <c r="X34"/>
      <c r="Y34" s="271" t="s">
        <v>378</v>
      </c>
      <c r="Z34" s="189" t="str">
        <f t="shared" si="0"/>
        <v/>
      </c>
      <c r="AD34" s="271"/>
      <c r="AE34" s="185"/>
      <c r="AF34" s="185"/>
      <c r="AG34" s="185"/>
    </row>
    <row r="35" spans="18:33">
      <c r="R35" s="140">
        <v>5</v>
      </c>
      <c r="S35" s="140" t="str">
        <f>'09-54-01 BIC'!$F$23</f>
        <v/>
      </c>
      <c r="T35" s="140">
        <f>'09-54-01 BIC'!$F$24</f>
        <v>0</v>
      </c>
      <c r="U35" s="140" t="str">
        <f>'09-54-01 BIC'!$F$25</f>
        <v/>
      </c>
      <c r="V35"/>
      <c r="W35" t="s">
        <v>378</v>
      </c>
      <c r="X35"/>
      <c r="Y35" s="271" t="s">
        <v>378</v>
      </c>
      <c r="Z35" s="189" t="str">
        <f t="shared" si="0"/>
        <v/>
      </c>
      <c r="AD35" s="271"/>
      <c r="AE35" s="185"/>
      <c r="AF35" s="185"/>
      <c r="AG35" s="185"/>
    </row>
    <row r="36" spans="18:33">
      <c r="R36" s="140">
        <v>6</v>
      </c>
      <c r="S36" s="140" t="str">
        <f>'09-54-01 BIC'!$G$11</f>
        <v/>
      </c>
      <c r="T36" s="140">
        <f>'09-54-01 BIC'!$G$12</f>
        <v>0</v>
      </c>
      <c r="U36" s="140" t="str">
        <f>'09-54-01 BIC'!$G$13</f>
        <v/>
      </c>
      <c r="V36"/>
      <c r="W36" t="s">
        <v>378</v>
      </c>
      <c r="X36"/>
      <c r="Y36" s="271" t="s">
        <v>378</v>
      </c>
      <c r="Z36" s="189" t="str">
        <f t="shared" si="0"/>
        <v/>
      </c>
      <c r="AD36" s="271"/>
      <c r="AE36" s="185"/>
      <c r="AF36" s="185"/>
      <c r="AG36" s="185"/>
    </row>
    <row r="37" spans="18:33">
      <c r="R37" s="140">
        <v>6</v>
      </c>
      <c r="S37" s="140" t="str">
        <f>'09-54-01 BIC'!$G$15</f>
        <v/>
      </c>
      <c r="T37" s="140">
        <f>'09-54-01 BIC'!$G$16</f>
        <v>0</v>
      </c>
      <c r="U37" s="140" t="str">
        <f>'09-54-01 BIC'!$G$17</f>
        <v/>
      </c>
      <c r="V37"/>
      <c r="W37" t="s">
        <v>378</v>
      </c>
      <c r="X37"/>
      <c r="Y37" s="271" t="s">
        <v>378</v>
      </c>
      <c r="Z37" s="189" t="str">
        <f t="shared" si="0"/>
        <v/>
      </c>
      <c r="AD37" s="271"/>
      <c r="AE37" s="185"/>
      <c r="AF37" s="185"/>
      <c r="AG37" s="185"/>
    </row>
    <row r="38" spans="18:33">
      <c r="R38" s="140">
        <v>6</v>
      </c>
      <c r="S38" s="140" t="str">
        <f>'09-54-01 BIC'!$G$19</f>
        <v/>
      </c>
      <c r="T38" s="140">
        <f>'09-54-01 BIC'!$G$20</f>
        <v>0</v>
      </c>
      <c r="U38" s="140" t="str">
        <f>'09-54-01 BIC'!$G$21</f>
        <v/>
      </c>
      <c r="V38"/>
      <c r="W38" t="s">
        <v>378</v>
      </c>
      <c r="X38"/>
      <c r="Y38" s="271" t="s">
        <v>378</v>
      </c>
      <c r="Z38" s="189" t="str">
        <f t="shared" si="0"/>
        <v/>
      </c>
      <c r="AD38" s="271"/>
      <c r="AE38" s="185"/>
      <c r="AF38" s="185"/>
      <c r="AG38" s="185"/>
    </row>
    <row r="39" spans="18:33">
      <c r="R39" s="140">
        <v>6</v>
      </c>
      <c r="S39" s="140" t="str">
        <f>'09-54-01 BIC'!$G$23</f>
        <v/>
      </c>
      <c r="T39" s="140">
        <f>'09-54-01 BIC'!$G$24</f>
        <v>0</v>
      </c>
      <c r="U39" s="140" t="str">
        <f>'09-54-01 BIC'!$G$25</f>
        <v/>
      </c>
      <c r="V39"/>
      <c r="W39" t="s">
        <v>378</v>
      </c>
      <c r="X39"/>
      <c r="Y39" s="271" t="s">
        <v>378</v>
      </c>
      <c r="Z39" s="189" t="str">
        <f t="shared" si="0"/>
        <v/>
      </c>
      <c r="AD39" s="271"/>
      <c r="AE39" s="185"/>
      <c r="AF39" s="185"/>
      <c r="AG39" s="185"/>
    </row>
    <row r="40" spans="18:33">
      <c r="R40" s="140">
        <v>7</v>
      </c>
      <c r="S40" s="140" t="str">
        <f>'09-54-01 BIC'!$H$11</f>
        <v/>
      </c>
      <c r="T40" s="140">
        <f>'09-54-01 BIC'!$H$12</f>
        <v>0</v>
      </c>
      <c r="U40" s="140" t="str">
        <f>'09-54-01 BIC'!$H$13</f>
        <v/>
      </c>
      <c r="V40"/>
      <c r="W40" t="s">
        <v>378</v>
      </c>
      <c r="X40"/>
      <c r="Y40" s="271" t="s">
        <v>378</v>
      </c>
      <c r="Z40" s="189" t="str">
        <f t="shared" si="0"/>
        <v/>
      </c>
      <c r="AD40" s="271"/>
      <c r="AE40" s="185"/>
      <c r="AF40" s="185"/>
      <c r="AG40" s="185"/>
    </row>
    <row r="41" spans="18:33">
      <c r="R41" s="140">
        <v>7</v>
      </c>
      <c r="S41" s="140" t="str">
        <f>'09-54-01 BIC'!$H$15</f>
        <v/>
      </c>
      <c r="T41" s="140">
        <f>'09-54-01 BIC'!$H$16</f>
        <v>0</v>
      </c>
      <c r="U41" s="140" t="str">
        <f>'09-54-01 BIC'!$H$17</f>
        <v/>
      </c>
      <c r="V41"/>
      <c r="W41" t="s">
        <v>378</v>
      </c>
      <c r="X41"/>
      <c r="Y41" s="271" t="s">
        <v>378</v>
      </c>
      <c r="Z41" s="189" t="str">
        <f t="shared" si="0"/>
        <v/>
      </c>
      <c r="AD41" s="271"/>
      <c r="AE41" s="185"/>
      <c r="AF41" s="185"/>
      <c r="AG41" s="185"/>
    </row>
    <row r="42" spans="18:33">
      <c r="R42" s="140">
        <v>7</v>
      </c>
      <c r="S42" s="140" t="str">
        <f>'09-54-01 BIC'!$H$19</f>
        <v/>
      </c>
      <c r="T42" s="140">
        <f>'09-54-01 BIC'!$H$20</f>
        <v>0</v>
      </c>
      <c r="U42" s="140" t="str">
        <f>'09-54-01 BIC'!$H$21</f>
        <v/>
      </c>
      <c r="V42"/>
      <c r="W42" t="s">
        <v>378</v>
      </c>
      <c r="X42"/>
      <c r="Y42" s="271" t="s">
        <v>378</v>
      </c>
      <c r="Z42" s="189" t="str">
        <f t="shared" si="0"/>
        <v/>
      </c>
      <c r="AD42" s="271"/>
      <c r="AE42" s="185"/>
      <c r="AF42" s="185"/>
      <c r="AG42" s="185"/>
    </row>
    <row r="43" spans="18:33">
      <c r="R43" s="140">
        <v>7</v>
      </c>
      <c r="S43" s="140" t="str">
        <f>'09-54-01 BIC'!$H$23</f>
        <v/>
      </c>
      <c r="T43" s="140">
        <f>'09-54-01 BIC'!$H$24</f>
        <v>0</v>
      </c>
      <c r="U43" s="140" t="str">
        <f>'09-54-01 BIC'!$H$25</f>
        <v/>
      </c>
      <c r="V43"/>
      <c r="W43" t="s">
        <v>378</v>
      </c>
      <c r="X43"/>
      <c r="Y43" s="271" t="s">
        <v>378</v>
      </c>
      <c r="Z43" s="189" t="str">
        <f t="shared" si="0"/>
        <v/>
      </c>
      <c r="AD43" s="271"/>
      <c r="AE43" s="185" t="str">
        <f>'09-54-01 BIC'!$H$15</f>
        <v/>
      </c>
      <c r="AF43" s="185"/>
      <c r="AG43" s="185" t="str">
        <f>'09-54-01 BIC'!$H$17</f>
        <v/>
      </c>
    </row>
    <row r="44" spans="18:33">
      <c r="R44" s="140">
        <v>8</v>
      </c>
      <c r="S44" s="140" t="str">
        <f>'09-54-01 BIC'!$I$11</f>
        <v/>
      </c>
      <c r="T44" s="140">
        <f>'09-54-01 BIC'!$I$12</f>
        <v>0</v>
      </c>
      <c r="U44" s="140" t="str">
        <f>'09-54-01 BIC'!$I$13</f>
        <v/>
      </c>
      <c r="V44"/>
      <c r="W44" t="s">
        <v>378</v>
      </c>
      <c r="X44"/>
      <c r="Y44" s="271" t="s">
        <v>378</v>
      </c>
      <c r="Z44" s="189" t="str">
        <f t="shared" si="0"/>
        <v/>
      </c>
      <c r="AD44" s="271"/>
      <c r="AE44" s="185" t="str">
        <f>'09-54-01 BIC'!$H$19</f>
        <v/>
      </c>
      <c r="AF44" s="185"/>
      <c r="AG44" s="185" t="str">
        <f>'09-54-01 BIC'!$H$21</f>
        <v/>
      </c>
    </row>
    <row r="45" spans="18:33">
      <c r="R45" s="140">
        <v>8</v>
      </c>
      <c r="S45" s="140" t="str">
        <f>'09-54-01 BIC'!$I$15</f>
        <v/>
      </c>
      <c r="T45" s="140">
        <f>'09-54-01 BIC'!$I$16</f>
        <v>0</v>
      </c>
      <c r="U45" s="140" t="str">
        <f>'09-54-01 BIC'!$I$17</f>
        <v/>
      </c>
      <c r="V45"/>
      <c r="W45" t="s">
        <v>378</v>
      </c>
      <c r="X45"/>
      <c r="Y45" s="271" t="s">
        <v>378</v>
      </c>
      <c r="Z45" s="189" t="str">
        <f t="shared" si="0"/>
        <v/>
      </c>
      <c r="AD45" s="271"/>
      <c r="AE45" s="185" t="str">
        <f>'09-54-01 BIC'!$H$23</f>
        <v/>
      </c>
      <c r="AF45" s="185"/>
      <c r="AG45" s="185" t="str">
        <f>'09-54-01 BIC'!$H$25</f>
        <v/>
      </c>
    </row>
    <row r="46" spans="18:33">
      <c r="R46" s="140">
        <v>8</v>
      </c>
      <c r="S46" s="140" t="str">
        <f>'09-54-01 BIC'!$I$19</f>
        <v/>
      </c>
      <c r="T46" s="140">
        <f>'09-54-01 BIC'!$I$20</f>
        <v>0</v>
      </c>
      <c r="U46" s="140" t="str">
        <f>'09-54-01 BIC'!$I$21</f>
        <v/>
      </c>
      <c r="V46"/>
      <c r="W46" t="s">
        <v>378</v>
      </c>
      <c r="X46"/>
      <c r="Y46" s="271" t="s">
        <v>378</v>
      </c>
      <c r="Z46" s="189" t="str">
        <f t="shared" si="0"/>
        <v/>
      </c>
      <c r="AD46" s="271"/>
      <c r="AE46" s="185" t="str">
        <f>'09-54-01 BIC'!$I$11</f>
        <v/>
      </c>
      <c r="AF46" s="185"/>
      <c r="AG46" s="185" t="str">
        <f>'09-54-01 BIC'!$I$13</f>
        <v/>
      </c>
    </row>
    <row r="47" spans="18:33">
      <c r="R47" s="140">
        <v>8</v>
      </c>
      <c r="S47" s="140" t="str">
        <f>'09-54-01 BIC'!$I$23</f>
        <v/>
      </c>
      <c r="T47" s="140">
        <f>'09-54-01 BIC'!$I$24</f>
        <v>0</v>
      </c>
      <c r="U47" s="140" t="str">
        <f>'09-54-01 BIC'!$I$25</f>
        <v/>
      </c>
      <c r="V47"/>
      <c r="W47" t="s">
        <v>378</v>
      </c>
      <c r="X47"/>
      <c r="Y47" s="271" t="s">
        <v>378</v>
      </c>
      <c r="Z47" s="189" t="str">
        <f t="shared" si="0"/>
        <v/>
      </c>
      <c r="AD47" s="271"/>
      <c r="AE47" s="185" t="str">
        <f>'09-54-01 BIC'!$I$15</f>
        <v/>
      </c>
      <c r="AF47" s="185"/>
      <c r="AG47" s="185" t="str">
        <f>'09-54-01 BIC'!$I$17</f>
        <v/>
      </c>
    </row>
    <row r="48" spans="18:33">
      <c r="R48" s="140">
        <v>9</v>
      </c>
      <c r="S48" s="140" t="str">
        <f>'09-54-01 BIC'!$J$11</f>
        <v/>
      </c>
      <c r="T48" s="140">
        <f>'09-54-01 BIC'!$J$12</f>
        <v>0</v>
      </c>
      <c r="U48" s="140" t="str">
        <f>'09-54-01 BIC'!$J$13</f>
        <v/>
      </c>
      <c r="V48"/>
      <c r="W48" t="s">
        <v>378</v>
      </c>
      <c r="X48"/>
      <c r="Y48" s="271" t="s">
        <v>378</v>
      </c>
      <c r="Z48" s="189" t="str">
        <f t="shared" si="0"/>
        <v/>
      </c>
      <c r="AD48" s="271"/>
      <c r="AE48" s="185" t="str">
        <f>'09-54-01 BIC'!$I$19</f>
        <v/>
      </c>
      <c r="AF48" s="185"/>
      <c r="AG48" s="185" t="str">
        <f>'09-54-01 BIC'!$I$21</f>
        <v/>
      </c>
    </row>
    <row r="49" spans="18:33">
      <c r="R49" s="140">
        <v>9</v>
      </c>
      <c r="S49" s="140" t="str">
        <f>'09-54-01 BIC'!$J$15</f>
        <v/>
      </c>
      <c r="T49" s="140">
        <f>'09-54-01 BIC'!$J$16</f>
        <v>0</v>
      </c>
      <c r="U49" s="140" t="str">
        <f>'09-54-01 BIC'!$J$17</f>
        <v/>
      </c>
      <c r="V49"/>
      <c r="W49" t="s">
        <v>378</v>
      </c>
      <c r="X49"/>
      <c r="Y49" s="271" t="s">
        <v>378</v>
      </c>
      <c r="Z49" s="189" t="str">
        <f t="shared" si="0"/>
        <v/>
      </c>
      <c r="AD49" s="271"/>
      <c r="AE49" s="185" t="str">
        <f>'09-54-01 BIC'!$I$23</f>
        <v/>
      </c>
      <c r="AF49" s="185"/>
      <c r="AG49" s="185" t="str">
        <f>'09-54-01 BIC'!$I$25</f>
        <v/>
      </c>
    </row>
    <row r="50" spans="18:33">
      <c r="R50" s="140">
        <v>9</v>
      </c>
      <c r="S50" s="140" t="str">
        <f>'09-54-01 BIC'!$J$19</f>
        <v/>
      </c>
      <c r="T50" s="140">
        <f>'09-54-01 BIC'!$J$20</f>
        <v>0</v>
      </c>
      <c r="U50" s="140" t="str">
        <f>'09-54-01 BIC'!$J$21</f>
        <v/>
      </c>
      <c r="V50"/>
      <c r="W50" t="s">
        <v>378</v>
      </c>
      <c r="X50"/>
      <c r="Y50" s="271" t="s">
        <v>378</v>
      </c>
      <c r="Z50" s="189" t="str">
        <f t="shared" si="0"/>
        <v/>
      </c>
      <c r="AD50" s="271"/>
      <c r="AE50" s="185" t="str">
        <f>'09-54-01 BIC'!$J$11</f>
        <v/>
      </c>
      <c r="AF50" s="185"/>
      <c r="AG50" s="185" t="str">
        <f>'09-54-01 BIC'!$J$13</f>
        <v/>
      </c>
    </row>
    <row r="51" spans="18:33">
      <c r="R51" s="140">
        <v>9</v>
      </c>
      <c r="S51" s="140" t="str">
        <f>'09-54-01 BIC'!$J$23</f>
        <v/>
      </c>
      <c r="T51" s="140">
        <f>'09-54-01 BIC'!$J$24</f>
        <v>0</v>
      </c>
      <c r="U51" s="140" t="str">
        <f>'09-54-01 BIC'!$J$25</f>
        <v/>
      </c>
      <c r="V51"/>
      <c r="W51" t="s">
        <v>378</v>
      </c>
      <c r="X51"/>
      <c r="Y51" s="271" t="s">
        <v>378</v>
      </c>
      <c r="Z51" s="189" t="str">
        <f t="shared" si="0"/>
        <v/>
      </c>
      <c r="AD51" s="271"/>
      <c r="AE51" s="185" t="str">
        <f>'09-54-01 BIC'!$J$15</f>
        <v/>
      </c>
      <c r="AF51" s="185"/>
      <c r="AG51" s="185" t="str">
        <f>'09-54-01 BIC'!$J$17</f>
        <v/>
      </c>
    </row>
    <row r="52" spans="18:33">
      <c r="R52" s="140">
        <v>10</v>
      </c>
      <c r="S52" s="140" t="str">
        <f>'09-54-01 BIC'!$K$11</f>
        <v/>
      </c>
      <c r="T52" s="140">
        <f>'09-54-01 BIC'!$K$12</f>
        <v>0</v>
      </c>
      <c r="U52" s="140" t="str">
        <f>'09-54-01 BIC'!$K$13</f>
        <v/>
      </c>
      <c r="V52"/>
      <c r="W52" t="s">
        <v>378</v>
      </c>
      <c r="X52"/>
      <c r="Y52" s="271" t="s">
        <v>378</v>
      </c>
      <c r="Z52" s="189" t="str">
        <f t="shared" si="0"/>
        <v/>
      </c>
      <c r="AD52" s="271"/>
      <c r="AE52" s="185" t="str">
        <f>'09-54-01 BIC'!$J$19</f>
        <v/>
      </c>
      <c r="AF52" s="185"/>
      <c r="AG52" s="185" t="str">
        <f>'09-54-01 BIC'!$J$21</f>
        <v/>
      </c>
    </row>
    <row r="53" spans="18:33">
      <c r="R53" s="140">
        <v>10</v>
      </c>
      <c r="S53" s="140" t="str">
        <f>'09-54-01 BIC'!$K$15</f>
        <v/>
      </c>
      <c r="T53" s="140">
        <f>'09-54-01 BIC'!$K$16</f>
        <v>0</v>
      </c>
      <c r="U53" s="140" t="str">
        <f>'09-54-01 BIC'!$K$17</f>
        <v/>
      </c>
      <c r="V53"/>
      <c r="W53" t="s">
        <v>378</v>
      </c>
      <c r="X53"/>
      <c r="Y53" s="271" t="s">
        <v>378</v>
      </c>
      <c r="Z53" s="189" t="str">
        <f t="shared" si="0"/>
        <v/>
      </c>
      <c r="AD53" s="271"/>
      <c r="AE53" s="185" t="str">
        <f>'09-54-01 BIC'!$J$23</f>
        <v/>
      </c>
      <c r="AF53" s="185"/>
      <c r="AG53" s="185" t="str">
        <f>'09-54-01 BIC'!$J$25</f>
        <v/>
      </c>
    </row>
    <row r="54" spans="18:33">
      <c r="R54" s="140">
        <v>10</v>
      </c>
      <c r="S54" s="140" t="str">
        <f>'09-54-01 BIC'!$K$19</f>
        <v/>
      </c>
      <c r="T54" s="140">
        <f>'09-54-01 BIC'!$K$20</f>
        <v>0</v>
      </c>
      <c r="U54" s="140" t="str">
        <f>'09-54-01 BIC'!$K$21</f>
        <v/>
      </c>
      <c r="V54"/>
      <c r="W54" t="s">
        <v>378</v>
      </c>
      <c r="X54"/>
      <c r="Y54" s="271" t="s">
        <v>378</v>
      </c>
      <c r="Z54" s="189" t="str">
        <f t="shared" si="0"/>
        <v/>
      </c>
      <c r="AD54" s="271"/>
      <c r="AE54" s="185" t="str">
        <f>'09-54-01 BIC'!$K$11</f>
        <v/>
      </c>
      <c r="AF54" s="185"/>
      <c r="AG54" s="185" t="str">
        <f>'09-54-01 BIC'!$K$13</f>
        <v/>
      </c>
    </row>
    <row r="55" spans="18:33">
      <c r="R55" s="140">
        <v>10</v>
      </c>
      <c r="S55" s="140" t="str">
        <f>'09-54-01 BIC'!$K$23</f>
        <v/>
      </c>
      <c r="T55" s="140">
        <f>'09-54-01 BIC'!$K$24</f>
        <v>0</v>
      </c>
      <c r="U55" s="140" t="str">
        <f>'09-54-01 BIC'!$K$25</f>
        <v/>
      </c>
      <c r="V55"/>
      <c r="W55" t="s">
        <v>378</v>
      </c>
      <c r="X55"/>
      <c r="Y55" s="271" t="s">
        <v>378</v>
      </c>
      <c r="Z55" s="189" t="str">
        <f t="shared" si="0"/>
        <v/>
      </c>
      <c r="AD55" s="271"/>
      <c r="AE55" s="185" t="str">
        <f>'09-54-01 BIC'!$K$15</f>
        <v/>
      </c>
      <c r="AF55" s="185"/>
      <c r="AG55" s="185" t="str">
        <f>'09-54-01 BIC'!$K$17</f>
        <v/>
      </c>
    </row>
    <row r="56" spans="18:33">
      <c r="R56" s="140">
        <v>11</v>
      </c>
      <c r="S56" s="140" t="str">
        <f>'09-54-01 BIC'!$L$11</f>
        <v/>
      </c>
      <c r="T56" s="140">
        <f>'09-54-01 BIC'!$L$12</f>
        <v>0</v>
      </c>
      <c r="U56" s="140" t="str">
        <f>'09-54-01 BIC'!$L$13</f>
        <v/>
      </c>
      <c r="V56"/>
      <c r="W56" t="s">
        <v>378</v>
      </c>
      <c r="X56"/>
      <c r="Y56" s="271" t="s">
        <v>378</v>
      </c>
      <c r="Z56" s="189" t="str">
        <f t="shared" si="0"/>
        <v/>
      </c>
      <c r="AD56" s="271"/>
      <c r="AE56" s="185" t="str">
        <f>'09-54-01 BIC'!$K$19</f>
        <v/>
      </c>
      <c r="AF56" s="185"/>
      <c r="AG56" s="185" t="str">
        <f>'09-54-01 BIC'!$K$21</f>
        <v/>
      </c>
    </row>
    <row r="57" spans="18:33">
      <c r="R57" s="140">
        <v>11</v>
      </c>
      <c r="S57" s="140" t="str">
        <f>'09-54-01 BIC'!$L$15</f>
        <v/>
      </c>
      <c r="T57" s="140">
        <f>'09-54-01 BIC'!$L$16</f>
        <v>0</v>
      </c>
      <c r="U57" s="140" t="str">
        <f>'09-54-01 BIC'!$L$17</f>
        <v/>
      </c>
      <c r="V57"/>
      <c r="W57" t="s">
        <v>378</v>
      </c>
      <c r="X57"/>
      <c r="Y57" s="271" t="s">
        <v>378</v>
      </c>
      <c r="Z57" s="189" t="str">
        <f t="shared" si="0"/>
        <v/>
      </c>
      <c r="AD57" s="271"/>
      <c r="AE57" s="185" t="str">
        <f>'09-54-01 BIC'!$K$23</f>
        <v/>
      </c>
      <c r="AF57" s="185"/>
      <c r="AG57" s="185" t="str">
        <f>'09-54-01 BIC'!$K$25</f>
        <v/>
      </c>
    </row>
    <row r="58" spans="18:33">
      <c r="R58" s="140">
        <v>11</v>
      </c>
      <c r="S58" s="140" t="str">
        <f>'09-54-01 BIC'!$L$19</f>
        <v/>
      </c>
      <c r="T58" s="140">
        <f>'09-54-01 BIC'!$L$20</f>
        <v>0</v>
      </c>
      <c r="U58" s="140" t="str">
        <f>'09-54-01 BIC'!$L$21</f>
        <v/>
      </c>
      <c r="V58"/>
      <c r="W58" t="s">
        <v>378</v>
      </c>
      <c r="X58"/>
      <c r="Y58" s="271" t="s">
        <v>378</v>
      </c>
      <c r="Z58" s="189" t="str">
        <f t="shared" si="0"/>
        <v/>
      </c>
      <c r="AD58" s="271"/>
      <c r="AE58" s="185" t="str">
        <f>'09-54-01 BIC'!$L$15</f>
        <v/>
      </c>
      <c r="AF58" s="185"/>
      <c r="AG58" s="185" t="str">
        <f>'09-54-01 BIC'!$L$17</f>
        <v/>
      </c>
    </row>
    <row r="59" spans="18:33">
      <c r="R59" s="140">
        <v>11</v>
      </c>
      <c r="S59" s="140" t="str">
        <f>'09-54-01 BIC'!$L$23</f>
        <v/>
      </c>
      <c r="T59" s="140">
        <f>'09-54-01 BIC'!$L$24</f>
        <v>0</v>
      </c>
      <c r="U59" s="140" t="str">
        <f>'09-54-01 BIC'!$L$25</f>
        <v/>
      </c>
      <c r="V59"/>
      <c r="W59" t="s">
        <v>378</v>
      </c>
      <c r="X59"/>
      <c r="Y59" s="271" t="s">
        <v>378</v>
      </c>
      <c r="Z59" s="189" t="str">
        <f t="shared" si="0"/>
        <v/>
      </c>
      <c r="AD59" s="271"/>
      <c r="AE59" s="185" t="str">
        <f>'09-54-01 BIC'!$L$19</f>
        <v/>
      </c>
      <c r="AF59" s="185"/>
      <c r="AG59" s="185" t="str">
        <f>'09-54-01 BIC'!$L$21</f>
        <v/>
      </c>
    </row>
    <row r="60" spans="18:33">
      <c r="R60" s="140">
        <v>12</v>
      </c>
      <c r="S60" s="140" t="str">
        <f>'09-54-01 BIC'!$M$11</f>
        <v/>
      </c>
      <c r="T60" s="140">
        <f>'09-54-01 BIC'!$M$12</f>
        <v>0</v>
      </c>
      <c r="U60" s="140" t="str">
        <f>'09-54-01 BIC'!$M$13</f>
        <v/>
      </c>
      <c r="V60"/>
      <c r="W60" t="s">
        <v>378</v>
      </c>
      <c r="X60"/>
      <c r="Y60" s="271" t="s">
        <v>378</v>
      </c>
      <c r="Z60" s="189" t="str">
        <f t="shared" si="0"/>
        <v/>
      </c>
      <c r="AD60" s="271"/>
      <c r="AE60" s="185" t="str">
        <f>'09-54-01 BIC'!$L$23</f>
        <v/>
      </c>
      <c r="AF60" s="185"/>
      <c r="AG60" s="185" t="str">
        <f>'09-54-01 BIC'!$L$25</f>
        <v/>
      </c>
    </row>
    <row r="61" spans="18:33">
      <c r="R61" s="140">
        <v>12</v>
      </c>
      <c r="S61" s="140" t="str">
        <f>'09-54-01 BIC'!$M$15</f>
        <v/>
      </c>
      <c r="T61" s="140">
        <f>'09-54-01 BIC'!$M$16</f>
        <v>0</v>
      </c>
      <c r="U61" s="140" t="str">
        <f>'09-54-01 BIC'!$M$17</f>
        <v/>
      </c>
      <c r="V61"/>
      <c r="W61" t="s">
        <v>378</v>
      </c>
      <c r="X61"/>
      <c r="Y61" s="271" t="s">
        <v>378</v>
      </c>
      <c r="Z61" s="189" t="str">
        <f t="shared" si="0"/>
        <v/>
      </c>
      <c r="AD61" s="271"/>
      <c r="AE61" s="185" t="str">
        <f>'09-54-01 BIC'!$M$15</f>
        <v/>
      </c>
      <c r="AF61" s="185"/>
      <c r="AG61" s="185" t="str">
        <f>'09-54-01 BIC'!$M$17</f>
        <v/>
      </c>
    </row>
    <row r="62" spans="18:33">
      <c r="R62" s="140">
        <v>12</v>
      </c>
      <c r="S62" s="140" t="str">
        <f>'09-54-01 BIC'!$M$19</f>
        <v/>
      </c>
      <c r="T62" s="140">
        <f>'09-54-01 BIC'!$M$20</f>
        <v>0</v>
      </c>
      <c r="U62" s="140" t="str">
        <f>'09-54-01 BIC'!$M$21</f>
        <v/>
      </c>
      <c r="V62"/>
      <c r="W62" t="s">
        <v>378</v>
      </c>
      <c r="X62"/>
      <c r="Y62" s="271" t="s">
        <v>378</v>
      </c>
      <c r="Z62" s="189" t="str">
        <f t="shared" si="0"/>
        <v/>
      </c>
      <c r="AD62" s="271"/>
      <c r="AE62" s="185" t="str">
        <f>'09-54-01 BIC'!$M$19</f>
        <v/>
      </c>
      <c r="AF62" s="185"/>
      <c r="AG62" s="185" t="str">
        <f>'09-54-01 BIC'!$M$21</f>
        <v/>
      </c>
    </row>
    <row r="63" spans="18:33">
      <c r="R63" s="140">
        <v>12</v>
      </c>
      <c r="S63" s="140" t="str">
        <f>'09-54-01 BIC'!$M$23</f>
        <v/>
      </c>
      <c r="T63" s="140">
        <f>'09-54-01 BIC'!$M$24</f>
        <v>0</v>
      </c>
      <c r="U63" s="140" t="str">
        <f>'09-54-01 BIC'!$M$25</f>
        <v/>
      </c>
      <c r="V63" s="189"/>
      <c r="W63" s="189"/>
      <c r="X63" s="189"/>
      <c r="Y63" s="189"/>
      <c r="Z63" s="189"/>
    </row>
    <row r="64" spans="18:33">
      <c r="V64" s="189"/>
      <c r="W64" s="189"/>
      <c r="X64" s="189"/>
      <c r="Y64" s="189"/>
      <c r="Z64" s="189"/>
    </row>
    <row r="65" spans="19:26">
      <c r="V65" s="189"/>
      <c r="W65" s="189"/>
      <c r="X65" s="189"/>
      <c r="Y65" s="189"/>
      <c r="Z65" s="189"/>
    </row>
    <row r="66" spans="19:26">
      <c r="V66" s="189"/>
      <c r="W66" s="189"/>
      <c r="X66" s="189"/>
      <c r="Y66" s="189"/>
      <c r="Z66" s="189"/>
    </row>
    <row r="67" spans="19:26">
      <c r="S67" s="140"/>
      <c r="T67" s="140"/>
      <c r="U67" s="140"/>
      <c r="V67" s="189"/>
      <c r="W67" s="189"/>
      <c r="X67" s="189"/>
      <c r="Y67" s="189"/>
      <c r="Z67" s="189"/>
    </row>
    <row r="68" spans="19:26">
      <c r="S68" s="140"/>
      <c r="T68" s="140"/>
      <c r="U68" s="140"/>
      <c r="V68" s="189"/>
      <c r="W68" s="189"/>
      <c r="X68" s="189"/>
      <c r="Y68" s="189"/>
      <c r="Z68" s="189"/>
    </row>
    <row r="69" spans="19:26">
      <c r="S69" s="140"/>
      <c r="T69" s="140"/>
      <c r="U69" s="140"/>
      <c r="V69" s="189"/>
      <c r="W69" s="189"/>
      <c r="X69" s="189"/>
      <c r="Y69" s="189"/>
      <c r="Z69" s="189"/>
    </row>
    <row r="70" spans="19:26">
      <c r="S70" s="140"/>
      <c r="T70" s="140"/>
      <c r="U70" s="140"/>
      <c r="V70" s="189"/>
      <c r="W70" s="189"/>
      <c r="X70" s="189"/>
      <c r="Y70" s="189"/>
      <c r="Z70" s="189"/>
    </row>
    <row r="71" spans="19:26">
      <c r="S71" s="140"/>
      <c r="T71" s="140"/>
      <c r="U71" s="140"/>
      <c r="V71" s="189"/>
      <c r="W71" s="189"/>
      <c r="X71" s="189"/>
      <c r="Y71" s="189"/>
      <c r="Z71" s="189"/>
    </row>
    <row r="72" spans="19:26">
      <c r="S72" s="140"/>
      <c r="T72" s="140"/>
      <c r="U72" s="140"/>
      <c r="V72" s="189"/>
      <c r="W72" s="189"/>
      <c r="X72" s="189"/>
      <c r="Y72" s="189"/>
      <c r="Z72" s="189"/>
    </row>
    <row r="73" spans="19:26">
      <c r="S73" s="140"/>
      <c r="T73" s="140"/>
      <c r="U73" s="140"/>
      <c r="V73" s="189"/>
      <c r="W73" s="189"/>
      <c r="X73" s="189"/>
      <c r="Y73" s="189"/>
      <c r="Z73" s="189"/>
    </row>
    <row r="74" spans="19:26">
      <c r="S74" s="140"/>
      <c r="T74" s="140"/>
      <c r="U74" s="140"/>
      <c r="V74" s="189"/>
      <c r="W74" s="189"/>
      <c r="X74" s="189"/>
      <c r="Y74" s="189"/>
      <c r="Z74" s="189"/>
    </row>
    <row r="75" spans="19:26">
      <c r="S75" s="140"/>
      <c r="T75" s="140"/>
      <c r="U75" s="140"/>
      <c r="V75" s="189"/>
      <c r="W75" s="189"/>
      <c r="X75" s="189"/>
      <c r="Y75" s="189"/>
      <c r="Z75" s="189"/>
    </row>
    <row r="76" spans="19:26">
      <c r="S76" s="140"/>
      <c r="T76" s="140"/>
      <c r="U76" s="140"/>
      <c r="V76" s="189"/>
      <c r="W76" s="189"/>
      <c r="X76" s="189"/>
      <c r="Y76" s="189"/>
      <c r="Z76" s="189"/>
    </row>
    <row r="77" spans="19:26">
      <c r="S77" s="140"/>
      <c r="T77" s="140"/>
      <c r="U77" s="140"/>
      <c r="V77" s="189"/>
      <c r="W77" s="189"/>
      <c r="X77" s="189"/>
      <c r="Y77" s="189"/>
      <c r="Z77" s="189"/>
    </row>
    <row r="78" spans="19:26">
      <c r="S78" s="140"/>
      <c r="T78" s="140"/>
      <c r="U78" s="140"/>
      <c r="V78" s="189"/>
      <c r="W78" s="189"/>
      <c r="X78" s="189"/>
      <c r="Y78" s="189"/>
      <c r="Z78" s="189"/>
    </row>
    <row r="79" spans="19:26">
      <c r="S79" s="140"/>
      <c r="T79" s="140"/>
      <c r="U79" s="140"/>
      <c r="V79" s="189"/>
      <c r="W79" s="189"/>
      <c r="X79" s="189"/>
      <c r="Y79" s="189"/>
      <c r="Z79" s="189"/>
    </row>
    <row r="80" spans="19:26">
      <c r="S80" s="140"/>
      <c r="T80" s="140"/>
      <c r="U80" s="140"/>
    </row>
    <row r="81" spans="19:21">
      <c r="S81" s="140"/>
      <c r="T81" s="140"/>
      <c r="U81" s="140"/>
    </row>
    <row r="82" spans="19:21">
      <c r="S82" s="140"/>
      <c r="T82" s="140"/>
      <c r="U82" s="140"/>
    </row>
    <row r="83" spans="19:21">
      <c r="S83" s="140"/>
      <c r="T83" s="140"/>
      <c r="U83" s="140"/>
    </row>
    <row r="84" spans="19:21">
      <c r="S84" s="140"/>
      <c r="T84" s="140"/>
      <c r="U84" s="140"/>
    </row>
    <row r="85" spans="19:21">
      <c r="S85" s="140"/>
      <c r="T85" s="140"/>
      <c r="U85" s="140"/>
    </row>
    <row r="86" spans="19:21">
      <c r="S86" s="140"/>
      <c r="T86" s="140"/>
      <c r="U86" s="140"/>
    </row>
    <row r="87" spans="19:21">
      <c r="S87" s="140"/>
      <c r="T87" s="140"/>
      <c r="U87" s="140"/>
    </row>
    <row r="88" spans="19:21">
      <c r="S88" s="140"/>
      <c r="T88" s="140"/>
      <c r="U88" s="140"/>
    </row>
    <row r="89" spans="19:21">
      <c r="S89" s="140"/>
      <c r="T89" s="140"/>
      <c r="U89" s="140"/>
    </row>
    <row r="90" spans="19:21">
      <c r="S90" s="140"/>
      <c r="T90" s="140"/>
      <c r="U90" s="140"/>
    </row>
  </sheetData>
  <sortState ref="V15:Y62">
    <sortCondition ref="V15:V62"/>
  </sortState>
  <mergeCells count="5">
    <mergeCell ref="A1:P1"/>
    <mergeCell ref="H2:O2"/>
    <mergeCell ref="H4:O4"/>
    <mergeCell ref="H6:O6"/>
    <mergeCell ref="M14:P14"/>
  </mergeCells>
  <dataValidations count="1">
    <dataValidation showInputMessage="1" showErrorMessage="1" sqref="H4:O4" xr:uid="{00000000-0002-0000-0500-000000000000}"/>
  </dataValidations>
  <printOptions horizontalCentered="1" verticalCentered="1"/>
  <pageMargins left="0.5" right="0.5" top="0.75" bottom="0.25" header="0.5" footer="0.5"/>
  <pageSetup scale="79" orientation="landscape" verticalDpi="300" r:id="rId1"/>
  <headerFooter alignWithMargins="0">
    <oddHeader>&amp;C&amp;"Times New Roman Baltic,Bold"&amp;24PALLET TAG</oddHeader>
  </headerFooter>
  <colBreaks count="1" manualBreakCount="1">
    <brk id="17" max="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loop_through_list">
                <anchor moveWithCells="1" sizeWithCells="1">
                  <from>
                    <xdr:col>17</xdr:col>
                    <xdr:colOff>19050</xdr:colOff>
                    <xdr:row>1</xdr:row>
                    <xdr:rowOff>704850</xdr:rowOff>
                  </from>
                  <to>
                    <xdr:col>19</xdr:col>
                    <xdr:colOff>485775</xdr:colOff>
                    <xdr:row>1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_loop_list">
                <anchor moveWithCells="1" sizeWithCells="1">
                  <from>
                    <xdr:col>18</xdr:col>
                    <xdr:colOff>57150</xdr:colOff>
                    <xdr:row>5</xdr:row>
                    <xdr:rowOff>647700</xdr:rowOff>
                  </from>
                  <to>
                    <xdr:col>20</xdr:col>
                    <xdr:colOff>409575</xdr:colOff>
                    <xdr:row>5</xdr:row>
                    <xdr:rowOff>1209675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CF52C-FFEB-4338-BBFE-F0F14C2CE5D2}">
  <sheetPr codeName="Sheet11"/>
  <dimension ref="B1:Q150"/>
  <sheetViews>
    <sheetView showGridLines="0" zoomScale="101" zoomScaleNormal="101" zoomScaleSheetLayoutView="75" workbookViewId="0">
      <selection activeCell="S55" sqref="S55"/>
    </sheetView>
  </sheetViews>
  <sheetFormatPr defaultRowHeight="14.25"/>
  <cols>
    <col min="1" max="1" width="2.125" style="216" customWidth="1"/>
    <col min="2" max="2" width="5.625" style="216" customWidth="1"/>
    <col min="3" max="3" width="6" style="216" customWidth="1"/>
    <col min="4" max="4" width="13.375" style="216" customWidth="1"/>
    <col min="5" max="5" width="9.625" style="216" customWidth="1"/>
    <col min="6" max="6" width="8.375" style="216" customWidth="1"/>
    <col min="7" max="7" width="7.375" style="216" customWidth="1"/>
    <col min="8" max="8" width="8.625" style="216"/>
    <col min="9" max="9" width="12" style="216" customWidth="1"/>
    <col min="10" max="10" width="8.625" style="216"/>
    <col min="11" max="11" width="11.375" style="216" customWidth="1"/>
    <col min="12" max="12" width="2" style="216" customWidth="1"/>
    <col min="13" max="14" width="8.625" style="216"/>
    <col min="15" max="17" width="8.625" style="254"/>
    <col min="18" max="256" width="8.625" style="216"/>
    <col min="257" max="257" width="2.125" style="216" customWidth="1"/>
    <col min="258" max="258" width="5.625" style="216" customWidth="1"/>
    <col min="259" max="259" width="6" style="216" customWidth="1"/>
    <col min="260" max="260" width="13.375" style="216" customWidth="1"/>
    <col min="261" max="261" width="9.625" style="216" customWidth="1"/>
    <col min="262" max="262" width="8.375" style="216" customWidth="1"/>
    <col min="263" max="263" width="7.375" style="216" customWidth="1"/>
    <col min="264" max="264" width="8.625" style="216"/>
    <col min="265" max="265" width="12" style="216" customWidth="1"/>
    <col min="266" max="266" width="8.625" style="216"/>
    <col min="267" max="267" width="11.375" style="216" customWidth="1"/>
    <col min="268" max="268" width="2" style="216" customWidth="1"/>
    <col min="269" max="512" width="8.625" style="216"/>
    <col min="513" max="513" width="2.125" style="216" customWidth="1"/>
    <col min="514" max="514" width="5.625" style="216" customWidth="1"/>
    <col min="515" max="515" width="6" style="216" customWidth="1"/>
    <col min="516" max="516" width="13.375" style="216" customWidth="1"/>
    <col min="517" max="517" width="9.625" style="216" customWidth="1"/>
    <col min="518" max="518" width="8.375" style="216" customWidth="1"/>
    <col min="519" max="519" width="7.375" style="216" customWidth="1"/>
    <col min="520" max="520" width="8.625" style="216"/>
    <col min="521" max="521" width="12" style="216" customWidth="1"/>
    <col min="522" max="522" width="8.625" style="216"/>
    <col min="523" max="523" width="11.375" style="216" customWidth="1"/>
    <col min="524" max="524" width="2" style="216" customWidth="1"/>
    <col min="525" max="768" width="8.625" style="216"/>
    <col min="769" max="769" width="2.125" style="216" customWidth="1"/>
    <col min="770" max="770" width="5.625" style="216" customWidth="1"/>
    <col min="771" max="771" width="6" style="216" customWidth="1"/>
    <col min="772" max="772" width="13.375" style="216" customWidth="1"/>
    <col min="773" max="773" width="9.625" style="216" customWidth="1"/>
    <col min="774" max="774" width="8.375" style="216" customWidth="1"/>
    <col min="775" max="775" width="7.375" style="216" customWidth="1"/>
    <col min="776" max="776" width="8.625" style="216"/>
    <col min="777" max="777" width="12" style="216" customWidth="1"/>
    <col min="778" max="778" width="8.625" style="216"/>
    <col min="779" max="779" width="11.375" style="216" customWidth="1"/>
    <col min="780" max="780" width="2" style="216" customWidth="1"/>
    <col min="781" max="1024" width="8.625" style="216"/>
    <col min="1025" max="1025" width="2.125" style="216" customWidth="1"/>
    <col min="1026" max="1026" width="5.625" style="216" customWidth="1"/>
    <col min="1027" max="1027" width="6" style="216" customWidth="1"/>
    <col min="1028" max="1028" width="13.375" style="216" customWidth="1"/>
    <col min="1029" max="1029" width="9.625" style="216" customWidth="1"/>
    <col min="1030" max="1030" width="8.375" style="216" customWidth="1"/>
    <col min="1031" max="1031" width="7.375" style="216" customWidth="1"/>
    <col min="1032" max="1032" width="8.625" style="216"/>
    <col min="1033" max="1033" width="12" style="216" customWidth="1"/>
    <col min="1034" max="1034" width="8.625" style="216"/>
    <col min="1035" max="1035" width="11.375" style="216" customWidth="1"/>
    <col min="1036" max="1036" width="2" style="216" customWidth="1"/>
    <col min="1037" max="1280" width="8.625" style="216"/>
    <col min="1281" max="1281" width="2.125" style="216" customWidth="1"/>
    <col min="1282" max="1282" width="5.625" style="216" customWidth="1"/>
    <col min="1283" max="1283" width="6" style="216" customWidth="1"/>
    <col min="1284" max="1284" width="13.375" style="216" customWidth="1"/>
    <col min="1285" max="1285" width="9.625" style="216" customWidth="1"/>
    <col min="1286" max="1286" width="8.375" style="216" customWidth="1"/>
    <col min="1287" max="1287" width="7.375" style="216" customWidth="1"/>
    <col min="1288" max="1288" width="8.625" style="216"/>
    <col min="1289" max="1289" width="12" style="216" customWidth="1"/>
    <col min="1290" max="1290" width="8.625" style="216"/>
    <col min="1291" max="1291" width="11.375" style="216" customWidth="1"/>
    <col min="1292" max="1292" width="2" style="216" customWidth="1"/>
    <col min="1293" max="1536" width="8.625" style="216"/>
    <col min="1537" max="1537" width="2.125" style="216" customWidth="1"/>
    <col min="1538" max="1538" width="5.625" style="216" customWidth="1"/>
    <col min="1539" max="1539" width="6" style="216" customWidth="1"/>
    <col min="1540" max="1540" width="13.375" style="216" customWidth="1"/>
    <col min="1541" max="1541" width="9.625" style="216" customWidth="1"/>
    <col min="1542" max="1542" width="8.375" style="216" customWidth="1"/>
    <col min="1543" max="1543" width="7.375" style="216" customWidth="1"/>
    <col min="1544" max="1544" width="8.625" style="216"/>
    <col min="1545" max="1545" width="12" style="216" customWidth="1"/>
    <col min="1546" max="1546" width="8.625" style="216"/>
    <col min="1547" max="1547" width="11.375" style="216" customWidth="1"/>
    <col min="1548" max="1548" width="2" style="216" customWidth="1"/>
    <col min="1549" max="1792" width="8.625" style="216"/>
    <col min="1793" max="1793" width="2.125" style="216" customWidth="1"/>
    <col min="1794" max="1794" width="5.625" style="216" customWidth="1"/>
    <col min="1795" max="1795" width="6" style="216" customWidth="1"/>
    <col min="1796" max="1796" width="13.375" style="216" customWidth="1"/>
    <col min="1797" max="1797" width="9.625" style="216" customWidth="1"/>
    <col min="1798" max="1798" width="8.375" style="216" customWidth="1"/>
    <col min="1799" max="1799" width="7.375" style="216" customWidth="1"/>
    <col min="1800" max="1800" width="8.625" style="216"/>
    <col min="1801" max="1801" width="12" style="216" customWidth="1"/>
    <col min="1802" max="1802" width="8.625" style="216"/>
    <col min="1803" max="1803" width="11.375" style="216" customWidth="1"/>
    <col min="1804" max="1804" width="2" style="216" customWidth="1"/>
    <col min="1805" max="2048" width="8.625" style="216"/>
    <col min="2049" max="2049" width="2.125" style="216" customWidth="1"/>
    <col min="2050" max="2050" width="5.625" style="216" customWidth="1"/>
    <col min="2051" max="2051" width="6" style="216" customWidth="1"/>
    <col min="2052" max="2052" width="13.375" style="216" customWidth="1"/>
    <col min="2053" max="2053" width="9.625" style="216" customWidth="1"/>
    <col min="2054" max="2054" width="8.375" style="216" customWidth="1"/>
    <col min="2055" max="2055" width="7.375" style="216" customWidth="1"/>
    <col min="2056" max="2056" width="8.625" style="216"/>
    <col min="2057" max="2057" width="12" style="216" customWidth="1"/>
    <col min="2058" max="2058" width="8.625" style="216"/>
    <col min="2059" max="2059" width="11.375" style="216" customWidth="1"/>
    <col min="2060" max="2060" width="2" style="216" customWidth="1"/>
    <col min="2061" max="2304" width="8.625" style="216"/>
    <col min="2305" max="2305" width="2.125" style="216" customWidth="1"/>
    <col min="2306" max="2306" width="5.625" style="216" customWidth="1"/>
    <col min="2307" max="2307" width="6" style="216" customWidth="1"/>
    <col min="2308" max="2308" width="13.375" style="216" customWidth="1"/>
    <col min="2309" max="2309" width="9.625" style="216" customWidth="1"/>
    <col min="2310" max="2310" width="8.375" style="216" customWidth="1"/>
    <col min="2311" max="2311" width="7.375" style="216" customWidth="1"/>
    <col min="2312" max="2312" width="8.625" style="216"/>
    <col min="2313" max="2313" width="12" style="216" customWidth="1"/>
    <col min="2314" max="2314" width="8.625" style="216"/>
    <col min="2315" max="2315" width="11.375" style="216" customWidth="1"/>
    <col min="2316" max="2316" width="2" style="216" customWidth="1"/>
    <col min="2317" max="2560" width="8.625" style="216"/>
    <col min="2561" max="2561" width="2.125" style="216" customWidth="1"/>
    <col min="2562" max="2562" width="5.625" style="216" customWidth="1"/>
    <col min="2563" max="2563" width="6" style="216" customWidth="1"/>
    <col min="2564" max="2564" width="13.375" style="216" customWidth="1"/>
    <col min="2565" max="2565" width="9.625" style="216" customWidth="1"/>
    <col min="2566" max="2566" width="8.375" style="216" customWidth="1"/>
    <col min="2567" max="2567" width="7.375" style="216" customWidth="1"/>
    <col min="2568" max="2568" width="8.625" style="216"/>
    <col min="2569" max="2569" width="12" style="216" customWidth="1"/>
    <col min="2570" max="2570" width="8.625" style="216"/>
    <col min="2571" max="2571" width="11.375" style="216" customWidth="1"/>
    <col min="2572" max="2572" width="2" style="216" customWidth="1"/>
    <col min="2573" max="2816" width="8.625" style="216"/>
    <col min="2817" max="2817" width="2.125" style="216" customWidth="1"/>
    <col min="2818" max="2818" width="5.625" style="216" customWidth="1"/>
    <col min="2819" max="2819" width="6" style="216" customWidth="1"/>
    <col min="2820" max="2820" width="13.375" style="216" customWidth="1"/>
    <col min="2821" max="2821" width="9.625" style="216" customWidth="1"/>
    <col min="2822" max="2822" width="8.375" style="216" customWidth="1"/>
    <col min="2823" max="2823" width="7.375" style="216" customWidth="1"/>
    <col min="2824" max="2824" width="8.625" style="216"/>
    <col min="2825" max="2825" width="12" style="216" customWidth="1"/>
    <col min="2826" max="2826" width="8.625" style="216"/>
    <col min="2827" max="2827" width="11.375" style="216" customWidth="1"/>
    <col min="2828" max="2828" width="2" style="216" customWidth="1"/>
    <col min="2829" max="3072" width="8.625" style="216"/>
    <col min="3073" max="3073" width="2.125" style="216" customWidth="1"/>
    <col min="3074" max="3074" width="5.625" style="216" customWidth="1"/>
    <col min="3075" max="3075" width="6" style="216" customWidth="1"/>
    <col min="3076" max="3076" width="13.375" style="216" customWidth="1"/>
    <col min="3077" max="3077" width="9.625" style="216" customWidth="1"/>
    <col min="3078" max="3078" width="8.375" style="216" customWidth="1"/>
    <col min="3079" max="3079" width="7.375" style="216" customWidth="1"/>
    <col min="3080" max="3080" width="8.625" style="216"/>
    <col min="3081" max="3081" width="12" style="216" customWidth="1"/>
    <col min="3082" max="3082" width="8.625" style="216"/>
    <col min="3083" max="3083" width="11.375" style="216" customWidth="1"/>
    <col min="3084" max="3084" width="2" style="216" customWidth="1"/>
    <col min="3085" max="3328" width="8.625" style="216"/>
    <col min="3329" max="3329" width="2.125" style="216" customWidth="1"/>
    <col min="3330" max="3330" width="5.625" style="216" customWidth="1"/>
    <col min="3331" max="3331" width="6" style="216" customWidth="1"/>
    <col min="3332" max="3332" width="13.375" style="216" customWidth="1"/>
    <col min="3333" max="3333" width="9.625" style="216" customWidth="1"/>
    <col min="3334" max="3334" width="8.375" style="216" customWidth="1"/>
    <col min="3335" max="3335" width="7.375" style="216" customWidth="1"/>
    <col min="3336" max="3336" width="8.625" style="216"/>
    <col min="3337" max="3337" width="12" style="216" customWidth="1"/>
    <col min="3338" max="3338" width="8.625" style="216"/>
    <col min="3339" max="3339" width="11.375" style="216" customWidth="1"/>
    <col min="3340" max="3340" width="2" style="216" customWidth="1"/>
    <col min="3341" max="3584" width="8.625" style="216"/>
    <col min="3585" max="3585" width="2.125" style="216" customWidth="1"/>
    <col min="3586" max="3586" width="5.625" style="216" customWidth="1"/>
    <col min="3587" max="3587" width="6" style="216" customWidth="1"/>
    <col min="3588" max="3588" width="13.375" style="216" customWidth="1"/>
    <col min="3589" max="3589" width="9.625" style="216" customWidth="1"/>
    <col min="3590" max="3590" width="8.375" style="216" customWidth="1"/>
    <col min="3591" max="3591" width="7.375" style="216" customWidth="1"/>
    <col min="3592" max="3592" width="8.625" style="216"/>
    <col min="3593" max="3593" width="12" style="216" customWidth="1"/>
    <col min="3594" max="3594" width="8.625" style="216"/>
    <col min="3595" max="3595" width="11.375" style="216" customWidth="1"/>
    <col min="3596" max="3596" width="2" style="216" customWidth="1"/>
    <col min="3597" max="3840" width="8.625" style="216"/>
    <col min="3841" max="3841" width="2.125" style="216" customWidth="1"/>
    <col min="3842" max="3842" width="5.625" style="216" customWidth="1"/>
    <col min="3843" max="3843" width="6" style="216" customWidth="1"/>
    <col min="3844" max="3844" width="13.375" style="216" customWidth="1"/>
    <col min="3845" max="3845" width="9.625" style="216" customWidth="1"/>
    <col min="3846" max="3846" width="8.375" style="216" customWidth="1"/>
    <col min="3847" max="3847" width="7.375" style="216" customWidth="1"/>
    <col min="3848" max="3848" width="8.625" style="216"/>
    <col min="3849" max="3849" width="12" style="216" customWidth="1"/>
    <col min="3850" max="3850" width="8.625" style="216"/>
    <col min="3851" max="3851" width="11.375" style="216" customWidth="1"/>
    <col min="3852" max="3852" width="2" style="216" customWidth="1"/>
    <col min="3853" max="4096" width="8.625" style="216"/>
    <col min="4097" max="4097" width="2.125" style="216" customWidth="1"/>
    <col min="4098" max="4098" width="5.625" style="216" customWidth="1"/>
    <col min="4099" max="4099" width="6" style="216" customWidth="1"/>
    <col min="4100" max="4100" width="13.375" style="216" customWidth="1"/>
    <col min="4101" max="4101" width="9.625" style="216" customWidth="1"/>
    <col min="4102" max="4102" width="8.375" style="216" customWidth="1"/>
    <col min="4103" max="4103" width="7.375" style="216" customWidth="1"/>
    <col min="4104" max="4104" width="8.625" style="216"/>
    <col min="4105" max="4105" width="12" style="216" customWidth="1"/>
    <col min="4106" max="4106" width="8.625" style="216"/>
    <col min="4107" max="4107" width="11.375" style="216" customWidth="1"/>
    <col min="4108" max="4108" width="2" style="216" customWidth="1"/>
    <col min="4109" max="4352" width="8.625" style="216"/>
    <col min="4353" max="4353" width="2.125" style="216" customWidth="1"/>
    <col min="4354" max="4354" width="5.625" style="216" customWidth="1"/>
    <col min="4355" max="4355" width="6" style="216" customWidth="1"/>
    <col min="4356" max="4356" width="13.375" style="216" customWidth="1"/>
    <col min="4357" max="4357" width="9.625" style="216" customWidth="1"/>
    <col min="4358" max="4358" width="8.375" style="216" customWidth="1"/>
    <col min="4359" max="4359" width="7.375" style="216" customWidth="1"/>
    <col min="4360" max="4360" width="8.625" style="216"/>
    <col min="4361" max="4361" width="12" style="216" customWidth="1"/>
    <col min="4362" max="4362" width="8.625" style="216"/>
    <col min="4363" max="4363" width="11.375" style="216" customWidth="1"/>
    <col min="4364" max="4364" width="2" style="216" customWidth="1"/>
    <col min="4365" max="4608" width="8.625" style="216"/>
    <col min="4609" max="4609" width="2.125" style="216" customWidth="1"/>
    <col min="4610" max="4610" width="5.625" style="216" customWidth="1"/>
    <col min="4611" max="4611" width="6" style="216" customWidth="1"/>
    <col min="4612" max="4612" width="13.375" style="216" customWidth="1"/>
    <col min="4613" max="4613" width="9.625" style="216" customWidth="1"/>
    <col min="4614" max="4614" width="8.375" style="216" customWidth="1"/>
    <col min="4615" max="4615" width="7.375" style="216" customWidth="1"/>
    <col min="4616" max="4616" width="8.625" style="216"/>
    <col min="4617" max="4617" width="12" style="216" customWidth="1"/>
    <col min="4618" max="4618" width="8.625" style="216"/>
    <col min="4619" max="4619" width="11.375" style="216" customWidth="1"/>
    <col min="4620" max="4620" width="2" style="216" customWidth="1"/>
    <col min="4621" max="4864" width="8.625" style="216"/>
    <col min="4865" max="4865" width="2.125" style="216" customWidth="1"/>
    <col min="4866" max="4866" width="5.625" style="216" customWidth="1"/>
    <col min="4867" max="4867" width="6" style="216" customWidth="1"/>
    <col min="4868" max="4868" width="13.375" style="216" customWidth="1"/>
    <col min="4869" max="4869" width="9.625" style="216" customWidth="1"/>
    <col min="4870" max="4870" width="8.375" style="216" customWidth="1"/>
    <col min="4871" max="4871" width="7.375" style="216" customWidth="1"/>
    <col min="4872" max="4872" width="8.625" style="216"/>
    <col min="4873" max="4873" width="12" style="216" customWidth="1"/>
    <col min="4874" max="4874" width="8.625" style="216"/>
    <col min="4875" max="4875" width="11.375" style="216" customWidth="1"/>
    <col min="4876" max="4876" width="2" style="216" customWidth="1"/>
    <col min="4877" max="5120" width="8.625" style="216"/>
    <col min="5121" max="5121" width="2.125" style="216" customWidth="1"/>
    <col min="5122" max="5122" width="5.625" style="216" customWidth="1"/>
    <col min="5123" max="5123" width="6" style="216" customWidth="1"/>
    <col min="5124" max="5124" width="13.375" style="216" customWidth="1"/>
    <col min="5125" max="5125" width="9.625" style="216" customWidth="1"/>
    <col min="5126" max="5126" width="8.375" style="216" customWidth="1"/>
    <col min="5127" max="5127" width="7.375" style="216" customWidth="1"/>
    <col min="5128" max="5128" width="8.625" style="216"/>
    <col min="5129" max="5129" width="12" style="216" customWidth="1"/>
    <col min="5130" max="5130" width="8.625" style="216"/>
    <col min="5131" max="5131" width="11.375" style="216" customWidth="1"/>
    <col min="5132" max="5132" width="2" style="216" customWidth="1"/>
    <col min="5133" max="5376" width="8.625" style="216"/>
    <col min="5377" max="5377" width="2.125" style="216" customWidth="1"/>
    <col min="5378" max="5378" width="5.625" style="216" customWidth="1"/>
    <col min="5379" max="5379" width="6" style="216" customWidth="1"/>
    <col min="5380" max="5380" width="13.375" style="216" customWidth="1"/>
    <col min="5381" max="5381" width="9.625" style="216" customWidth="1"/>
    <col min="5382" max="5382" width="8.375" style="216" customWidth="1"/>
    <col min="5383" max="5383" width="7.375" style="216" customWidth="1"/>
    <col min="5384" max="5384" width="8.625" style="216"/>
    <col min="5385" max="5385" width="12" style="216" customWidth="1"/>
    <col min="5386" max="5386" width="8.625" style="216"/>
    <col min="5387" max="5387" width="11.375" style="216" customWidth="1"/>
    <col min="5388" max="5388" width="2" style="216" customWidth="1"/>
    <col min="5389" max="5632" width="8.625" style="216"/>
    <col min="5633" max="5633" width="2.125" style="216" customWidth="1"/>
    <col min="5634" max="5634" width="5.625" style="216" customWidth="1"/>
    <col min="5635" max="5635" width="6" style="216" customWidth="1"/>
    <col min="5636" max="5636" width="13.375" style="216" customWidth="1"/>
    <col min="5637" max="5637" width="9.625" style="216" customWidth="1"/>
    <col min="5638" max="5638" width="8.375" style="216" customWidth="1"/>
    <col min="5639" max="5639" width="7.375" style="216" customWidth="1"/>
    <col min="5640" max="5640" width="8.625" style="216"/>
    <col min="5641" max="5641" width="12" style="216" customWidth="1"/>
    <col min="5642" max="5642" width="8.625" style="216"/>
    <col min="5643" max="5643" width="11.375" style="216" customWidth="1"/>
    <col min="5644" max="5644" width="2" style="216" customWidth="1"/>
    <col min="5645" max="5888" width="8.625" style="216"/>
    <col min="5889" max="5889" width="2.125" style="216" customWidth="1"/>
    <col min="5890" max="5890" width="5.625" style="216" customWidth="1"/>
    <col min="5891" max="5891" width="6" style="216" customWidth="1"/>
    <col min="5892" max="5892" width="13.375" style="216" customWidth="1"/>
    <col min="5893" max="5893" width="9.625" style="216" customWidth="1"/>
    <col min="5894" max="5894" width="8.375" style="216" customWidth="1"/>
    <col min="5895" max="5895" width="7.375" style="216" customWidth="1"/>
    <col min="5896" max="5896" width="8.625" style="216"/>
    <col min="5897" max="5897" width="12" style="216" customWidth="1"/>
    <col min="5898" max="5898" width="8.625" style="216"/>
    <col min="5899" max="5899" width="11.375" style="216" customWidth="1"/>
    <col min="5900" max="5900" width="2" style="216" customWidth="1"/>
    <col min="5901" max="6144" width="8.625" style="216"/>
    <col min="6145" max="6145" width="2.125" style="216" customWidth="1"/>
    <col min="6146" max="6146" width="5.625" style="216" customWidth="1"/>
    <col min="6147" max="6147" width="6" style="216" customWidth="1"/>
    <col min="6148" max="6148" width="13.375" style="216" customWidth="1"/>
    <col min="6149" max="6149" width="9.625" style="216" customWidth="1"/>
    <col min="6150" max="6150" width="8.375" style="216" customWidth="1"/>
    <col min="6151" max="6151" width="7.375" style="216" customWidth="1"/>
    <col min="6152" max="6152" width="8.625" style="216"/>
    <col min="6153" max="6153" width="12" style="216" customWidth="1"/>
    <col min="6154" max="6154" width="8.625" style="216"/>
    <col min="6155" max="6155" width="11.375" style="216" customWidth="1"/>
    <col min="6156" max="6156" width="2" style="216" customWidth="1"/>
    <col min="6157" max="6400" width="8.625" style="216"/>
    <col min="6401" max="6401" width="2.125" style="216" customWidth="1"/>
    <col min="6402" max="6402" width="5.625" style="216" customWidth="1"/>
    <col min="6403" max="6403" width="6" style="216" customWidth="1"/>
    <col min="6404" max="6404" width="13.375" style="216" customWidth="1"/>
    <col min="6405" max="6405" width="9.625" style="216" customWidth="1"/>
    <col min="6406" max="6406" width="8.375" style="216" customWidth="1"/>
    <col min="6407" max="6407" width="7.375" style="216" customWidth="1"/>
    <col min="6408" max="6408" width="8.625" style="216"/>
    <col min="6409" max="6409" width="12" style="216" customWidth="1"/>
    <col min="6410" max="6410" width="8.625" style="216"/>
    <col min="6411" max="6411" width="11.375" style="216" customWidth="1"/>
    <col min="6412" max="6412" width="2" style="216" customWidth="1"/>
    <col min="6413" max="6656" width="8.625" style="216"/>
    <col min="6657" max="6657" width="2.125" style="216" customWidth="1"/>
    <col min="6658" max="6658" width="5.625" style="216" customWidth="1"/>
    <col min="6659" max="6659" width="6" style="216" customWidth="1"/>
    <col min="6660" max="6660" width="13.375" style="216" customWidth="1"/>
    <col min="6661" max="6661" width="9.625" style="216" customWidth="1"/>
    <col min="6662" max="6662" width="8.375" style="216" customWidth="1"/>
    <col min="6663" max="6663" width="7.375" style="216" customWidth="1"/>
    <col min="6664" max="6664" width="8.625" style="216"/>
    <col min="6665" max="6665" width="12" style="216" customWidth="1"/>
    <col min="6666" max="6666" width="8.625" style="216"/>
    <col min="6667" max="6667" width="11.375" style="216" customWidth="1"/>
    <col min="6668" max="6668" width="2" style="216" customWidth="1"/>
    <col min="6669" max="6912" width="8.625" style="216"/>
    <col min="6913" max="6913" width="2.125" style="216" customWidth="1"/>
    <col min="6914" max="6914" width="5.625" style="216" customWidth="1"/>
    <col min="6915" max="6915" width="6" style="216" customWidth="1"/>
    <col min="6916" max="6916" width="13.375" style="216" customWidth="1"/>
    <col min="6917" max="6917" width="9.625" style="216" customWidth="1"/>
    <col min="6918" max="6918" width="8.375" style="216" customWidth="1"/>
    <col min="6919" max="6919" width="7.375" style="216" customWidth="1"/>
    <col min="6920" max="6920" width="8.625" style="216"/>
    <col min="6921" max="6921" width="12" style="216" customWidth="1"/>
    <col min="6922" max="6922" width="8.625" style="216"/>
    <col min="6923" max="6923" width="11.375" style="216" customWidth="1"/>
    <col min="6924" max="6924" width="2" style="216" customWidth="1"/>
    <col min="6925" max="7168" width="8.625" style="216"/>
    <col min="7169" max="7169" width="2.125" style="216" customWidth="1"/>
    <col min="7170" max="7170" width="5.625" style="216" customWidth="1"/>
    <col min="7171" max="7171" width="6" style="216" customWidth="1"/>
    <col min="7172" max="7172" width="13.375" style="216" customWidth="1"/>
    <col min="7173" max="7173" width="9.625" style="216" customWidth="1"/>
    <col min="7174" max="7174" width="8.375" style="216" customWidth="1"/>
    <col min="7175" max="7175" width="7.375" style="216" customWidth="1"/>
    <col min="7176" max="7176" width="8.625" style="216"/>
    <col min="7177" max="7177" width="12" style="216" customWidth="1"/>
    <col min="7178" max="7178" width="8.625" style="216"/>
    <col min="7179" max="7179" width="11.375" style="216" customWidth="1"/>
    <col min="7180" max="7180" width="2" style="216" customWidth="1"/>
    <col min="7181" max="7424" width="8.625" style="216"/>
    <col min="7425" max="7425" width="2.125" style="216" customWidth="1"/>
    <col min="7426" max="7426" width="5.625" style="216" customWidth="1"/>
    <col min="7427" max="7427" width="6" style="216" customWidth="1"/>
    <col min="7428" max="7428" width="13.375" style="216" customWidth="1"/>
    <col min="7429" max="7429" width="9.625" style="216" customWidth="1"/>
    <col min="7430" max="7430" width="8.375" style="216" customWidth="1"/>
    <col min="7431" max="7431" width="7.375" style="216" customWidth="1"/>
    <col min="7432" max="7432" width="8.625" style="216"/>
    <col min="7433" max="7433" width="12" style="216" customWidth="1"/>
    <col min="7434" max="7434" width="8.625" style="216"/>
    <col min="7435" max="7435" width="11.375" style="216" customWidth="1"/>
    <col min="7436" max="7436" width="2" style="216" customWidth="1"/>
    <col min="7437" max="7680" width="8.625" style="216"/>
    <col min="7681" max="7681" width="2.125" style="216" customWidth="1"/>
    <col min="7682" max="7682" width="5.625" style="216" customWidth="1"/>
    <col min="7683" max="7683" width="6" style="216" customWidth="1"/>
    <col min="7684" max="7684" width="13.375" style="216" customWidth="1"/>
    <col min="7685" max="7685" width="9.625" style="216" customWidth="1"/>
    <col min="7686" max="7686" width="8.375" style="216" customWidth="1"/>
    <col min="7687" max="7687" width="7.375" style="216" customWidth="1"/>
    <col min="7688" max="7688" width="8.625" style="216"/>
    <col min="7689" max="7689" width="12" style="216" customWidth="1"/>
    <col min="7690" max="7690" width="8.625" style="216"/>
    <col min="7691" max="7691" width="11.375" style="216" customWidth="1"/>
    <col min="7692" max="7692" width="2" style="216" customWidth="1"/>
    <col min="7693" max="7936" width="8.625" style="216"/>
    <col min="7937" max="7937" width="2.125" style="216" customWidth="1"/>
    <col min="7938" max="7938" width="5.625" style="216" customWidth="1"/>
    <col min="7939" max="7939" width="6" style="216" customWidth="1"/>
    <col min="7940" max="7940" width="13.375" style="216" customWidth="1"/>
    <col min="7941" max="7941" width="9.625" style="216" customWidth="1"/>
    <col min="7942" max="7942" width="8.375" style="216" customWidth="1"/>
    <col min="7943" max="7943" width="7.375" style="216" customWidth="1"/>
    <col min="7944" max="7944" width="8.625" style="216"/>
    <col min="7945" max="7945" width="12" style="216" customWidth="1"/>
    <col min="7946" max="7946" width="8.625" style="216"/>
    <col min="7947" max="7947" width="11.375" style="216" customWidth="1"/>
    <col min="7948" max="7948" width="2" style="216" customWidth="1"/>
    <col min="7949" max="8192" width="8.625" style="216"/>
    <col min="8193" max="8193" width="2.125" style="216" customWidth="1"/>
    <col min="8194" max="8194" width="5.625" style="216" customWidth="1"/>
    <col min="8195" max="8195" width="6" style="216" customWidth="1"/>
    <col min="8196" max="8196" width="13.375" style="216" customWidth="1"/>
    <col min="8197" max="8197" width="9.625" style="216" customWidth="1"/>
    <col min="8198" max="8198" width="8.375" style="216" customWidth="1"/>
    <col min="8199" max="8199" width="7.375" style="216" customWidth="1"/>
    <col min="8200" max="8200" width="8.625" style="216"/>
    <col min="8201" max="8201" width="12" style="216" customWidth="1"/>
    <col min="8202" max="8202" width="8.625" style="216"/>
    <col min="8203" max="8203" width="11.375" style="216" customWidth="1"/>
    <col min="8204" max="8204" width="2" style="216" customWidth="1"/>
    <col min="8205" max="8448" width="8.625" style="216"/>
    <col min="8449" max="8449" width="2.125" style="216" customWidth="1"/>
    <col min="8450" max="8450" width="5.625" style="216" customWidth="1"/>
    <col min="8451" max="8451" width="6" style="216" customWidth="1"/>
    <col min="8452" max="8452" width="13.375" style="216" customWidth="1"/>
    <col min="8453" max="8453" width="9.625" style="216" customWidth="1"/>
    <col min="8454" max="8454" width="8.375" style="216" customWidth="1"/>
    <col min="8455" max="8455" width="7.375" style="216" customWidth="1"/>
    <col min="8456" max="8456" width="8.625" style="216"/>
    <col min="8457" max="8457" width="12" style="216" customWidth="1"/>
    <col min="8458" max="8458" width="8.625" style="216"/>
    <col min="8459" max="8459" width="11.375" style="216" customWidth="1"/>
    <col min="8460" max="8460" width="2" style="216" customWidth="1"/>
    <col min="8461" max="8704" width="8.625" style="216"/>
    <col min="8705" max="8705" width="2.125" style="216" customWidth="1"/>
    <col min="8706" max="8706" width="5.625" style="216" customWidth="1"/>
    <col min="8707" max="8707" width="6" style="216" customWidth="1"/>
    <col min="8708" max="8708" width="13.375" style="216" customWidth="1"/>
    <col min="8709" max="8709" width="9.625" style="216" customWidth="1"/>
    <col min="8710" max="8710" width="8.375" style="216" customWidth="1"/>
    <col min="8711" max="8711" width="7.375" style="216" customWidth="1"/>
    <col min="8712" max="8712" width="8.625" style="216"/>
    <col min="8713" max="8713" width="12" style="216" customWidth="1"/>
    <col min="8714" max="8714" width="8.625" style="216"/>
    <col min="8715" max="8715" width="11.375" style="216" customWidth="1"/>
    <col min="8716" max="8716" width="2" style="216" customWidth="1"/>
    <col min="8717" max="8960" width="8.625" style="216"/>
    <col min="8961" max="8961" width="2.125" style="216" customWidth="1"/>
    <col min="8962" max="8962" width="5.625" style="216" customWidth="1"/>
    <col min="8963" max="8963" width="6" style="216" customWidth="1"/>
    <col min="8964" max="8964" width="13.375" style="216" customWidth="1"/>
    <col min="8965" max="8965" width="9.625" style="216" customWidth="1"/>
    <col min="8966" max="8966" width="8.375" style="216" customWidth="1"/>
    <col min="8967" max="8967" width="7.375" style="216" customWidth="1"/>
    <col min="8968" max="8968" width="8.625" style="216"/>
    <col min="8969" max="8969" width="12" style="216" customWidth="1"/>
    <col min="8970" max="8970" width="8.625" style="216"/>
    <col min="8971" max="8971" width="11.375" style="216" customWidth="1"/>
    <col min="8972" max="8972" width="2" style="216" customWidth="1"/>
    <col min="8973" max="9216" width="8.625" style="216"/>
    <col min="9217" max="9217" width="2.125" style="216" customWidth="1"/>
    <col min="9218" max="9218" width="5.625" style="216" customWidth="1"/>
    <col min="9219" max="9219" width="6" style="216" customWidth="1"/>
    <col min="9220" max="9220" width="13.375" style="216" customWidth="1"/>
    <col min="9221" max="9221" width="9.625" style="216" customWidth="1"/>
    <col min="9222" max="9222" width="8.375" style="216" customWidth="1"/>
    <col min="9223" max="9223" width="7.375" style="216" customWidth="1"/>
    <col min="9224" max="9224" width="8.625" style="216"/>
    <col min="9225" max="9225" width="12" style="216" customWidth="1"/>
    <col min="9226" max="9226" width="8.625" style="216"/>
    <col min="9227" max="9227" width="11.375" style="216" customWidth="1"/>
    <col min="9228" max="9228" width="2" style="216" customWidth="1"/>
    <col min="9229" max="9472" width="8.625" style="216"/>
    <col min="9473" max="9473" width="2.125" style="216" customWidth="1"/>
    <col min="9474" max="9474" width="5.625" style="216" customWidth="1"/>
    <col min="9475" max="9475" width="6" style="216" customWidth="1"/>
    <col min="9476" max="9476" width="13.375" style="216" customWidth="1"/>
    <col min="9477" max="9477" width="9.625" style="216" customWidth="1"/>
    <col min="9478" max="9478" width="8.375" style="216" customWidth="1"/>
    <col min="9479" max="9479" width="7.375" style="216" customWidth="1"/>
    <col min="9480" max="9480" width="8.625" style="216"/>
    <col min="9481" max="9481" width="12" style="216" customWidth="1"/>
    <col min="9482" max="9482" width="8.625" style="216"/>
    <col min="9483" max="9483" width="11.375" style="216" customWidth="1"/>
    <col min="9484" max="9484" width="2" style="216" customWidth="1"/>
    <col min="9485" max="9728" width="8.625" style="216"/>
    <col min="9729" max="9729" width="2.125" style="216" customWidth="1"/>
    <col min="9730" max="9730" width="5.625" style="216" customWidth="1"/>
    <col min="9731" max="9731" width="6" style="216" customWidth="1"/>
    <col min="9732" max="9732" width="13.375" style="216" customWidth="1"/>
    <col min="9733" max="9733" width="9.625" style="216" customWidth="1"/>
    <col min="9734" max="9734" width="8.375" style="216" customWidth="1"/>
    <col min="9735" max="9735" width="7.375" style="216" customWidth="1"/>
    <col min="9736" max="9736" width="8.625" style="216"/>
    <col min="9737" max="9737" width="12" style="216" customWidth="1"/>
    <col min="9738" max="9738" width="8.625" style="216"/>
    <col min="9739" max="9739" width="11.375" style="216" customWidth="1"/>
    <col min="9740" max="9740" width="2" style="216" customWidth="1"/>
    <col min="9741" max="9984" width="8.625" style="216"/>
    <col min="9985" max="9985" width="2.125" style="216" customWidth="1"/>
    <col min="9986" max="9986" width="5.625" style="216" customWidth="1"/>
    <col min="9987" max="9987" width="6" style="216" customWidth="1"/>
    <col min="9988" max="9988" width="13.375" style="216" customWidth="1"/>
    <col min="9989" max="9989" width="9.625" style="216" customWidth="1"/>
    <col min="9990" max="9990" width="8.375" style="216" customWidth="1"/>
    <col min="9991" max="9991" width="7.375" style="216" customWidth="1"/>
    <col min="9992" max="9992" width="8.625" style="216"/>
    <col min="9993" max="9993" width="12" style="216" customWidth="1"/>
    <col min="9994" max="9994" width="8.625" style="216"/>
    <col min="9995" max="9995" width="11.375" style="216" customWidth="1"/>
    <col min="9996" max="9996" width="2" style="216" customWidth="1"/>
    <col min="9997" max="10240" width="8.625" style="216"/>
    <col min="10241" max="10241" width="2.125" style="216" customWidth="1"/>
    <col min="10242" max="10242" width="5.625" style="216" customWidth="1"/>
    <col min="10243" max="10243" width="6" style="216" customWidth="1"/>
    <col min="10244" max="10244" width="13.375" style="216" customWidth="1"/>
    <col min="10245" max="10245" width="9.625" style="216" customWidth="1"/>
    <col min="10246" max="10246" width="8.375" style="216" customWidth="1"/>
    <col min="10247" max="10247" width="7.375" style="216" customWidth="1"/>
    <col min="10248" max="10248" width="8.625" style="216"/>
    <col min="10249" max="10249" width="12" style="216" customWidth="1"/>
    <col min="10250" max="10250" width="8.625" style="216"/>
    <col min="10251" max="10251" width="11.375" style="216" customWidth="1"/>
    <col min="10252" max="10252" width="2" style="216" customWidth="1"/>
    <col min="10253" max="10496" width="8.625" style="216"/>
    <col min="10497" max="10497" width="2.125" style="216" customWidth="1"/>
    <col min="10498" max="10498" width="5.625" style="216" customWidth="1"/>
    <col min="10499" max="10499" width="6" style="216" customWidth="1"/>
    <col min="10500" max="10500" width="13.375" style="216" customWidth="1"/>
    <col min="10501" max="10501" width="9.625" style="216" customWidth="1"/>
    <col min="10502" max="10502" width="8.375" style="216" customWidth="1"/>
    <col min="10503" max="10503" width="7.375" style="216" customWidth="1"/>
    <col min="10504" max="10504" width="8.625" style="216"/>
    <col min="10505" max="10505" width="12" style="216" customWidth="1"/>
    <col min="10506" max="10506" width="8.625" style="216"/>
    <col min="10507" max="10507" width="11.375" style="216" customWidth="1"/>
    <col min="10508" max="10508" width="2" style="216" customWidth="1"/>
    <col min="10509" max="10752" width="8.625" style="216"/>
    <col min="10753" max="10753" width="2.125" style="216" customWidth="1"/>
    <col min="10754" max="10754" width="5.625" style="216" customWidth="1"/>
    <col min="10755" max="10755" width="6" style="216" customWidth="1"/>
    <col min="10756" max="10756" width="13.375" style="216" customWidth="1"/>
    <col min="10757" max="10757" width="9.625" style="216" customWidth="1"/>
    <col min="10758" max="10758" width="8.375" style="216" customWidth="1"/>
    <col min="10759" max="10759" width="7.375" style="216" customWidth="1"/>
    <col min="10760" max="10760" width="8.625" style="216"/>
    <col min="10761" max="10761" width="12" style="216" customWidth="1"/>
    <col min="10762" max="10762" width="8.625" style="216"/>
    <col min="10763" max="10763" width="11.375" style="216" customWidth="1"/>
    <col min="10764" max="10764" width="2" style="216" customWidth="1"/>
    <col min="10765" max="11008" width="8.625" style="216"/>
    <col min="11009" max="11009" width="2.125" style="216" customWidth="1"/>
    <col min="11010" max="11010" width="5.625" style="216" customWidth="1"/>
    <col min="11011" max="11011" width="6" style="216" customWidth="1"/>
    <col min="11012" max="11012" width="13.375" style="216" customWidth="1"/>
    <col min="11013" max="11013" width="9.625" style="216" customWidth="1"/>
    <col min="11014" max="11014" width="8.375" style="216" customWidth="1"/>
    <col min="11015" max="11015" width="7.375" style="216" customWidth="1"/>
    <col min="11016" max="11016" width="8.625" style="216"/>
    <col min="11017" max="11017" width="12" style="216" customWidth="1"/>
    <col min="11018" max="11018" width="8.625" style="216"/>
    <col min="11019" max="11019" width="11.375" style="216" customWidth="1"/>
    <col min="11020" max="11020" width="2" style="216" customWidth="1"/>
    <col min="11021" max="11264" width="8.625" style="216"/>
    <col min="11265" max="11265" width="2.125" style="216" customWidth="1"/>
    <col min="11266" max="11266" width="5.625" style="216" customWidth="1"/>
    <col min="11267" max="11267" width="6" style="216" customWidth="1"/>
    <col min="11268" max="11268" width="13.375" style="216" customWidth="1"/>
    <col min="11269" max="11269" width="9.625" style="216" customWidth="1"/>
    <col min="11270" max="11270" width="8.375" style="216" customWidth="1"/>
    <col min="11271" max="11271" width="7.375" style="216" customWidth="1"/>
    <col min="11272" max="11272" width="8.625" style="216"/>
    <col min="11273" max="11273" width="12" style="216" customWidth="1"/>
    <col min="11274" max="11274" width="8.625" style="216"/>
    <col min="11275" max="11275" width="11.375" style="216" customWidth="1"/>
    <col min="11276" max="11276" width="2" style="216" customWidth="1"/>
    <col min="11277" max="11520" width="8.625" style="216"/>
    <col min="11521" max="11521" width="2.125" style="216" customWidth="1"/>
    <col min="11522" max="11522" width="5.625" style="216" customWidth="1"/>
    <col min="11523" max="11523" width="6" style="216" customWidth="1"/>
    <col min="11524" max="11524" width="13.375" style="216" customWidth="1"/>
    <col min="11525" max="11525" width="9.625" style="216" customWidth="1"/>
    <col min="11526" max="11526" width="8.375" style="216" customWidth="1"/>
    <col min="11527" max="11527" width="7.375" style="216" customWidth="1"/>
    <col min="11528" max="11528" width="8.625" style="216"/>
    <col min="11529" max="11529" width="12" style="216" customWidth="1"/>
    <col min="11530" max="11530" width="8.625" style="216"/>
    <col min="11531" max="11531" width="11.375" style="216" customWidth="1"/>
    <col min="11532" max="11532" width="2" style="216" customWidth="1"/>
    <col min="11533" max="11776" width="8.625" style="216"/>
    <col min="11777" max="11777" width="2.125" style="216" customWidth="1"/>
    <col min="11778" max="11778" width="5.625" style="216" customWidth="1"/>
    <col min="11779" max="11779" width="6" style="216" customWidth="1"/>
    <col min="11780" max="11780" width="13.375" style="216" customWidth="1"/>
    <col min="11781" max="11781" width="9.625" style="216" customWidth="1"/>
    <col min="11782" max="11782" width="8.375" style="216" customWidth="1"/>
    <col min="11783" max="11783" width="7.375" style="216" customWidth="1"/>
    <col min="11784" max="11784" width="8.625" style="216"/>
    <col min="11785" max="11785" width="12" style="216" customWidth="1"/>
    <col min="11786" max="11786" width="8.625" style="216"/>
    <col min="11787" max="11787" width="11.375" style="216" customWidth="1"/>
    <col min="11788" max="11788" width="2" style="216" customWidth="1"/>
    <col min="11789" max="12032" width="8.625" style="216"/>
    <col min="12033" max="12033" width="2.125" style="216" customWidth="1"/>
    <col min="12034" max="12034" width="5.625" style="216" customWidth="1"/>
    <col min="12035" max="12035" width="6" style="216" customWidth="1"/>
    <col min="12036" max="12036" width="13.375" style="216" customWidth="1"/>
    <col min="12037" max="12037" width="9.625" style="216" customWidth="1"/>
    <col min="12038" max="12038" width="8.375" style="216" customWidth="1"/>
    <col min="12039" max="12039" width="7.375" style="216" customWidth="1"/>
    <col min="12040" max="12040" width="8.625" style="216"/>
    <col min="12041" max="12041" width="12" style="216" customWidth="1"/>
    <col min="12042" max="12042" width="8.625" style="216"/>
    <col min="12043" max="12043" width="11.375" style="216" customWidth="1"/>
    <col min="12044" max="12044" width="2" style="216" customWidth="1"/>
    <col min="12045" max="12288" width="8.625" style="216"/>
    <col min="12289" max="12289" width="2.125" style="216" customWidth="1"/>
    <col min="12290" max="12290" width="5.625" style="216" customWidth="1"/>
    <col min="12291" max="12291" width="6" style="216" customWidth="1"/>
    <col min="12292" max="12292" width="13.375" style="216" customWidth="1"/>
    <col min="12293" max="12293" width="9.625" style="216" customWidth="1"/>
    <col min="12294" max="12294" width="8.375" style="216" customWidth="1"/>
    <col min="12295" max="12295" width="7.375" style="216" customWidth="1"/>
    <col min="12296" max="12296" width="8.625" style="216"/>
    <col min="12297" max="12297" width="12" style="216" customWidth="1"/>
    <col min="12298" max="12298" width="8.625" style="216"/>
    <col min="12299" max="12299" width="11.375" style="216" customWidth="1"/>
    <col min="12300" max="12300" width="2" style="216" customWidth="1"/>
    <col min="12301" max="12544" width="8.625" style="216"/>
    <col min="12545" max="12545" width="2.125" style="216" customWidth="1"/>
    <col min="12546" max="12546" width="5.625" style="216" customWidth="1"/>
    <col min="12547" max="12547" width="6" style="216" customWidth="1"/>
    <col min="12548" max="12548" width="13.375" style="216" customWidth="1"/>
    <col min="12549" max="12549" width="9.625" style="216" customWidth="1"/>
    <col min="12550" max="12550" width="8.375" style="216" customWidth="1"/>
    <col min="12551" max="12551" width="7.375" style="216" customWidth="1"/>
    <col min="12552" max="12552" width="8.625" style="216"/>
    <col min="12553" max="12553" width="12" style="216" customWidth="1"/>
    <col min="12554" max="12554" width="8.625" style="216"/>
    <col min="12555" max="12555" width="11.375" style="216" customWidth="1"/>
    <col min="12556" max="12556" width="2" style="216" customWidth="1"/>
    <col min="12557" max="12800" width="8.625" style="216"/>
    <col min="12801" max="12801" width="2.125" style="216" customWidth="1"/>
    <col min="12802" max="12802" width="5.625" style="216" customWidth="1"/>
    <col min="12803" max="12803" width="6" style="216" customWidth="1"/>
    <col min="12804" max="12804" width="13.375" style="216" customWidth="1"/>
    <col min="12805" max="12805" width="9.625" style="216" customWidth="1"/>
    <col min="12806" max="12806" width="8.375" style="216" customWidth="1"/>
    <col min="12807" max="12807" width="7.375" style="216" customWidth="1"/>
    <col min="12808" max="12808" width="8.625" style="216"/>
    <col min="12809" max="12809" width="12" style="216" customWidth="1"/>
    <col min="12810" max="12810" width="8.625" style="216"/>
    <col min="12811" max="12811" width="11.375" style="216" customWidth="1"/>
    <col min="12812" max="12812" width="2" style="216" customWidth="1"/>
    <col min="12813" max="13056" width="8.625" style="216"/>
    <col min="13057" max="13057" width="2.125" style="216" customWidth="1"/>
    <col min="13058" max="13058" width="5.625" style="216" customWidth="1"/>
    <col min="13059" max="13059" width="6" style="216" customWidth="1"/>
    <col min="13060" max="13060" width="13.375" style="216" customWidth="1"/>
    <col min="13061" max="13061" width="9.625" style="216" customWidth="1"/>
    <col min="13062" max="13062" width="8.375" style="216" customWidth="1"/>
    <col min="13063" max="13063" width="7.375" style="216" customWidth="1"/>
    <col min="13064" max="13064" width="8.625" style="216"/>
    <col min="13065" max="13065" width="12" style="216" customWidth="1"/>
    <col min="13066" max="13066" width="8.625" style="216"/>
    <col min="13067" max="13067" width="11.375" style="216" customWidth="1"/>
    <col min="13068" max="13068" width="2" style="216" customWidth="1"/>
    <col min="13069" max="13312" width="8.625" style="216"/>
    <col min="13313" max="13313" width="2.125" style="216" customWidth="1"/>
    <col min="13314" max="13314" width="5.625" style="216" customWidth="1"/>
    <col min="13315" max="13315" width="6" style="216" customWidth="1"/>
    <col min="13316" max="13316" width="13.375" style="216" customWidth="1"/>
    <col min="13317" max="13317" width="9.625" style="216" customWidth="1"/>
    <col min="13318" max="13318" width="8.375" style="216" customWidth="1"/>
    <col min="13319" max="13319" width="7.375" style="216" customWidth="1"/>
    <col min="13320" max="13320" width="8.625" style="216"/>
    <col min="13321" max="13321" width="12" style="216" customWidth="1"/>
    <col min="13322" max="13322" width="8.625" style="216"/>
    <col min="13323" max="13323" width="11.375" style="216" customWidth="1"/>
    <col min="13324" max="13324" width="2" style="216" customWidth="1"/>
    <col min="13325" max="13568" width="8.625" style="216"/>
    <col min="13569" max="13569" width="2.125" style="216" customWidth="1"/>
    <col min="13570" max="13570" width="5.625" style="216" customWidth="1"/>
    <col min="13571" max="13571" width="6" style="216" customWidth="1"/>
    <col min="13572" max="13572" width="13.375" style="216" customWidth="1"/>
    <col min="13573" max="13573" width="9.625" style="216" customWidth="1"/>
    <col min="13574" max="13574" width="8.375" style="216" customWidth="1"/>
    <col min="13575" max="13575" width="7.375" style="216" customWidth="1"/>
    <col min="13576" max="13576" width="8.625" style="216"/>
    <col min="13577" max="13577" width="12" style="216" customWidth="1"/>
    <col min="13578" max="13578" width="8.625" style="216"/>
    <col min="13579" max="13579" width="11.375" style="216" customWidth="1"/>
    <col min="13580" max="13580" width="2" style="216" customWidth="1"/>
    <col min="13581" max="13824" width="8.625" style="216"/>
    <col min="13825" max="13825" width="2.125" style="216" customWidth="1"/>
    <col min="13826" max="13826" width="5.625" style="216" customWidth="1"/>
    <col min="13827" max="13827" width="6" style="216" customWidth="1"/>
    <col min="13828" max="13828" width="13.375" style="216" customWidth="1"/>
    <col min="13829" max="13829" width="9.625" style="216" customWidth="1"/>
    <col min="13830" max="13830" width="8.375" style="216" customWidth="1"/>
    <col min="13831" max="13831" width="7.375" style="216" customWidth="1"/>
    <col min="13832" max="13832" width="8.625" style="216"/>
    <col min="13833" max="13833" width="12" style="216" customWidth="1"/>
    <col min="13834" max="13834" width="8.625" style="216"/>
    <col min="13835" max="13835" width="11.375" style="216" customWidth="1"/>
    <col min="13836" max="13836" width="2" style="216" customWidth="1"/>
    <col min="13837" max="14080" width="8.625" style="216"/>
    <col min="14081" max="14081" width="2.125" style="216" customWidth="1"/>
    <col min="14082" max="14082" width="5.625" style="216" customWidth="1"/>
    <col min="14083" max="14083" width="6" style="216" customWidth="1"/>
    <col min="14084" max="14084" width="13.375" style="216" customWidth="1"/>
    <col min="14085" max="14085" width="9.625" style="216" customWidth="1"/>
    <col min="14086" max="14086" width="8.375" style="216" customWidth="1"/>
    <col min="14087" max="14087" width="7.375" style="216" customWidth="1"/>
    <col min="14088" max="14088" width="8.625" style="216"/>
    <col min="14089" max="14089" width="12" style="216" customWidth="1"/>
    <col min="14090" max="14090" width="8.625" style="216"/>
    <col min="14091" max="14091" width="11.375" style="216" customWidth="1"/>
    <col min="14092" max="14092" width="2" style="216" customWidth="1"/>
    <col min="14093" max="14336" width="8.625" style="216"/>
    <col min="14337" max="14337" width="2.125" style="216" customWidth="1"/>
    <col min="14338" max="14338" width="5.625" style="216" customWidth="1"/>
    <col min="14339" max="14339" width="6" style="216" customWidth="1"/>
    <col min="14340" max="14340" width="13.375" style="216" customWidth="1"/>
    <col min="14341" max="14341" width="9.625" style="216" customWidth="1"/>
    <col min="14342" max="14342" width="8.375" style="216" customWidth="1"/>
    <col min="14343" max="14343" width="7.375" style="216" customWidth="1"/>
    <col min="14344" max="14344" width="8.625" style="216"/>
    <col min="14345" max="14345" width="12" style="216" customWidth="1"/>
    <col min="14346" max="14346" width="8.625" style="216"/>
    <col min="14347" max="14347" width="11.375" style="216" customWidth="1"/>
    <col min="14348" max="14348" width="2" style="216" customWidth="1"/>
    <col min="14349" max="14592" width="8.625" style="216"/>
    <col min="14593" max="14593" width="2.125" style="216" customWidth="1"/>
    <col min="14594" max="14594" width="5.625" style="216" customWidth="1"/>
    <col min="14595" max="14595" width="6" style="216" customWidth="1"/>
    <col min="14596" max="14596" width="13.375" style="216" customWidth="1"/>
    <col min="14597" max="14597" width="9.625" style="216" customWidth="1"/>
    <col min="14598" max="14598" width="8.375" style="216" customWidth="1"/>
    <col min="14599" max="14599" width="7.375" style="216" customWidth="1"/>
    <col min="14600" max="14600" width="8.625" style="216"/>
    <col min="14601" max="14601" width="12" style="216" customWidth="1"/>
    <col min="14602" max="14602" width="8.625" style="216"/>
    <col min="14603" max="14603" width="11.375" style="216" customWidth="1"/>
    <col min="14604" max="14604" width="2" style="216" customWidth="1"/>
    <col min="14605" max="14848" width="8.625" style="216"/>
    <col min="14849" max="14849" width="2.125" style="216" customWidth="1"/>
    <col min="14850" max="14850" width="5.625" style="216" customWidth="1"/>
    <col min="14851" max="14851" width="6" style="216" customWidth="1"/>
    <col min="14852" max="14852" width="13.375" style="216" customWidth="1"/>
    <col min="14853" max="14853" width="9.625" style="216" customWidth="1"/>
    <col min="14854" max="14854" width="8.375" style="216" customWidth="1"/>
    <col min="14855" max="14855" width="7.375" style="216" customWidth="1"/>
    <col min="14856" max="14856" width="8.625" style="216"/>
    <col min="14857" max="14857" width="12" style="216" customWidth="1"/>
    <col min="14858" max="14858" width="8.625" style="216"/>
    <col min="14859" max="14859" width="11.375" style="216" customWidth="1"/>
    <col min="14860" max="14860" width="2" style="216" customWidth="1"/>
    <col min="14861" max="15104" width="8.625" style="216"/>
    <col min="15105" max="15105" width="2.125" style="216" customWidth="1"/>
    <col min="15106" max="15106" width="5.625" style="216" customWidth="1"/>
    <col min="15107" max="15107" width="6" style="216" customWidth="1"/>
    <col min="15108" max="15108" width="13.375" style="216" customWidth="1"/>
    <col min="15109" max="15109" width="9.625" style="216" customWidth="1"/>
    <col min="15110" max="15110" width="8.375" style="216" customWidth="1"/>
    <col min="15111" max="15111" width="7.375" style="216" customWidth="1"/>
    <col min="15112" max="15112" width="8.625" style="216"/>
    <col min="15113" max="15113" width="12" style="216" customWidth="1"/>
    <col min="15114" max="15114" width="8.625" style="216"/>
    <col min="15115" max="15115" width="11.375" style="216" customWidth="1"/>
    <col min="15116" max="15116" width="2" style="216" customWidth="1"/>
    <col min="15117" max="15360" width="8.625" style="216"/>
    <col min="15361" max="15361" width="2.125" style="216" customWidth="1"/>
    <col min="15362" max="15362" width="5.625" style="216" customWidth="1"/>
    <col min="15363" max="15363" width="6" style="216" customWidth="1"/>
    <col min="15364" max="15364" width="13.375" style="216" customWidth="1"/>
    <col min="15365" max="15365" width="9.625" style="216" customWidth="1"/>
    <col min="15366" max="15366" width="8.375" style="216" customWidth="1"/>
    <col min="15367" max="15367" width="7.375" style="216" customWidth="1"/>
    <col min="15368" max="15368" width="8.625" style="216"/>
    <col min="15369" max="15369" width="12" style="216" customWidth="1"/>
    <col min="15370" max="15370" width="8.625" style="216"/>
    <col min="15371" max="15371" width="11.375" style="216" customWidth="1"/>
    <col min="15372" max="15372" width="2" style="216" customWidth="1"/>
    <col min="15373" max="15616" width="8.625" style="216"/>
    <col min="15617" max="15617" width="2.125" style="216" customWidth="1"/>
    <col min="15618" max="15618" width="5.625" style="216" customWidth="1"/>
    <col min="15619" max="15619" width="6" style="216" customWidth="1"/>
    <col min="15620" max="15620" width="13.375" style="216" customWidth="1"/>
    <col min="15621" max="15621" width="9.625" style="216" customWidth="1"/>
    <col min="15622" max="15622" width="8.375" style="216" customWidth="1"/>
    <col min="15623" max="15623" width="7.375" style="216" customWidth="1"/>
    <col min="15624" max="15624" width="8.625" style="216"/>
    <col min="15625" max="15625" width="12" style="216" customWidth="1"/>
    <col min="15626" max="15626" width="8.625" style="216"/>
    <col min="15627" max="15627" width="11.375" style="216" customWidth="1"/>
    <col min="15628" max="15628" width="2" style="216" customWidth="1"/>
    <col min="15629" max="15872" width="8.625" style="216"/>
    <col min="15873" max="15873" width="2.125" style="216" customWidth="1"/>
    <col min="15874" max="15874" width="5.625" style="216" customWidth="1"/>
    <col min="15875" max="15875" width="6" style="216" customWidth="1"/>
    <col min="15876" max="15876" width="13.375" style="216" customWidth="1"/>
    <col min="15877" max="15877" width="9.625" style="216" customWidth="1"/>
    <col min="15878" max="15878" width="8.375" style="216" customWidth="1"/>
    <col min="15879" max="15879" width="7.375" style="216" customWidth="1"/>
    <col min="15880" max="15880" width="8.625" style="216"/>
    <col min="15881" max="15881" width="12" style="216" customWidth="1"/>
    <col min="15882" max="15882" width="8.625" style="216"/>
    <col min="15883" max="15883" width="11.375" style="216" customWidth="1"/>
    <col min="15884" max="15884" width="2" style="216" customWidth="1"/>
    <col min="15885" max="16128" width="8.625" style="216"/>
    <col min="16129" max="16129" width="2.125" style="216" customWidth="1"/>
    <col min="16130" max="16130" width="5.625" style="216" customWidth="1"/>
    <col min="16131" max="16131" width="6" style="216" customWidth="1"/>
    <col min="16132" max="16132" width="13.375" style="216" customWidth="1"/>
    <col min="16133" max="16133" width="9.625" style="216" customWidth="1"/>
    <col min="16134" max="16134" width="8.375" style="216" customWidth="1"/>
    <col min="16135" max="16135" width="7.375" style="216" customWidth="1"/>
    <col min="16136" max="16136" width="8.625" style="216"/>
    <col min="16137" max="16137" width="12" style="216" customWidth="1"/>
    <col min="16138" max="16138" width="8.625" style="216"/>
    <col min="16139" max="16139" width="11.375" style="216" customWidth="1"/>
    <col min="16140" max="16140" width="2" style="216" customWidth="1"/>
    <col min="16141" max="16384" width="8.625" style="216"/>
  </cols>
  <sheetData>
    <row r="1" spans="2:17" ht="48.75" customHeight="1">
      <c r="B1" s="217" t="s">
        <v>18</v>
      </c>
      <c r="C1" s="218"/>
      <c r="D1" s="218"/>
      <c r="E1" s="218"/>
      <c r="F1" s="218"/>
      <c r="G1" s="218"/>
      <c r="H1" s="218"/>
      <c r="I1" s="218"/>
      <c r="J1" s="218"/>
      <c r="K1" s="219"/>
    </row>
    <row r="2" spans="2:17" ht="20.100000000000001" customHeight="1">
      <c r="B2" s="366" t="s">
        <v>73</v>
      </c>
      <c r="C2" s="367"/>
      <c r="D2" s="367"/>
      <c r="E2" s="367"/>
      <c r="F2" s="367"/>
      <c r="G2" s="367"/>
      <c r="H2" s="367"/>
      <c r="I2" s="367"/>
      <c r="J2" s="367"/>
      <c r="K2" s="368"/>
    </row>
    <row r="3" spans="2:17" ht="12.95" customHeight="1">
      <c r="B3" s="220"/>
      <c r="C3" s="221"/>
      <c r="D3" s="221"/>
      <c r="E3" s="221"/>
      <c r="F3" s="221"/>
      <c r="G3" s="221"/>
      <c r="H3" s="221"/>
      <c r="I3" s="221"/>
      <c r="J3" s="221"/>
      <c r="K3" s="222"/>
    </row>
    <row r="4" spans="2:17">
      <c r="B4" s="369" t="s">
        <v>74</v>
      </c>
      <c r="C4" s="370"/>
      <c r="D4" s="370"/>
      <c r="E4" s="371"/>
      <c r="F4" s="371"/>
      <c r="G4" s="221"/>
      <c r="H4" s="223" t="s">
        <v>75</v>
      </c>
      <c r="I4" s="221"/>
      <c r="J4" s="371" t="str">
        <f>'09-54-01 BIC'!M33</f>
        <v>EO 1</v>
      </c>
      <c r="K4" s="372"/>
    </row>
    <row r="5" spans="2:17" ht="11.1" customHeight="1">
      <c r="B5" s="220"/>
      <c r="C5" s="221"/>
      <c r="D5" s="221"/>
      <c r="E5" s="221"/>
      <c r="F5" s="221"/>
      <c r="G5" s="221"/>
      <c r="H5" s="221"/>
      <c r="I5" s="221"/>
      <c r="J5" s="221"/>
      <c r="K5" s="222"/>
    </row>
    <row r="6" spans="2:17" ht="15.75" customHeight="1">
      <c r="B6" s="373" t="s">
        <v>76</v>
      </c>
      <c r="C6" s="367"/>
      <c r="D6" s="368"/>
      <c r="E6" s="374" t="s">
        <v>77</v>
      </c>
      <c r="F6" s="374"/>
      <c r="G6" s="221"/>
      <c r="H6" s="374" t="s">
        <v>76</v>
      </c>
      <c r="I6" s="374"/>
      <c r="J6" s="374" t="s">
        <v>77</v>
      </c>
      <c r="K6" s="374"/>
    </row>
    <row r="7" spans="2:17" ht="15.75" customHeight="1">
      <c r="B7" s="362" t="str">
        <f>IF(OR(Q7="",Q7=0),"",Q7)</f>
        <v/>
      </c>
      <c r="C7" s="363"/>
      <c r="D7" s="364"/>
      <c r="E7" s="362" t="str">
        <f>IF(ISNA(INDEX(Schedule!O:O,MATCH(B7,Schedule!T:T,0))),"",INDEX(Schedule!O:O,MATCH(B7,Schedule!T:T,0)))</f>
        <v/>
      </c>
      <c r="F7" s="364"/>
      <c r="G7" s="253"/>
      <c r="H7" s="362" t="str">
        <f>IF(OR(Q17="",Q17=0),"",Q17)</f>
        <v/>
      </c>
      <c r="I7" s="364"/>
      <c r="J7" s="365" t="str">
        <f>IF(ISNA(INDEX(Schedule!O:O,MATCH(H7,Schedule!T:T,0))),"",INDEX(Schedule!O:O,MATCH(H7,Schedule!T:T,0)))</f>
        <v/>
      </c>
      <c r="K7" s="365"/>
      <c r="Q7" s="271">
        <v>0</v>
      </c>
    </row>
    <row r="8" spans="2:17" ht="15.75" customHeight="1">
      <c r="B8" s="362" t="str">
        <f t="shared" ref="B8:B16" si="0">IF(OR(Q8="",Q8=0),"",Q8)</f>
        <v/>
      </c>
      <c r="C8" s="363"/>
      <c r="D8" s="364"/>
      <c r="E8" s="362" t="str">
        <f>IF(ISNA(INDEX(Schedule!O:O,MATCH(B8,Schedule!T:T,0))),"",INDEX(Schedule!O:O,MATCH(B8,Schedule!T:T,0)))</f>
        <v/>
      </c>
      <c r="F8" s="364"/>
      <c r="G8" s="253"/>
      <c r="H8" s="362" t="str">
        <f>IF(OR(Q18="",Q18=0),"",Q18)</f>
        <v/>
      </c>
      <c r="I8" s="364"/>
      <c r="J8" s="365" t="str">
        <f>IF(ISNA(INDEX(Schedule!O:O,MATCH(H8,Schedule!T:T,0))),"",INDEX(Schedule!O:O,MATCH(H8,Schedule!T:T,0)))</f>
        <v/>
      </c>
      <c r="K8" s="365"/>
      <c r="O8" s="140">
        <f>'09-54-01 BIC'!$B$12</f>
        <v>0</v>
      </c>
      <c r="Q8"/>
    </row>
    <row r="9" spans="2:17" ht="15.75" customHeight="1">
      <c r="B9" s="362" t="str">
        <f t="shared" si="0"/>
        <v/>
      </c>
      <c r="C9" s="363"/>
      <c r="D9" s="364"/>
      <c r="E9" s="362" t="str">
        <f>IF(ISNA(INDEX(Schedule!O:O,MATCH(B9,Schedule!T:T,0))),"",INDEX(Schedule!O:O,MATCH(B9,Schedule!T:T,0)))</f>
        <v/>
      </c>
      <c r="F9" s="364"/>
      <c r="G9" s="253"/>
      <c r="H9" s="362" t="str">
        <f t="shared" ref="H9:H16" si="1">IF(OR(Q19="",Q19=0),"",Q19)</f>
        <v/>
      </c>
      <c r="I9" s="364"/>
      <c r="J9" s="365" t="str">
        <f>IF(ISNA(INDEX(Schedule!O:O,MATCH(H9,Schedule!T:T,0))),"",INDEX(Schedule!O:O,MATCH(H9,Schedule!T:T,0)))</f>
        <v/>
      </c>
      <c r="K9" s="365"/>
      <c r="O9" s="140">
        <f>'09-54-01 BIC'!$B$16</f>
        <v>0</v>
      </c>
      <c r="Q9"/>
    </row>
    <row r="10" spans="2:17" ht="15.75" customHeight="1">
      <c r="B10" s="362" t="str">
        <f t="shared" si="0"/>
        <v/>
      </c>
      <c r="C10" s="363"/>
      <c r="D10" s="364"/>
      <c r="E10" s="362" t="str">
        <f>IF(ISNA(INDEX(Schedule!O:O,MATCH(B10,Schedule!T:T,0))),"",INDEX(Schedule!O:O,MATCH(B10,Schedule!T:T,0)))</f>
        <v/>
      </c>
      <c r="F10" s="364"/>
      <c r="G10" s="253"/>
      <c r="H10" s="362" t="str">
        <f t="shared" si="1"/>
        <v/>
      </c>
      <c r="I10" s="364"/>
      <c r="J10" s="365" t="str">
        <f>IF(ISNA(INDEX(Schedule!O:O,MATCH(H10,Schedule!T:T,0))),"",INDEX(Schedule!O:O,MATCH(H10,Schedule!T:T,0)))</f>
        <v/>
      </c>
      <c r="K10" s="365"/>
      <c r="O10" s="140">
        <f>'09-54-01 BIC'!$B$20</f>
        <v>0</v>
      </c>
      <c r="Q10"/>
    </row>
    <row r="11" spans="2:17" ht="15.75" customHeight="1">
      <c r="B11" s="362" t="str">
        <f t="shared" si="0"/>
        <v/>
      </c>
      <c r="C11" s="363"/>
      <c r="D11" s="364"/>
      <c r="E11" s="362" t="str">
        <f>IF(ISNA(INDEX(Schedule!O:O,MATCH(B11,Schedule!T:T,0))),"",INDEX(Schedule!O:O,MATCH(B11,Schedule!T:T,0)))</f>
        <v/>
      </c>
      <c r="F11" s="364"/>
      <c r="G11" s="253"/>
      <c r="H11" s="362" t="str">
        <f t="shared" si="1"/>
        <v/>
      </c>
      <c r="I11" s="364"/>
      <c r="J11" s="365" t="str">
        <f>IF(ISNA(INDEX(Schedule!O:O,MATCH(H11,Schedule!T:T,0))),"",INDEX(Schedule!O:O,MATCH(H11,Schedule!T:T,0)))</f>
        <v/>
      </c>
      <c r="K11" s="365"/>
      <c r="O11" s="140">
        <f>'09-54-01 BIC'!$B$24</f>
        <v>0</v>
      </c>
      <c r="Q11"/>
    </row>
    <row r="12" spans="2:17" ht="15.75" customHeight="1">
      <c r="B12" s="362" t="str">
        <f t="shared" si="0"/>
        <v/>
      </c>
      <c r="C12" s="363"/>
      <c r="D12" s="364"/>
      <c r="E12" s="362" t="str">
        <f>IF(ISNA(INDEX(Schedule!O:O,MATCH(B12,Schedule!T:T,0))),"",INDEX(Schedule!O:O,MATCH(B12,Schedule!T:T,0)))</f>
        <v/>
      </c>
      <c r="F12" s="364"/>
      <c r="G12" s="253"/>
      <c r="H12" s="362" t="str">
        <f t="shared" si="1"/>
        <v/>
      </c>
      <c r="I12" s="364"/>
      <c r="J12" s="365" t="str">
        <f>IF(ISNA(INDEX(Schedule!O:O,MATCH(H12,Schedule!T:T,0))),"",INDEX(Schedule!O:O,MATCH(H12,Schedule!T:T,0)))</f>
        <v/>
      </c>
      <c r="K12" s="365"/>
      <c r="O12" s="140">
        <f>'09-54-01 BIC'!$C$12</f>
        <v>0</v>
      </c>
      <c r="Q12"/>
    </row>
    <row r="13" spans="2:17" ht="15.75" customHeight="1">
      <c r="B13" s="362" t="str">
        <f t="shared" si="0"/>
        <v/>
      </c>
      <c r="C13" s="363"/>
      <c r="D13" s="364"/>
      <c r="E13" s="362" t="str">
        <f>IF(ISNA(INDEX(Schedule!O:O,MATCH(B13,Schedule!T:T,0))),"",INDEX(Schedule!O:O,MATCH(B13,Schedule!T:T,0)))</f>
        <v/>
      </c>
      <c r="F13" s="364"/>
      <c r="G13" s="253"/>
      <c r="H13" s="362" t="str">
        <f t="shared" si="1"/>
        <v/>
      </c>
      <c r="I13" s="364"/>
      <c r="J13" s="365" t="str">
        <f>IF(ISNA(INDEX(Schedule!O:O,MATCH(H13,Schedule!T:T,0))),"",INDEX(Schedule!O:O,MATCH(H13,Schedule!T:T,0)))</f>
        <v/>
      </c>
      <c r="K13" s="365"/>
      <c r="O13" s="140">
        <f>'09-54-01 BIC'!$C$16</f>
        <v>0</v>
      </c>
      <c r="Q13"/>
    </row>
    <row r="14" spans="2:17" ht="15.75" customHeight="1">
      <c r="B14" s="362" t="str">
        <f t="shared" si="0"/>
        <v/>
      </c>
      <c r="C14" s="363"/>
      <c r="D14" s="364"/>
      <c r="E14" s="362" t="str">
        <f>IF(ISNA(INDEX(Schedule!O:O,MATCH(B14,Schedule!T:T,0))),"",INDEX(Schedule!O:O,MATCH(B14,Schedule!T:T,0)))</f>
        <v/>
      </c>
      <c r="F14" s="364"/>
      <c r="G14" s="253"/>
      <c r="H14" s="362" t="str">
        <f t="shared" si="1"/>
        <v/>
      </c>
      <c r="I14" s="364"/>
      <c r="J14" s="365" t="str">
        <f>IF(ISNA(INDEX(Schedule!O:O,MATCH(H14,Schedule!T:T,0))),"",INDEX(Schedule!O:O,MATCH(H14,Schedule!T:T,0)))</f>
        <v/>
      </c>
      <c r="K14" s="365"/>
      <c r="O14" s="140">
        <f>'09-54-01 BIC'!$C$20</f>
        <v>0</v>
      </c>
      <c r="Q14"/>
    </row>
    <row r="15" spans="2:17" ht="15.75" customHeight="1">
      <c r="B15" s="362" t="str">
        <f t="shared" si="0"/>
        <v/>
      </c>
      <c r="C15" s="363"/>
      <c r="D15" s="364"/>
      <c r="E15" s="362" t="str">
        <f>IF(ISNA(INDEX(Schedule!O:O,MATCH(B15,Schedule!T:T,0))),"",INDEX(Schedule!O:O,MATCH(B15,Schedule!T:T,0)))</f>
        <v/>
      </c>
      <c r="F15" s="364"/>
      <c r="G15" s="253"/>
      <c r="H15" s="362" t="str">
        <f t="shared" si="1"/>
        <v/>
      </c>
      <c r="I15" s="364"/>
      <c r="J15" s="365" t="str">
        <f>IF(ISNA(INDEX(Schedule!O:O,MATCH(H15,Schedule!T:T,0))),"",INDEX(Schedule!O:O,MATCH(H15,Schedule!T:T,0)))</f>
        <v/>
      </c>
      <c r="K15" s="365"/>
      <c r="O15" s="140">
        <f>'09-54-01 BIC'!$C$24</f>
        <v>0</v>
      </c>
      <c r="Q15"/>
    </row>
    <row r="16" spans="2:17" ht="15.75" customHeight="1">
      <c r="B16" s="362" t="str">
        <f t="shared" si="0"/>
        <v/>
      </c>
      <c r="C16" s="363"/>
      <c r="D16" s="364"/>
      <c r="E16" s="362" t="str">
        <f>IF(ISNA(INDEX(Schedule!O:O,MATCH(B16,Schedule!T:T,0))),"",INDEX(Schedule!O:O,MATCH(B16,Schedule!T:T,0)))</f>
        <v/>
      </c>
      <c r="F16" s="364"/>
      <c r="G16" s="253"/>
      <c r="H16" s="362" t="str">
        <f t="shared" si="1"/>
        <v/>
      </c>
      <c r="I16" s="364"/>
      <c r="J16" s="365" t="str">
        <f>IF(ISNA(INDEX(Schedule!O:O,MATCH(H16,Schedule!T:T,0))),"",INDEX(Schedule!O:O,MATCH(H16,Schedule!T:T,0)))</f>
        <v/>
      </c>
      <c r="K16" s="365"/>
      <c r="O16" s="140">
        <f>'09-54-01 BIC'!$D$12</f>
        <v>0</v>
      </c>
      <c r="Q16"/>
    </row>
    <row r="17" spans="2:17" ht="12.95" customHeight="1">
      <c r="B17" s="220"/>
      <c r="C17" s="221"/>
      <c r="D17" s="221"/>
      <c r="E17" s="221"/>
      <c r="F17" s="221"/>
      <c r="G17" s="221"/>
      <c r="H17" s="221"/>
      <c r="I17" s="221"/>
      <c r="J17" s="221"/>
      <c r="K17" s="222"/>
      <c r="O17" s="140">
        <f>'09-54-01 BIC'!$D$16</f>
        <v>0</v>
      </c>
      <c r="Q17"/>
    </row>
    <row r="18" spans="2:17" ht="15.75">
      <c r="B18" s="350" t="s">
        <v>78</v>
      </c>
      <c r="C18" s="351"/>
      <c r="D18" s="351"/>
      <c r="E18" s="351"/>
      <c r="F18" s="351"/>
      <c r="G18" s="351"/>
      <c r="H18" s="351"/>
      <c r="I18" s="351"/>
      <c r="J18" s="351"/>
      <c r="K18" s="351"/>
      <c r="O18" s="140">
        <f>'09-54-01 BIC'!$D$20</f>
        <v>0</v>
      </c>
      <c r="Q18"/>
    </row>
    <row r="19" spans="2:17" ht="12.95" customHeight="1">
      <c r="B19" s="352" t="s">
        <v>79</v>
      </c>
      <c r="C19" s="353"/>
      <c r="D19" s="353"/>
      <c r="E19" s="353"/>
      <c r="F19" s="356" t="s">
        <v>80</v>
      </c>
      <c r="G19" s="357"/>
      <c r="H19" s="356" t="s">
        <v>81</v>
      </c>
      <c r="I19" s="360"/>
      <c r="J19" s="356" t="s">
        <v>82</v>
      </c>
      <c r="K19" s="360"/>
      <c r="O19" s="140">
        <f>'09-54-01 BIC'!$D$24</f>
        <v>0</v>
      </c>
      <c r="Q19"/>
    </row>
    <row r="20" spans="2:17" ht="12.95" customHeight="1">
      <c r="B20" s="354"/>
      <c r="C20" s="355"/>
      <c r="D20" s="355"/>
      <c r="E20" s="355"/>
      <c r="F20" s="358"/>
      <c r="G20" s="359"/>
      <c r="H20" s="354"/>
      <c r="I20" s="361"/>
      <c r="J20" s="354"/>
      <c r="K20" s="361"/>
      <c r="O20" s="140">
        <f>'09-54-01 BIC'!$E$12</f>
        <v>0</v>
      </c>
      <c r="Q20"/>
    </row>
    <row r="21" spans="2:17" s="226" customFormat="1" ht="15.75" customHeight="1">
      <c r="B21" s="224" t="s">
        <v>83</v>
      </c>
      <c r="C21" s="225"/>
      <c r="D21" s="225"/>
      <c r="E21" s="225"/>
      <c r="F21" s="339"/>
      <c r="G21" s="339"/>
      <c r="H21" s="340"/>
      <c r="I21" s="341"/>
      <c r="J21" s="340"/>
      <c r="K21" s="341"/>
      <c r="O21" s="140">
        <f>'09-54-01 BIC'!$E$16</f>
        <v>0</v>
      </c>
      <c r="P21" s="255"/>
      <c r="Q21"/>
    </row>
    <row r="22" spans="2:17" s="226" customFormat="1" ht="15.75" customHeight="1">
      <c r="B22" s="224" t="s">
        <v>84</v>
      </c>
      <c r="C22" s="225"/>
      <c r="D22" s="225"/>
      <c r="E22" s="225"/>
      <c r="F22" s="339"/>
      <c r="G22" s="339"/>
      <c r="H22" s="340"/>
      <c r="I22" s="341"/>
      <c r="J22" s="340"/>
      <c r="K22" s="341"/>
      <c r="O22" s="140">
        <f>'09-54-01 BIC'!$E$20</f>
        <v>0</v>
      </c>
      <c r="P22" s="255"/>
      <c r="Q22"/>
    </row>
    <row r="23" spans="2:17" s="226" customFormat="1" ht="15.75" customHeight="1">
      <c r="B23" s="224" t="s">
        <v>85</v>
      </c>
      <c r="C23" s="225"/>
      <c r="D23" s="225"/>
      <c r="E23" s="225"/>
      <c r="F23" s="339"/>
      <c r="G23" s="339"/>
      <c r="H23" s="340"/>
      <c r="I23" s="341"/>
      <c r="J23" s="340"/>
      <c r="K23" s="341"/>
      <c r="O23" s="140">
        <f>'09-54-01 BIC'!$E$24</f>
        <v>0</v>
      </c>
      <c r="P23" s="255"/>
      <c r="Q23"/>
    </row>
    <row r="24" spans="2:17" s="226" customFormat="1" ht="15.75" customHeight="1">
      <c r="B24" s="224" t="s">
        <v>86</v>
      </c>
      <c r="C24" s="225"/>
      <c r="D24" s="225"/>
      <c r="E24" s="225"/>
      <c r="F24" s="339"/>
      <c r="G24" s="339"/>
      <c r="H24" s="340"/>
      <c r="I24" s="341"/>
      <c r="J24" s="340"/>
      <c r="K24" s="341"/>
      <c r="O24" s="140">
        <f>'09-54-01 BIC'!$F$12</f>
        <v>0</v>
      </c>
      <c r="P24" s="255"/>
      <c r="Q24"/>
    </row>
    <row r="25" spans="2:17" s="226" customFormat="1" ht="15.75" customHeight="1">
      <c r="B25" s="224" t="s">
        <v>87</v>
      </c>
      <c r="C25" s="225"/>
      <c r="D25" s="225"/>
      <c r="E25" s="225"/>
      <c r="F25" s="339"/>
      <c r="G25" s="339"/>
      <c r="H25" s="340"/>
      <c r="I25" s="341"/>
      <c r="J25" s="340"/>
      <c r="K25" s="341"/>
      <c r="O25" s="140">
        <f>'09-54-01 BIC'!$F$16</f>
        <v>0</v>
      </c>
      <c r="P25" s="255"/>
      <c r="Q25"/>
    </row>
    <row r="26" spans="2:17" s="226" customFormat="1" ht="15.75" customHeight="1">
      <c r="B26" s="224" t="s">
        <v>471</v>
      </c>
      <c r="C26" s="225"/>
      <c r="D26" s="225"/>
      <c r="E26" s="225"/>
      <c r="F26" s="339"/>
      <c r="G26" s="339"/>
      <c r="H26" s="340"/>
      <c r="I26" s="341"/>
      <c r="J26" s="340"/>
      <c r="K26" s="341"/>
      <c r="O26" s="140">
        <f>'09-54-01 BIC'!$F$20</f>
        <v>0</v>
      </c>
      <c r="P26" s="255"/>
      <c r="Q26"/>
    </row>
    <row r="27" spans="2:17" s="226" customFormat="1" ht="16.5" customHeight="1">
      <c r="B27" s="224" t="s">
        <v>89</v>
      </c>
      <c r="C27" s="225"/>
      <c r="D27" s="225"/>
      <c r="E27" s="225"/>
      <c r="F27" s="339"/>
      <c r="G27" s="339"/>
      <c r="H27" s="340"/>
      <c r="I27" s="341"/>
      <c r="J27" s="340"/>
      <c r="K27" s="341"/>
      <c r="O27" s="140">
        <f>'09-54-01 BIC'!$F$24</f>
        <v>0</v>
      </c>
      <c r="P27" s="255"/>
      <c r="Q27"/>
    </row>
    <row r="28" spans="2:17" s="226" customFormat="1" ht="15.75" customHeight="1">
      <c r="B28" s="224" t="s">
        <v>472</v>
      </c>
      <c r="C28" s="225"/>
      <c r="D28" s="225"/>
      <c r="E28" s="225"/>
      <c r="F28" s="339"/>
      <c r="G28" s="339"/>
      <c r="H28" s="340"/>
      <c r="I28" s="341"/>
      <c r="J28" s="340"/>
      <c r="K28" s="341"/>
      <c r="O28" s="140">
        <f>'09-54-01 BIC'!$G$12</f>
        <v>0</v>
      </c>
      <c r="P28" s="255"/>
      <c r="Q28"/>
    </row>
    <row r="29" spans="2:17" s="226" customFormat="1" ht="15.75" customHeight="1">
      <c r="B29" s="224" t="s">
        <v>473</v>
      </c>
      <c r="C29" s="225"/>
      <c r="D29" s="225"/>
      <c r="E29" s="225"/>
      <c r="F29" s="339"/>
      <c r="G29" s="339"/>
      <c r="H29" s="227"/>
      <c r="I29" s="228"/>
      <c r="J29" s="227"/>
      <c r="K29" s="228"/>
      <c r="O29" s="140">
        <f>'09-54-01 BIC'!$G$16</f>
        <v>0</v>
      </c>
      <c r="P29" s="255"/>
      <c r="Q29"/>
    </row>
    <row r="30" spans="2:17" s="226" customFormat="1" ht="15.75" customHeight="1">
      <c r="B30" s="224" t="s">
        <v>474</v>
      </c>
      <c r="C30" s="225"/>
      <c r="D30" s="225"/>
      <c r="E30" s="225"/>
      <c r="F30" s="339"/>
      <c r="G30" s="339"/>
      <c r="H30" s="227"/>
      <c r="I30" s="228"/>
      <c r="J30" s="227"/>
      <c r="K30" s="228"/>
      <c r="O30" s="140">
        <f>'09-54-01 BIC'!$G$20</f>
        <v>0</v>
      </c>
      <c r="P30" s="255"/>
      <c r="Q30"/>
    </row>
    <row r="31" spans="2:17" s="226" customFormat="1" ht="15.75" customHeight="1">
      <c r="B31" s="224" t="s">
        <v>91</v>
      </c>
      <c r="C31" s="225"/>
      <c r="D31" s="225"/>
      <c r="E31" s="225"/>
      <c r="F31" s="339"/>
      <c r="G31" s="339"/>
      <c r="H31" s="340"/>
      <c r="I31" s="341"/>
      <c r="J31" s="340"/>
      <c r="K31" s="341"/>
      <c r="O31" s="140">
        <f>'09-54-01 BIC'!$G$24</f>
        <v>0</v>
      </c>
      <c r="P31" s="255"/>
      <c r="Q31"/>
    </row>
    <row r="32" spans="2:17" s="226" customFormat="1" ht="15.75" customHeight="1">
      <c r="B32" s="224" t="s">
        <v>475</v>
      </c>
      <c r="C32" s="225"/>
      <c r="D32" s="225"/>
      <c r="E32" s="225"/>
      <c r="F32" s="339"/>
      <c r="G32" s="339"/>
      <c r="H32" s="227"/>
      <c r="I32" s="228"/>
      <c r="J32" s="227"/>
      <c r="K32" s="228"/>
      <c r="O32" s="140">
        <f>'09-54-01 BIC'!$H$12</f>
        <v>0</v>
      </c>
      <c r="P32" s="255"/>
      <c r="Q32"/>
    </row>
    <row r="33" spans="2:17" s="226" customFormat="1" ht="15.75" customHeight="1">
      <c r="B33" s="224" t="s">
        <v>92</v>
      </c>
      <c r="C33" s="225"/>
      <c r="D33" s="225"/>
      <c r="E33" s="225"/>
      <c r="F33" s="339"/>
      <c r="G33" s="339"/>
      <c r="H33" s="340"/>
      <c r="I33" s="341"/>
      <c r="J33" s="340"/>
      <c r="K33" s="341"/>
      <c r="O33" s="140">
        <f>'09-54-01 BIC'!$H$16</f>
        <v>0</v>
      </c>
      <c r="P33" s="255"/>
      <c r="Q33"/>
    </row>
    <row r="34" spans="2:17" ht="6.95" customHeight="1">
      <c r="B34" s="229"/>
      <c r="C34" s="230"/>
      <c r="D34" s="230"/>
      <c r="E34" s="230"/>
      <c r="F34" s="231"/>
      <c r="G34" s="231"/>
      <c r="H34" s="231"/>
      <c r="I34" s="231"/>
      <c r="J34" s="231"/>
      <c r="K34" s="232"/>
      <c r="O34" s="140">
        <f>'09-54-01 BIC'!$H$20</f>
        <v>0</v>
      </c>
      <c r="Q34"/>
    </row>
    <row r="35" spans="2:17" ht="14.1" customHeight="1">
      <c r="B35" s="220"/>
      <c r="C35" s="276"/>
      <c r="D35" s="276"/>
      <c r="E35" s="276"/>
      <c r="F35" s="276"/>
      <c r="G35" s="276"/>
      <c r="H35" s="276"/>
      <c r="I35" s="276"/>
      <c r="J35" s="276"/>
      <c r="K35" s="270"/>
      <c r="O35" s="140">
        <f>'09-54-01 BIC'!$H$24</f>
        <v>0</v>
      </c>
      <c r="Q35"/>
    </row>
    <row r="36" spans="2:17" ht="15.75" customHeight="1">
      <c r="B36" s="286" t="s">
        <v>631</v>
      </c>
      <c r="C36" s="276"/>
      <c r="D36" s="276"/>
      <c r="E36" s="276"/>
      <c r="F36" s="276"/>
      <c r="G36" s="276"/>
      <c r="H36" s="276"/>
      <c r="I36" s="276"/>
      <c r="J36" s="276"/>
      <c r="K36" s="270"/>
      <c r="O36" s="140">
        <f>'09-54-01 BIC'!$I$12</f>
        <v>0</v>
      </c>
      <c r="Q36"/>
    </row>
    <row r="37" spans="2:17" ht="9.9499999999999993" customHeight="1">
      <c r="B37" s="286" t="s">
        <v>632</v>
      </c>
      <c r="C37" s="276"/>
      <c r="D37" s="276"/>
      <c r="E37" s="276"/>
      <c r="F37" s="276"/>
      <c r="G37" s="276"/>
      <c r="H37" s="276"/>
      <c r="I37" s="276"/>
      <c r="J37" s="276"/>
      <c r="K37" s="270"/>
      <c r="O37" s="140">
        <f>'09-54-01 BIC'!$I$16</f>
        <v>0</v>
      </c>
      <c r="Q37"/>
    </row>
    <row r="38" spans="2:17" ht="15">
      <c r="B38" s="286" t="s">
        <v>633</v>
      </c>
      <c r="C38" s="276"/>
      <c r="D38" s="276"/>
      <c r="E38" s="276"/>
      <c r="F38" s="277"/>
      <c r="G38" s="277"/>
      <c r="H38" s="277"/>
      <c r="I38" s="277"/>
      <c r="J38" s="277"/>
      <c r="K38" s="222"/>
      <c r="O38" s="140">
        <f>'09-54-01 BIC'!$I$20</f>
        <v>0</v>
      </c>
      <c r="Q38"/>
    </row>
    <row r="39" spans="2:17" ht="12.95" customHeight="1">
      <c r="B39" s="235"/>
      <c r="C39" s="278"/>
      <c r="D39" s="278"/>
      <c r="E39" s="278"/>
      <c r="F39" s="279"/>
      <c r="G39" s="279"/>
      <c r="H39" s="279"/>
      <c r="I39" s="279"/>
      <c r="J39" s="279"/>
      <c r="K39" s="236"/>
      <c r="O39" s="140">
        <f>'09-54-01 BIC'!$I$24</f>
        <v>0</v>
      </c>
      <c r="Q39"/>
    </row>
    <row r="40" spans="2:17" ht="12" customHeight="1">
      <c r="B40" s="283" t="s">
        <v>94</v>
      </c>
      <c r="C40" s="284"/>
      <c r="D40" s="342"/>
      <c r="E40" s="342"/>
      <c r="F40" s="284"/>
      <c r="G40" s="284" t="s">
        <v>30</v>
      </c>
      <c r="H40" s="342"/>
      <c r="I40" s="342"/>
      <c r="J40" s="284"/>
      <c r="K40" s="285"/>
      <c r="L40" s="276"/>
      <c r="O40" s="140">
        <f>'09-54-01 BIC'!$J$12</f>
        <v>0</v>
      </c>
      <c r="Q40"/>
    </row>
    <row r="41" spans="2:17" ht="12" customHeight="1">
      <c r="B41" s="237"/>
      <c r="C41" s="281"/>
      <c r="D41" s="280"/>
      <c r="E41" s="280"/>
      <c r="F41" s="280"/>
      <c r="G41" s="280"/>
      <c r="H41" s="280"/>
      <c r="I41" s="280"/>
      <c r="J41" s="280"/>
      <c r="K41" s="240"/>
      <c r="O41" s="140">
        <f>'09-54-01 BIC'!$J$16</f>
        <v>0</v>
      </c>
      <c r="Q41"/>
    </row>
    <row r="42" spans="2:17" ht="12" customHeight="1">
      <c r="B42" s="237" t="s">
        <v>124</v>
      </c>
      <c r="C42" s="281"/>
      <c r="D42" s="342"/>
      <c r="E42" s="342"/>
      <c r="F42" s="342"/>
      <c r="G42" s="342"/>
      <c r="H42" s="342"/>
      <c r="I42" s="342"/>
      <c r="J42" s="342"/>
      <c r="K42" s="343"/>
      <c r="O42" s="140">
        <f>'09-54-01 BIC'!$J$20</f>
        <v>0</v>
      </c>
      <c r="Q42"/>
    </row>
    <row r="43" spans="2:17" ht="15.95" customHeight="1">
      <c r="B43" s="241"/>
      <c r="C43" s="281"/>
      <c r="D43" s="344"/>
      <c r="E43" s="344"/>
      <c r="F43" s="344"/>
      <c r="G43" s="344"/>
      <c r="H43" s="344"/>
      <c r="I43" s="344"/>
      <c r="J43" s="344"/>
      <c r="K43" s="345"/>
      <c r="O43" s="140">
        <f>'09-54-01 BIC'!$J$24</f>
        <v>0</v>
      </c>
      <c r="Q43"/>
    </row>
    <row r="44" spans="2:17" ht="15">
      <c r="B44" s="237"/>
      <c r="C44" s="276"/>
      <c r="D44" s="280"/>
      <c r="E44" s="277"/>
      <c r="F44" s="277"/>
      <c r="G44" s="346"/>
      <c r="H44" s="347"/>
      <c r="I44" s="347"/>
      <c r="J44" s="347"/>
      <c r="K44" s="348"/>
      <c r="O44" s="140">
        <f>'09-54-01 BIC'!$K$12</f>
        <v>0</v>
      </c>
      <c r="Q44"/>
    </row>
    <row r="45" spans="2:17" ht="12" customHeight="1">
      <c r="B45" s="237" t="s">
        <v>634</v>
      </c>
      <c r="C45" s="276"/>
      <c r="D45" s="280"/>
      <c r="E45" s="349"/>
      <c r="F45" s="349"/>
      <c r="G45" s="349"/>
      <c r="H45" s="349"/>
      <c r="I45" s="349"/>
      <c r="J45" s="282"/>
      <c r="K45" s="244"/>
      <c r="O45" s="140">
        <f>'09-54-01 BIC'!$K$16</f>
        <v>0</v>
      </c>
      <c r="Q45"/>
    </row>
    <row r="46" spans="2:17" ht="14.45" customHeight="1">
      <c r="B46" s="245"/>
      <c r="C46" s="238"/>
      <c r="D46" s="246"/>
      <c r="E46" s="239"/>
      <c r="F46" s="246"/>
      <c r="G46" s="238"/>
      <c r="H46" s="221"/>
      <c r="I46" s="221"/>
      <c r="J46" s="221"/>
      <c r="K46" s="222"/>
      <c r="O46" s="140">
        <f>'09-54-01 BIC'!$K$20</f>
        <v>0</v>
      </c>
      <c r="Q46"/>
    </row>
    <row r="47" spans="2:17" ht="15">
      <c r="B47" s="241"/>
      <c r="D47" s="221"/>
      <c r="E47" s="221"/>
      <c r="G47" s="247"/>
      <c r="H47" s="221"/>
      <c r="I47" s="221"/>
      <c r="J47" s="221"/>
      <c r="K47" s="233"/>
      <c r="O47" s="140">
        <f>'09-54-01 BIC'!$K$24</f>
        <v>0</v>
      </c>
      <c r="Q47"/>
    </row>
    <row r="48" spans="2:17" ht="12" customHeight="1">
      <c r="B48" s="245"/>
      <c r="C48" s="238"/>
      <c r="D48" s="246"/>
      <c r="E48" s="239"/>
      <c r="F48" s="246"/>
      <c r="G48" s="238"/>
      <c r="K48" s="222"/>
      <c r="O48" s="140">
        <f>'09-54-01 BIC'!$L$12</f>
        <v>0</v>
      </c>
      <c r="Q48"/>
    </row>
    <row r="49" spans="2:17" ht="12" customHeight="1">
      <c r="B49" s="248"/>
      <c r="D49" s="221"/>
      <c r="E49" s="221"/>
      <c r="F49" s="221"/>
      <c r="G49" s="221"/>
      <c r="H49" s="221"/>
      <c r="I49" s="221"/>
      <c r="J49" s="221"/>
      <c r="K49" s="222"/>
      <c r="O49" s="140">
        <f>'09-54-01 BIC'!$L$16</f>
        <v>0</v>
      </c>
      <c r="Q49"/>
    </row>
    <row r="50" spans="2:17" ht="11.1" customHeight="1">
      <c r="B50" s="249" t="s">
        <v>12</v>
      </c>
      <c r="C50" s="338" t="s">
        <v>101</v>
      </c>
      <c r="D50" s="338"/>
      <c r="E50" s="234"/>
      <c r="F50" s="234"/>
      <c r="G50" s="234"/>
      <c r="H50" s="234"/>
      <c r="I50" s="234"/>
      <c r="J50" s="234"/>
      <c r="K50" s="250" t="s">
        <v>102</v>
      </c>
      <c r="O50" s="140">
        <f>'09-54-01 BIC'!$L$20</f>
        <v>0</v>
      </c>
      <c r="Q50"/>
    </row>
    <row r="51" spans="2:17" s="269" customFormat="1" ht="48.75" customHeight="1">
      <c r="B51" s="217" t="s">
        <v>18</v>
      </c>
      <c r="C51" s="218"/>
      <c r="D51" s="218"/>
      <c r="E51" s="218"/>
      <c r="F51" s="218"/>
      <c r="G51" s="218"/>
      <c r="H51" s="218"/>
      <c r="I51" s="218"/>
      <c r="J51" s="218"/>
      <c r="K51" s="219"/>
      <c r="O51" s="140">
        <f>'09-54-01 BIC'!$L$24</f>
        <v>0</v>
      </c>
      <c r="P51" s="254"/>
      <c r="Q51"/>
    </row>
    <row r="52" spans="2:17" ht="20.25">
      <c r="B52" s="366" t="s">
        <v>73</v>
      </c>
      <c r="C52" s="367"/>
      <c r="D52" s="367"/>
      <c r="E52" s="367"/>
      <c r="F52" s="367"/>
      <c r="G52" s="367"/>
      <c r="H52" s="367"/>
      <c r="I52" s="367"/>
      <c r="J52" s="367"/>
      <c r="K52" s="368"/>
      <c r="O52" s="140">
        <f>'09-54-01 BIC'!$M$12</f>
        <v>0</v>
      </c>
      <c r="Q52"/>
    </row>
    <row r="53" spans="2:17">
      <c r="B53" s="220"/>
      <c r="C53" s="221"/>
      <c r="D53" s="221"/>
      <c r="E53" s="221"/>
      <c r="F53" s="221"/>
      <c r="G53" s="221"/>
      <c r="H53" s="221"/>
      <c r="I53" s="221"/>
      <c r="J53" s="221"/>
      <c r="K53" s="222"/>
      <c r="O53" s="140">
        <f>'09-54-01 BIC'!$M$16</f>
        <v>0</v>
      </c>
      <c r="Q53"/>
    </row>
    <row r="54" spans="2:17">
      <c r="B54" s="369" t="s">
        <v>74</v>
      </c>
      <c r="C54" s="370"/>
      <c r="D54" s="370"/>
      <c r="E54" s="371">
        <f>E4</f>
        <v>0</v>
      </c>
      <c r="F54" s="371"/>
      <c r="G54" s="221"/>
      <c r="H54" s="223" t="s">
        <v>75</v>
      </c>
      <c r="I54" s="221"/>
      <c r="J54" s="371" t="str">
        <f>J4</f>
        <v>EO 1</v>
      </c>
      <c r="K54" s="372"/>
      <c r="O54" s="140">
        <f>'09-54-01 BIC'!$M$20</f>
        <v>0</v>
      </c>
      <c r="Q54"/>
    </row>
    <row r="55" spans="2:17">
      <c r="B55" s="220"/>
      <c r="C55" s="221"/>
      <c r="D55" s="221"/>
      <c r="E55" s="221"/>
      <c r="F55" s="221"/>
      <c r="G55" s="221"/>
      <c r="H55" s="221"/>
      <c r="I55" s="221"/>
      <c r="J55" s="221"/>
      <c r="K55" s="222"/>
      <c r="O55" s="140">
        <f>'09-54-01 BIC'!$M$24</f>
        <v>0</v>
      </c>
      <c r="Q55" s="271"/>
    </row>
    <row r="56" spans="2:17" ht="15">
      <c r="B56" s="373" t="s">
        <v>76</v>
      </c>
      <c r="C56" s="367"/>
      <c r="D56" s="368"/>
      <c r="E56" s="374" t="s">
        <v>77</v>
      </c>
      <c r="F56" s="374"/>
      <c r="G56" s="221"/>
      <c r="H56" s="374" t="s">
        <v>76</v>
      </c>
      <c r="I56" s="374"/>
      <c r="J56" s="374" t="s">
        <v>77</v>
      </c>
      <c r="K56" s="374"/>
    </row>
    <row r="57" spans="2:17">
      <c r="B57" s="362" t="str">
        <f>IF(OR(Q26="",Q26=0),"",Q26)</f>
        <v/>
      </c>
      <c r="C57" s="363"/>
      <c r="D57" s="364"/>
      <c r="E57" s="362" t="str">
        <f>IF(ISNA(INDEX(Schedule!O:O,MATCH(B57,Schedule!T:T,0))),"",INDEX(Schedule!O:O,MATCH(B57,Schedule!T:T,0)))</f>
        <v/>
      </c>
      <c r="F57" s="364"/>
      <c r="G57" s="253"/>
      <c r="H57" s="362" t="str">
        <f>IF(OR(Q36="",Q36=0),"",Q36)</f>
        <v/>
      </c>
      <c r="I57" s="364"/>
      <c r="J57" s="365" t="str">
        <f>IF(ISNA(INDEX(Schedule!O:O,MATCH(H57,Schedule!T:T,0))),"",INDEX(Schedule!O:O,MATCH(H57,Schedule!T:T,0)))</f>
        <v/>
      </c>
      <c r="K57" s="365"/>
    </row>
    <row r="58" spans="2:17">
      <c r="B58" s="362" t="str">
        <f t="shared" ref="B58:B66" si="2">IF(OR(Q27="",Q27=0),"",Q27)</f>
        <v/>
      </c>
      <c r="C58" s="363"/>
      <c r="D58" s="364"/>
      <c r="E58" s="362" t="str">
        <f>IF(ISNA(INDEX(Schedule!O:O,MATCH(B58,Schedule!T:T,0))),"",INDEX(Schedule!O:O,MATCH(B58,Schedule!T:T,0)))</f>
        <v/>
      </c>
      <c r="F58" s="364"/>
      <c r="G58" s="253"/>
      <c r="H58" s="362" t="str">
        <f t="shared" ref="H58:H66" si="3">IF(OR(Q37="",Q37=0),"",Q37)</f>
        <v/>
      </c>
      <c r="I58" s="364"/>
      <c r="J58" s="365" t="str">
        <f>IF(ISNA(INDEX(Schedule!O:O,MATCH(H58,Schedule!T:T,0))),"",INDEX(Schedule!O:O,MATCH(H58,Schedule!T:T,0)))</f>
        <v/>
      </c>
      <c r="K58" s="365"/>
    </row>
    <row r="59" spans="2:17">
      <c r="B59" s="362" t="str">
        <f t="shared" si="2"/>
        <v/>
      </c>
      <c r="C59" s="363"/>
      <c r="D59" s="364"/>
      <c r="E59" s="362" t="str">
        <f>IF(ISNA(INDEX(Schedule!O:O,MATCH(B59,Schedule!T:T,0))),"",INDEX(Schedule!O:O,MATCH(B59,Schedule!T:T,0)))</f>
        <v/>
      </c>
      <c r="F59" s="364"/>
      <c r="G59" s="253"/>
      <c r="H59" s="362" t="str">
        <f t="shared" si="3"/>
        <v/>
      </c>
      <c r="I59" s="364"/>
      <c r="J59" s="365" t="str">
        <f>IF(ISNA(INDEX(Schedule!O:O,MATCH(H59,Schedule!T:T,0))),"",INDEX(Schedule!O:O,MATCH(H59,Schedule!T:T,0)))</f>
        <v/>
      </c>
      <c r="K59" s="365"/>
    </row>
    <row r="60" spans="2:17">
      <c r="B60" s="362" t="str">
        <f t="shared" si="2"/>
        <v/>
      </c>
      <c r="C60" s="363"/>
      <c r="D60" s="364"/>
      <c r="E60" s="362" t="str">
        <f>IF(ISNA(INDEX(Schedule!O:O,MATCH(B60,Schedule!T:T,0))),"",INDEX(Schedule!O:O,MATCH(B60,Schedule!T:T,0)))</f>
        <v/>
      </c>
      <c r="F60" s="364"/>
      <c r="G60" s="253"/>
      <c r="H60" s="362" t="str">
        <f t="shared" si="3"/>
        <v/>
      </c>
      <c r="I60" s="364"/>
      <c r="J60" s="365" t="str">
        <f>IF(ISNA(INDEX(Schedule!O:O,MATCH(H60,Schedule!T:T,0))),"",INDEX(Schedule!O:O,MATCH(H60,Schedule!T:T,0)))</f>
        <v/>
      </c>
      <c r="K60" s="365"/>
    </row>
    <row r="61" spans="2:17">
      <c r="B61" s="362" t="str">
        <f t="shared" si="2"/>
        <v/>
      </c>
      <c r="C61" s="363"/>
      <c r="D61" s="364"/>
      <c r="E61" s="362" t="str">
        <f>IF(ISNA(INDEX(Schedule!O:O,MATCH(B61,Schedule!T:T,0))),"",INDEX(Schedule!O:O,MATCH(B61,Schedule!T:T,0)))</f>
        <v/>
      </c>
      <c r="F61" s="364"/>
      <c r="G61" s="253"/>
      <c r="H61" s="362" t="str">
        <f t="shared" si="3"/>
        <v/>
      </c>
      <c r="I61" s="364"/>
      <c r="J61" s="365" t="str">
        <f>IF(ISNA(INDEX(Schedule!O:O,MATCH(H61,Schedule!T:T,0))),"",INDEX(Schedule!O:O,MATCH(H61,Schedule!T:T,0)))</f>
        <v/>
      </c>
      <c r="K61" s="365"/>
    </row>
    <row r="62" spans="2:17">
      <c r="B62" s="362" t="str">
        <f t="shared" si="2"/>
        <v/>
      </c>
      <c r="C62" s="363"/>
      <c r="D62" s="364"/>
      <c r="E62" s="362" t="str">
        <f>IF(ISNA(INDEX(Schedule!O:O,MATCH(B62,Schedule!T:T,0))),"",INDEX(Schedule!O:O,MATCH(B62,Schedule!T:T,0)))</f>
        <v/>
      </c>
      <c r="F62" s="364"/>
      <c r="G62" s="253"/>
      <c r="H62" s="362" t="str">
        <f t="shared" si="3"/>
        <v/>
      </c>
      <c r="I62" s="364"/>
      <c r="J62" s="365" t="str">
        <f>IF(ISNA(INDEX(Schedule!O:O,MATCH(H62,Schedule!T:T,0))),"",INDEX(Schedule!O:O,MATCH(H62,Schedule!T:T,0)))</f>
        <v/>
      </c>
      <c r="K62" s="365"/>
    </row>
    <row r="63" spans="2:17">
      <c r="B63" s="362" t="str">
        <f t="shared" si="2"/>
        <v/>
      </c>
      <c r="C63" s="363"/>
      <c r="D63" s="364"/>
      <c r="E63" s="362" t="str">
        <f>IF(ISNA(INDEX(Schedule!O:O,MATCH(B63,Schedule!T:T,0))),"",INDEX(Schedule!O:O,MATCH(B63,Schedule!T:T,0)))</f>
        <v/>
      </c>
      <c r="F63" s="364"/>
      <c r="G63" s="253"/>
      <c r="H63" s="362" t="str">
        <f t="shared" si="3"/>
        <v/>
      </c>
      <c r="I63" s="364"/>
      <c r="J63" s="365" t="str">
        <f>IF(ISNA(INDEX(Schedule!O:O,MATCH(H63,Schedule!T:T,0))),"",INDEX(Schedule!O:O,MATCH(H63,Schedule!T:T,0)))</f>
        <v/>
      </c>
      <c r="K63" s="365"/>
    </row>
    <row r="64" spans="2:17">
      <c r="B64" s="362" t="str">
        <f t="shared" si="2"/>
        <v/>
      </c>
      <c r="C64" s="363"/>
      <c r="D64" s="364"/>
      <c r="E64" s="362" t="str">
        <f>IF(ISNA(INDEX(Schedule!O:O,MATCH(B64,Schedule!T:T,0))),"",INDEX(Schedule!O:O,MATCH(B64,Schedule!T:T,0)))</f>
        <v/>
      </c>
      <c r="F64" s="364"/>
      <c r="G64" s="253"/>
      <c r="H64" s="362" t="str">
        <f t="shared" si="3"/>
        <v/>
      </c>
      <c r="I64" s="364"/>
      <c r="J64" s="365" t="str">
        <f>IF(ISNA(INDEX(Schedule!O:O,MATCH(H64,Schedule!T:T,0))),"",INDEX(Schedule!O:O,MATCH(H64,Schedule!T:T,0)))</f>
        <v/>
      </c>
      <c r="K64" s="365"/>
    </row>
    <row r="65" spans="2:11">
      <c r="B65" s="362" t="str">
        <f t="shared" si="2"/>
        <v/>
      </c>
      <c r="C65" s="363"/>
      <c r="D65" s="364"/>
      <c r="E65" s="362" t="str">
        <f>IF(ISNA(INDEX(Schedule!O:O,MATCH(B65,Schedule!T:T,0))),"",INDEX(Schedule!O:O,MATCH(B65,Schedule!T:T,0)))</f>
        <v/>
      </c>
      <c r="F65" s="364"/>
      <c r="G65" s="253"/>
      <c r="H65" s="362" t="str">
        <f t="shared" si="3"/>
        <v/>
      </c>
      <c r="I65" s="364"/>
      <c r="J65" s="365" t="str">
        <f>IF(ISNA(INDEX(Schedule!O:O,MATCH(H65,Schedule!T:T,0))),"",INDEX(Schedule!O:O,MATCH(H65,Schedule!T:T,0)))</f>
        <v/>
      </c>
      <c r="K65" s="365"/>
    </row>
    <row r="66" spans="2:11">
      <c r="B66" s="362" t="str">
        <f t="shared" si="2"/>
        <v/>
      </c>
      <c r="C66" s="363"/>
      <c r="D66" s="364"/>
      <c r="E66" s="362" t="str">
        <f>IF(ISNA(INDEX(Schedule!O:O,MATCH(B66,Schedule!T:T,0))),"",INDEX(Schedule!O:O,MATCH(B66,Schedule!T:T,0)))</f>
        <v/>
      </c>
      <c r="F66" s="364"/>
      <c r="G66" s="253"/>
      <c r="H66" s="362" t="str">
        <f t="shared" si="3"/>
        <v/>
      </c>
      <c r="I66" s="364"/>
      <c r="J66" s="365" t="str">
        <f>IF(ISNA(INDEX(Schedule!O:O,MATCH(H66,Schedule!T:T,0))),"",INDEX(Schedule!O:O,MATCH(H66,Schedule!T:T,0)))</f>
        <v/>
      </c>
      <c r="K66" s="365"/>
    </row>
    <row r="67" spans="2:11">
      <c r="B67" s="220"/>
      <c r="C67" s="221"/>
      <c r="D67" s="221"/>
      <c r="E67" s="221"/>
      <c r="F67" s="221"/>
      <c r="G67" s="221"/>
      <c r="H67" s="221"/>
      <c r="I67" s="221"/>
      <c r="J67" s="221"/>
      <c r="K67" s="222"/>
    </row>
    <row r="68" spans="2:11" ht="15.75">
      <c r="B68" s="350" t="s">
        <v>78</v>
      </c>
      <c r="C68" s="351"/>
      <c r="D68" s="351"/>
      <c r="E68" s="351"/>
      <c r="F68" s="351"/>
      <c r="G68" s="351"/>
      <c r="H68" s="351"/>
      <c r="I68" s="351"/>
      <c r="J68" s="351"/>
      <c r="K68" s="351"/>
    </row>
    <row r="69" spans="2:11">
      <c r="B69" s="352" t="s">
        <v>79</v>
      </c>
      <c r="C69" s="353"/>
      <c r="D69" s="353"/>
      <c r="E69" s="353"/>
      <c r="F69" s="356" t="s">
        <v>80</v>
      </c>
      <c r="G69" s="357"/>
      <c r="H69" s="356" t="s">
        <v>81</v>
      </c>
      <c r="I69" s="360"/>
      <c r="J69" s="356" t="s">
        <v>82</v>
      </c>
      <c r="K69" s="360"/>
    </row>
    <row r="70" spans="2:11">
      <c r="B70" s="354"/>
      <c r="C70" s="355"/>
      <c r="D70" s="355"/>
      <c r="E70" s="355"/>
      <c r="F70" s="358"/>
      <c r="G70" s="359"/>
      <c r="H70" s="354"/>
      <c r="I70" s="361"/>
      <c r="J70" s="354"/>
      <c r="K70" s="361"/>
    </row>
    <row r="71" spans="2:11">
      <c r="B71" s="224" t="s">
        <v>83</v>
      </c>
      <c r="C71" s="225"/>
      <c r="D71" s="225"/>
      <c r="E71" s="225"/>
      <c r="F71" s="339"/>
      <c r="G71" s="339"/>
      <c r="H71" s="340"/>
      <c r="I71" s="341"/>
      <c r="J71" s="340"/>
      <c r="K71" s="341"/>
    </row>
    <row r="72" spans="2:11">
      <c r="B72" s="224" t="s">
        <v>84</v>
      </c>
      <c r="C72" s="225"/>
      <c r="D72" s="225"/>
      <c r="E72" s="225"/>
      <c r="F72" s="339"/>
      <c r="G72" s="339"/>
      <c r="H72" s="340"/>
      <c r="I72" s="341"/>
      <c r="J72" s="340"/>
      <c r="K72" s="341"/>
    </row>
    <row r="73" spans="2:11">
      <c r="B73" s="224" t="s">
        <v>85</v>
      </c>
      <c r="C73" s="225"/>
      <c r="D73" s="225"/>
      <c r="E73" s="225"/>
      <c r="F73" s="339"/>
      <c r="G73" s="339"/>
      <c r="H73" s="340"/>
      <c r="I73" s="341"/>
      <c r="J73" s="340"/>
      <c r="K73" s="341"/>
    </row>
    <row r="74" spans="2:11">
      <c r="B74" s="224" t="s">
        <v>86</v>
      </c>
      <c r="C74" s="225"/>
      <c r="D74" s="225"/>
      <c r="E74" s="225"/>
      <c r="F74" s="339"/>
      <c r="G74" s="339"/>
      <c r="H74" s="340"/>
      <c r="I74" s="341"/>
      <c r="J74" s="340"/>
      <c r="K74" s="341"/>
    </row>
    <row r="75" spans="2:11">
      <c r="B75" s="224" t="s">
        <v>87</v>
      </c>
      <c r="C75" s="225"/>
      <c r="D75" s="225"/>
      <c r="E75" s="225"/>
      <c r="F75" s="339"/>
      <c r="G75" s="339"/>
      <c r="H75" s="340"/>
      <c r="I75" s="341"/>
      <c r="J75" s="340"/>
      <c r="K75" s="341"/>
    </row>
    <row r="76" spans="2:11">
      <c r="B76" s="224" t="s">
        <v>471</v>
      </c>
      <c r="C76" s="225"/>
      <c r="D76" s="225"/>
      <c r="E76" s="225"/>
      <c r="F76" s="339"/>
      <c r="G76" s="339"/>
      <c r="H76" s="340"/>
      <c r="I76" s="341"/>
      <c r="J76" s="340"/>
      <c r="K76" s="341"/>
    </row>
    <row r="77" spans="2:11">
      <c r="B77" s="224" t="s">
        <v>89</v>
      </c>
      <c r="C77" s="225"/>
      <c r="D77" s="225"/>
      <c r="E77" s="225"/>
      <c r="F77" s="339"/>
      <c r="G77" s="339"/>
      <c r="H77" s="340"/>
      <c r="I77" s="341"/>
      <c r="J77" s="340"/>
      <c r="K77" s="341"/>
    </row>
    <row r="78" spans="2:11">
      <c r="B78" s="224" t="s">
        <v>472</v>
      </c>
      <c r="C78" s="225"/>
      <c r="D78" s="225"/>
      <c r="E78" s="225"/>
      <c r="F78" s="339"/>
      <c r="G78" s="339"/>
      <c r="H78" s="340"/>
      <c r="I78" s="341"/>
      <c r="J78" s="340"/>
      <c r="K78" s="341"/>
    </row>
    <row r="79" spans="2:11">
      <c r="B79" s="224" t="s">
        <v>473</v>
      </c>
      <c r="C79" s="225"/>
      <c r="D79" s="225"/>
      <c r="E79" s="225"/>
      <c r="F79" s="339"/>
      <c r="G79" s="339"/>
      <c r="H79" s="227"/>
      <c r="I79" s="228"/>
      <c r="J79" s="227"/>
      <c r="K79" s="228"/>
    </row>
    <row r="80" spans="2:11">
      <c r="B80" s="224" t="s">
        <v>474</v>
      </c>
      <c r="C80" s="225"/>
      <c r="D80" s="225"/>
      <c r="E80" s="225"/>
      <c r="F80" s="339"/>
      <c r="G80" s="339"/>
      <c r="H80" s="227"/>
      <c r="I80" s="228"/>
      <c r="J80" s="227"/>
      <c r="K80" s="228"/>
    </row>
    <row r="81" spans="2:11">
      <c r="B81" s="224" t="s">
        <v>91</v>
      </c>
      <c r="C81" s="225"/>
      <c r="D81" s="225"/>
      <c r="E81" s="225"/>
      <c r="F81" s="339"/>
      <c r="G81" s="339"/>
      <c r="H81" s="340"/>
      <c r="I81" s="341"/>
      <c r="J81" s="340"/>
      <c r="K81" s="341"/>
    </row>
    <row r="82" spans="2:11">
      <c r="B82" s="224" t="s">
        <v>475</v>
      </c>
      <c r="C82" s="225"/>
      <c r="D82" s="225"/>
      <c r="E82" s="225"/>
      <c r="F82" s="339"/>
      <c r="G82" s="339"/>
      <c r="H82" s="227"/>
      <c r="I82" s="228"/>
      <c r="J82" s="227"/>
      <c r="K82" s="228"/>
    </row>
    <row r="83" spans="2:11">
      <c r="B83" s="224" t="s">
        <v>92</v>
      </c>
      <c r="C83" s="225"/>
      <c r="D83" s="225"/>
      <c r="E83" s="225"/>
      <c r="F83" s="339"/>
      <c r="G83" s="339"/>
      <c r="H83" s="340"/>
      <c r="I83" s="341"/>
      <c r="J83" s="340"/>
      <c r="K83" s="341"/>
    </row>
    <row r="84" spans="2:11" ht="15">
      <c r="B84" s="229"/>
      <c r="C84" s="230"/>
      <c r="D84" s="230"/>
      <c r="E84" s="230"/>
      <c r="F84" s="231"/>
      <c r="G84" s="231"/>
      <c r="H84" s="231"/>
      <c r="I84" s="231"/>
      <c r="J84" s="231"/>
      <c r="K84" s="232"/>
    </row>
    <row r="85" spans="2:11" ht="15">
      <c r="B85" s="286" t="s">
        <v>631</v>
      </c>
      <c r="C85" s="276"/>
      <c r="D85" s="276"/>
      <c r="E85" s="276"/>
      <c r="F85" s="276"/>
      <c r="G85" s="276"/>
      <c r="H85" s="276"/>
      <c r="I85" s="276"/>
      <c r="J85" s="276"/>
      <c r="K85" s="270"/>
    </row>
    <row r="86" spans="2:11" ht="15">
      <c r="B86" s="286" t="s">
        <v>632</v>
      </c>
      <c r="C86" s="276"/>
      <c r="D86" s="276"/>
      <c r="E86" s="276"/>
      <c r="F86" s="276"/>
      <c r="G86" s="276"/>
      <c r="H86" s="276"/>
      <c r="I86" s="276"/>
      <c r="J86" s="276"/>
      <c r="K86" s="270"/>
    </row>
    <row r="87" spans="2:11" ht="15">
      <c r="B87" s="286" t="s">
        <v>633</v>
      </c>
      <c r="C87" s="276"/>
      <c r="D87" s="276"/>
      <c r="E87" s="276"/>
      <c r="F87" s="277"/>
      <c r="G87" s="277"/>
      <c r="H87" s="277"/>
      <c r="I87" s="277"/>
      <c r="J87" s="277"/>
      <c r="K87" s="222"/>
    </row>
    <row r="88" spans="2:11" ht="15">
      <c r="B88" s="235"/>
      <c r="C88" s="278"/>
      <c r="D88" s="278"/>
      <c r="E88" s="278"/>
      <c r="F88" s="279"/>
      <c r="G88" s="279"/>
      <c r="H88" s="279"/>
      <c r="I88" s="279"/>
      <c r="J88" s="279"/>
      <c r="K88" s="236"/>
    </row>
    <row r="89" spans="2:11" ht="15">
      <c r="B89" s="283" t="s">
        <v>94</v>
      </c>
      <c r="C89" s="284"/>
      <c r="D89" s="342"/>
      <c r="E89" s="342"/>
      <c r="F89" s="284"/>
      <c r="G89" s="284" t="s">
        <v>30</v>
      </c>
      <c r="H89" s="342"/>
      <c r="I89" s="342"/>
      <c r="J89" s="284"/>
      <c r="K89" s="285"/>
    </row>
    <row r="90" spans="2:11" ht="15">
      <c r="B90" s="237"/>
      <c r="C90" s="281"/>
      <c r="D90" s="280"/>
      <c r="E90" s="280"/>
      <c r="F90" s="280"/>
      <c r="G90" s="280"/>
      <c r="H90" s="280"/>
      <c r="I90" s="280"/>
      <c r="J90" s="280"/>
      <c r="K90" s="240"/>
    </row>
    <row r="91" spans="2:11" ht="15">
      <c r="B91" s="237" t="s">
        <v>124</v>
      </c>
      <c r="C91" s="281"/>
      <c r="D91" s="342"/>
      <c r="E91" s="342"/>
      <c r="F91" s="342"/>
      <c r="G91" s="342"/>
      <c r="H91" s="342"/>
      <c r="I91" s="342"/>
      <c r="J91" s="342"/>
      <c r="K91" s="343"/>
    </row>
    <row r="92" spans="2:11" ht="15">
      <c r="B92" s="241"/>
      <c r="C92" s="281"/>
      <c r="D92" s="344"/>
      <c r="E92" s="344"/>
      <c r="F92" s="344"/>
      <c r="G92" s="344"/>
      <c r="H92" s="344"/>
      <c r="I92" s="344"/>
      <c r="J92" s="344"/>
      <c r="K92" s="345"/>
    </row>
    <row r="93" spans="2:11" ht="15">
      <c r="B93" s="237"/>
      <c r="C93" s="276"/>
      <c r="D93" s="280"/>
      <c r="E93" s="277"/>
      <c r="F93" s="277"/>
      <c r="G93" s="346"/>
      <c r="H93" s="347"/>
      <c r="I93" s="347"/>
      <c r="J93" s="347"/>
      <c r="K93" s="348"/>
    </row>
    <row r="94" spans="2:11" ht="15">
      <c r="B94" s="237" t="s">
        <v>634</v>
      </c>
      <c r="C94" s="276"/>
      <c r="D94" s="280"/>
      <c r="E94" s="349"/>
      <c r="F94" s="349"/>
      <c r="G94" s="349"/>
      <c r="H94" s="349"/>
      <c r="I94" s="349"/>
      <c r="J94" s="282"/>
      <c r="K94" s="244"/>
    </row>
    <row r="95" spans="2:11" ht="15">
      <c r="B95" s="237"/>
      <c r="D95" s="239"/>
      <c r="E95" s="221"/>
      <c r="F95" s="221"/>
      <c r="G95" s="221"/>
      <c r="H95" s="242"/>
      <c r="I95" s="243"/>
      <c r="J95" s="243"/>
      <c r="K95" s="244"/>
    </row>
    <row r="96" spans="2:11" ht="15">
      <c r="B96" s="245"/>
      <c r="C96" s="238"/>
      <c r="D96" s="246"/>
      <c r="E96" s="239"/>
      <c r="F96" s="246"/>
      <c r="G96" s="238"/>
      <c r="H96" s="221"/>
      <c r="I96" s="221"/>
      <c r="J96" s="221"/>
      <c r="K96" s="222"/>
    </row>
    <row r="97" spans="2:17" ht="15">
      <c r="B97" s="241"/>
      <c r="D97" s="221"/>
      <c r="E97" s="221"/>
      <c r="G97" s="247"/>
      <c r="H97" s="221"/>
      <c r="I97" s="221"/>
      <c r="J97" s="221"/>
      <c r="K97" s="233"/>
    </row>
    <row r="98" spans="2:17" ht="15">
      <c r="B98" s="245"/>
      <c r="C98" s="238"/>
      <c r="D98" s="246"/>
      <c r="E98" s="239"/>
      <c r="F98" s="246"/>
      <c r="G98" s="238"/>
      <c r="K98" s="222"/>
    </row>
    <row r="99" spans="2:17">
      <c r="B99" s="248"/>
      <c r="D99" s="221"/>
      <c r="E99" s="221"/>
      <c r="F99" s="221"/>
      <c r="G99" s="221"/>
      <c r="H99" s="221"/>
      <c r="I99" s="221"/>
      <c r="J99" s="221"/>
      <c r="K99" s="222"/>
    </row>
    <row r="100" spans="2:17">
      <c r="B100" s="249" t="s">
        <v>12</v>
      </c>
      <c r="C100" s="338" t="s">
        <v>101</v>
      </c>
      <c r="D100" s="338"/>
      <c r="E100" s="234"/>
      <c r="F100" s="234"/>
      <c r="G100" s="234"/>
      <c r="H100" s="234"/>
      <c r="I100" s="234"/>
      <c r="J100" s="234"/>
      <c r="K100" s="250" t="s">
        <v>102</v>
      </c>
    </row>
    <row r="101" spans="2:17" s="269" customFormat="1" ht="48.75" customHeight="1">
      <c r="B101" s="217" t="s">
        <v>18</v>
      </c>
      <c r="C101" s="218"/>
      <c r="D101" s="218"/>
      <c r="E101" s="218"/>
      <c r="F101" s="218"/>
      <c r="G101" s="218"/>
      <c r="H101" s="218"/>
      <c r="I101" s="218"/>
      <c r="J101" s="218"/>
      <c r="K101" s="219"/>
      <c r="O101" s="254"/>
      <c r="P101" s="254"/>
      <c r="Q101" s="254"/>
    </row>
    <row r="102" spans="2:17" ht="20.25">
      <c r="B102" s="366" t="s">
        <v>73</v>
      </c>
      <c r="C102" s="367"/>
      <c r="D102" s="367"/>
      <c r="E102" s="367"/>
      <c r="F102" s="367"/>
      <c r="G102" s="367"/>
      <c r="H102" s="367"/>
      <c r="I102" s="367"/>
      <c r="J102" s="367"/>
      <c r="K102" s="368"/>
    </row>
    <row r="103" spans="2:17">
      <c r="B103" s="220"/>
      <c r="C103" s="221"/>
      <c r="D103" s="221"/>
      <c r="E103" s="221"/>
      <c r="F103" s="221"/>
      <c r="G103" s="221"/>
      <c r="H103" s="221"/>
      <c r="I103" s="221"/>
      <c r="J103" s="221"/>
      <c r="K103" s="222"/>
    </row>
    <row r="104" spans="2:17">
      <c r="B104" s="369" t="s">
        <v>74</v>
      </c>
      <c r="C104" s="370"/>
      <c r="D104" s="370"/>
      <c r="E104" s="371">
        <f>E54</f>
        <v>0</v>
      </c>
      <c r="F104" s="371"/>
      <c r="G104" s="221"/>
      <c r="H104" s="223" t="s">
        <v>75</v>
      </c>
      <c r="I104" s="221"/>
      <c r="J104" s="371" t="str">
        <f>J54</f>
        <v>EO 1</v>
      </c>
      <c r="K104" s="372"/>
    </row>
    <row r="105" spans="2:17">
      <c r="B105" s="220"/>
      <c r="C105" s="221"/>
      <c r="D105" s="221"/>
      <c r="E105" s="221"/>
      <c r="F105" s="221"/>
      <c r="G105" s="221"/>
      <c r="H105" s="221"/>
      <c r="I105" s="221"/>
      <c r="J105" s="221"/>
      <c r="K105" s="222"/>
    </row>
    <row r="106" spans="2:17" ht="15">
      <c r="B106" s="373" t="s">
        <v>76</v>
      </c>
      <c r="C106" s="367"/>
      <c r="D106" s="368"/>
      <c r="E106" s="374" t="s">
        <v>77</v>
      </c>
      <c r="F106" s="374"/>
      <c r="G106" s="221"/>
      <c r="H106" s="374" t="s">
        <v>76</v>
      </c>
      <c r="I106" s="374"/>
      <c r="J106" s="374" t="s">
        <v>77</v>
      </c>
      <c r="K106" s="374"/>
    </row>
    <row r="107" spans="2:17">
      <c r="B107" s="362" t="str">
        <f>IF(OR(Q46="",Q46=0),"",Q46)</f>
        <v/>
      </c>
      <c r="C107" s="363"/>
      <c r="D107" s="364"/>
      <c r="E107" s="362" t="str">
        <f>IF(ISNA(INDEX(Schedule!O:O,MATCH(B107,Schedule!T:T,0))),"",INDEX(Schedule!O:O,MATCH(B107,Schedule!T:T,0)))</f>
        <v/>
      </c>
      <c r="F107" s="364"/>
      <c r="G107" s="253"/>
      <c r="H107" s="362"/>
      <c r="I107" s="364"/>
      <c r="J107" s="365"/>
      <c r="K107" s="365"/>
    </row>
    <row r="108" spans="2:17">
      <c r="B108" s="362" t="str">
        <f>IF(OR(Q47="",Q47=0),"",Q47)</f>
        <v/>
      </c>
      <c r="C108" s="363"/>
      <c r="D108" s="364"/>
      <c r="E108" s="362" t="str">
        <f>IF(ISNA(INDEX(Schedule!O:O,MATCH(B108,Schedule!T:T,0))),"",INDEX(Schedule!O:O,MATCH(B108,Schedule!T:T,0)))</f>
        <v/>
      </c>
      <c r="F108" s="364"/>
      <c r="G108" s="253"/>
      <c r="H108" s="362"/>
      <c r="I108" s="364"/>
      <c r="J108" s="365"/>
      <c r="K108" s="365"/>
    </row>
    <row r="109" spans="2:17">
      <c r="B109" s="362" t="str">
        <f t="shared" ref="B109:B115" si="4">IF(OR(Q48="",Q48=0),"",Q48)</f>
        <v/>
      </c>
      <c r="C109" s="363"/>
      <c r="D109" s="364"/>
      <c r="E109" s="362" t="str">
        <f>IF(ISNA(INDEX(Schedule!O:O,MATCH(B109,Schedule!T:T,0))),"",INDEX(Schedule!O:O,MATCH(B109,Schedule!T:T,0)))</f>
        <v/>
      </c>
      <c r="F109" s="364"/>
      <c r="G109" s="253"/>
      <c r="H109" s="362"/>
      <c r="I109" s="364"/>
      <c r="J109" s="365"/>
      <c r="K109" s="365"/>
    </row>
    <row r="110" spans="2:17">
      <c r="B110" s="362" t="str">
        <f t="shared" si="4"/>
        <v/>
      </c>
      <c r="C110" s="363"/>
      <c r="D110" s="364"/>
      <c r="E110" s="362" t="str">
        <f>IF(ISNA(INDEX(Schedule!O:O,MATCH(B110,Schedule!T:T,0))),"",INDEX(Schedule!O:O,MATCH(B110,Schedule!T:T,0)))</f>
        <v/>
      </c>
      <c r="F110" s="364"/>
      <c r="G110" s="253"/>
      <c r="H110" s="362"/>
      <c r="I110" s="364"/>
      <c r="J110" s="365"/>
      <c r="K110" s="365"/>
    </row>
    <row r="111" spans="2:17">
      <c r="B111" s="362" t="str">
        <f t="shared" si="4"/>
        <v/>
      </c>
      <c r="C111" s="363"/>
      <c r="D111" s="364"/>
      <c r="E111" s="362" t="str">
        <f>IF(ISNA(INDEX(Schedule!O:O,MATCH(B111,Schedule!T:T,0))),"",INDEX(Schedule!O:O,MATCH(B111,Schedule!T:T,0)))</f>
        <v/>
      </c>
      <c r="F111" s="364"/>
      <c r="G111" s="253"/>
      <c r="H111" s="362"/>
      <c r="I111" s="364"/>
      <c r="J111" s="365"/>
      <c r="K111" s="365"/>
    </row>
    <row r="112" spans="2:17">
      <c r="B112" s="362" t="str">
        <f t="shared" si="4"/>
        <v/>
      </c>
      <c r="C112" s="363"/>
      <c r="D112" s="364"/>
      <c r="E112" s="362" t="str">
        <f>IF(ISNA(INDEX(Schedule!O:O,MATCH(B112,Schedule!T:T,0))),"",INDEX(Schedule!O:O,MATCH(B112,Schedule!T:T,0)))</f>
        <v/>
      </c>
      <c r="F112" s="364"/>
      <c r="G112" s="253"/>
      <c r="H112" s="362"/>
      <c r="I112" s="364"/>
      <c r="J112" s="365"/>
      <c r="K112" s="365"/>
    </row>
    <row r="113" spans="2:11">
      <c r="B113" s="362" t="str">
        <f t="shared" si="4"/>
        <v/>
      </c>
      <c r="C113" s="363"/>
      <c r="D113" s="364"/>
      <c r="E113" s="362" t="str">
        <f>IF(ISNA(INDEX(Schedule!O:O,MATCH(B113,Schedule!T:T,0))),"",INDEX(Schedule!O:O,MATCH(B113,Schedule!T:T,0)))</f>
        <v/>
      </c>
      <c r="F113" s="364"/>
      <c r="G113" s="253"/>
      <c r="H113" s="362"/>
      <c r="I113" s="364"/>
      <c r="J113" s="365"/>
      <c r="K113" s="365"/>
    </row>
    <row r="114" spans="2:11">
      <c r="B114" s="362" t="str">
        <f t="shared" si="4"/>
        <v/>
      </c>
      <c r="C114" s="363"/>
      <c r="D114" s="364"/>
      <c r="E114" s="362" t="str">
        <f>IF(ISNA(INDEX(Schedule!O:O,MATCH(B114,Schedule!T:T,0))),"",INDEX(Schedule!O:O,MATCH(B114,Schedule!T:T,0)))</f>
        <v/>
      </c>
      <c r="F114" s="364"/>
      <c r="G114" s="253"/>
      <c r="H114" s="362"/>
      <c r="I114" s="364"/>
      <c r="J114" s="365"/>
      <c r="K114" s="365"/>
    </row>
    <row r="115" spans="2:11">
      <c r="B115" s="362" t="str">
        <f t="shared" si="4"/>
        <v/>
      </c>
      <c r="C115" s="363"/>
      <c r="D115" s="364"/>
      <c r="E115" s="362" t="str">
        <f>IF(ISNA(INDEX(Schedule!O:O,MATCH(B115,Schedule!T:T,0))),"",INDEX(Schedule!O:O,MATCH(B115,Schedule!T:T,0)))</f>
        <v/>
      </c>
      <c r="F115" s="364"/>
      <c r="G115" s="253"/>
      <c r="H115" s="362"/>
      <c r="I115" s="364"/>
      <c r="J115" s="365"/>
      <c r="K115" s="365"/>
    </row>
    <row r="116" spans="2:11">
      <c r="B116" s="362"/>
      <c r="C116" s="363"/>
      <c r="D116" s="364"/>
      <c r="E116" s="365"/>
      <c r="F116" s="365"/>
      <c r="G116" s="253"/>
      <c r="H116" s="362"/>
      <c r="I116" s="364"/>
      <c r="J116" s="365"/>
      <c r="K116" s="365"/>
    </row>
    <row r="117" spans="2:11">
      <c r="B117" s="220"/>
      <c r="C117" s="221"/>
      <c r="D117" s="221"/>
      <c r="E117" s="221"/>
      <c r="F117" s="221"/>
      <c r="G117" s="221"/>
      <c r="H117" s="221"/>
      <c r="I117" s="221"/>
      <c r="J117" s="221"/>
      <c r="K117" s="222"/>
    </row>
    <row r="118" spans="2:11" ht="15.75">
      <c r="B118" s="350" t="s">
        <v>78</v>
      </c>
      <c r="C118" s="351"/>
      <c r="D118" s="351"/>
      <c r="E118" s="351"/>
      <c r="F118" s="351"/>
      <c r="G118" s="351"/>
      <c r="H118" s="351"/>
      <c r="I118" s="351"/>
      <c r="J118" s="351"/>
      <c r="K118" s="351"/>
    </row>
    <row r="119" spans="2:11">
      <c r="B119" s="352" t="s">
        <v>79</v>
      </c>
      <c r="C119" s="353"/>
      <c r="D119" s="353"/>
      <c r="E119" s="353"/>
      <c r="F119" s="356" t="s">
        <v>80</v>
      </c>
      <c r="G119" s="357"/>
      <c r="H119" s="356" t="s">
        <v>81</v>
      </c>
      <c r="I119" s="360"/>
      <c r="J119" s="356" t="s">
        <v>82</v>
      </c>
      <c r="K119" s="360"/>
    </row>
    <row r="120" spans="2:11">
      <c r="B120" s="354"/>
      <c r="C120" s="355"/>
      <c r="D120" s="355"/>
      <c r="E120" s="355"/>
      <c r="F120" s="358"/>
      <c r="G120" s="359"/>
      <c r="H120" s="354"/>
      <c r="I120" s="361"/>
      <c r="J120" s="354"/>
      <c r="K120" s="361"/>
    </row>
    <row r="121" spans="2:11">
      <c r="B121" s="224" t="s">
        <v>83</v>
      </c>
      <c r="C121" s="225"/>
      <c r="D121" s="225"/>
      <c r="E121" s="225"/>
      <c r="F121" s="339"/>
      <c r="G121" s="339"/>
      <c r="H121" s="340"/>
      <c r="I121" s="341"/>
      <c r="J121" s="340"/>
      <c r="K121" s="341"/>
    </row>
    <row r="122" spans="2:11">
      <c r="B122" s="224" t="s">
        <v>84</v>
      </c>
      <c r="C122" s="225"/>
      <c r="D122" s="225"/>
      <c r="E122" s="225"/>
      <c r="F122" s="339"/>
      <c r="G122" s="339"/>
      <c r="H122" s="340"/>
      <c r="I122" s="341"/>
      <c r="J122" s="340"/>
      <c r="K122" s="341"/>
    </row>
    <row r="123" spans="2:11">
      <c r="B123" s="224" t="s">
        <v>85</v>
      </c>
      <c r="C123" s="225"/>
      <c r="D123" s="225"/>
      <c r="E123" s="225"/>
      <c r="F123" s="339"/>
      <c r="G123" s="339"/>
      <c r="H123" s="340"/>
      <c r="I123" s="341"/>
      <c r="J123" s="340"/>
      <c r="K123" s="341"/>
    </row>
    <row r="124" spans="2:11">
      <c r="B124" s="224" t="s">
        <v>86</v>
      </c>
      <c r="C124" s="225"/>
      <c r="D124" s="225"/>
      <c r="E124" s="225"/>
      <c r="F124" s="339"/>
      <c r="G124" s="339"/>
      <c r="H124" s="340"/>
      <c r="I124" s="341"/>
      <c r="J124" s="340"/>
      <c r="K124" s="341"/>
    </row>
    <row r="125" spans="2:11">
      <c r="B125" s="224" t="s">
        <v>87</v>
      </c>
      <c r="C125" s="225"/>
      <c r="D125" s="225"/>
      <c r="E125" s="225"/>
      <c r="F125" s="339"/>
      <c r="G125" s="339"/>
      <c r="H125" s="340"/>
      <c r="I125" s="341"/>
      <c r="J125" s="340"/>
      <c r="K125" s="341"/>
    </row>
    <row r="126" spans="2:11">
      <c r="B126" s="224" t="s">
        <v>471</v>
      </c>
      <c r="C126" s="225"/>
      <c r="D126" s="225"/>
      <c r="E126" s="225"/>
      <c r="F126" s="339"/>
      <c r="G126" s="339"/>
      <c r="H126" s="340"/>
      <c r="I126" s="341"/>
      <c r="J126" s="340"/>
      <c r="K126" s="341"/>
    </row>
    <row r="127" spans="2:11">
      <c r="B127" s="224" t="s">
        <v>89</v>
      </c>
      <c r="C127" s="225"/>
      <c r="D127" s="225"/>
      <c r="E127" s="225"/>
      <c r="F127" s="339"/>
      <c r="G127" s="339"/>
      <c r="H127" s="340"/>
      <c r="I127" s="341"/>
      <c r="J127" s="340"/>
      <c r="K127" s="341"/>
    </row>
    <row r="128" spans="2:11">
      <c r="B128" s="224" t="s">
        <v>472</v>
      </c>
      <c r="C128" s="225"/>
      <c r="D128" s="225"/>
      <c r="E128" s="225"/>
      <c r="F128" s="339"/>
      <c r="G128" s="339"/>
      <c r="H128" s="340"/>
      <c r="I128" s="341"/>
      <c r="J128" s="340"/>
      <c r="K128" s="341"/>
    </row>
    <row r="129" spans="2:11">
      <c r="B129" s="224" t="s">
        <v>473</v>
      </c>
      <c r="C129" s="225"/>
      <c r="D129" s="225"/>
      <c r="E129" s="225"/>
      <c r="F129" s="339"/>
      <c r="G129" s="339"/>
      <c r="H129" s="227"/>
      <c r="I129" s="228"/>
      <c r="J129" s="227"/>
      <c r="K129" s="228"/>
    </row>
    <row r="130" spans="2:11">
      <c r="B130" s="224" t="s">
        <v>474</v>
      </c>
      <c r="C130" s="225"/>
      <c r="D130" s="225"/>
      <c r="E130" s="225"/>
      <c r="F130" s="339"/>
      <c r="G130" s="339"/>
      <c r="H130" s="227"/>
      <c r="I130" s="228"/>
      <c r="J130" s="227"/>
      <c r="K130" s="228"/>
    </row>
    <row r="131" spans="2:11">
      <c r="B131" s="224" t="s">
        <v>91</v>
      </c>
      <c r="C131" s="225"/>
      <c r="D131" s="225"/>
      <c r="E131" s="225"/>
      <c r="F131" s="339"/>
      <c r="G131" s="339"/>
      <c r="H131" s="340"/>
      <c r="I131" s="341"/>
      <c r="J131" s="340"/>
      <c r="K131" s="341"/>
    </row>
    <row r="132" spans="2:11">
      <c r="B132" s="224" t="s">
        <v>475</v>
      </c>
      <c r="C132" s="225"/>
      <c r="D132" s="225"/>
      <c r="E132" s="225"/>
      <c r="F132" s="339"/>
      <c r="G132" s="339"/>
      <c r="H132" s="227"/>
      <c r="I132" s="228"/>
      <c r="J132" s="227"/>
      <c r="K132" s="228"/>
    </row>
    <row r="133" spans="2:11">
      <c r="B133" s="224" t="s">
        <v>92</v>
      </c>
      <c r="C133" s="225"/>
      <c r="D133" s="225"/>
      <c r="E133" s="225"/>
      <c r="F133" s="339"/>
      <c r="G133" s="339"/>
      <c r="H133" s="340"/>
      <c r="I133" s="341"/>
      <c r="J133" s="340"/>
      <c r="K133" s="341"/>
    </row>
    <row r="134" spans="2:11" ht="15">
      <c r="B134" s="229"/>
      <c r="C134" s="230"/>
      <c r="D134" s="230"/>
      <c r="E134" s="230"/>
      <c r="F134" s="231"/>
      <c r="G134" s="231"/>
      <c r="H134" s="231"/>
      <c r="I134" s="231"/>
      <c r="J134" s="231"/>
      <c r="K134" s="232"/>
    </row>
    <row r="135" spans="2:11" ht="15">
      <c r="B135" s="286" t="s">
        <v>631</v>
      </c>
      <c r="C135" s="276"/>
      <c r="D135" s="276"/>
      <c r="E135" s="276"/>
      <c r="F135" s="276"/>
      <c r="G135" s="276"/>
      <c r="H135" s="276"/>
      <c r="I135" s="276"/>
      <c r="J135" s="276"/>
      <c r="K135" s="270"/>
    </row>
    <row r="136" spans="2:11" ht="15">
      <c r="B136" s="286" t="s">
        <v>632</v>
      </c>
      <c r="C136" s="276"/>
      <c r="D136" s="276"/>
      <c r="E136" s="276"/>
      <c r="F136" s="276"/>
      <c r="G136" s="276"/>
      <c r="H136" s="276"/>
      <c r="I136" s="276"/>
      <c r="J136" s="276"/>
      <c r="K136" s="270"/>
    </row>
    <row r="137" spans="2:11" ht="15">
      <c r="B137" s="286" t="s">
        <v>633</v>
      </c>
      <c r="C137" s="276"/>
      <c r="D137" s="276"/>
      <c r="E137" s="276"/>
      <c r="F137" s="277"/>
      <c r="G137" s="277"/>
      <c r="H137" s="277"/>
      <c r="I137" s="277"/>
      <c r="J137" s="277"/>
      <c r="K137" s="222"/>
    </row>
    <row r="138" spans="2:11" ht="15">
      <c r="B138" s="235"/>
      <c r="C138" s="278"/>
      <c r="D138" s="278"/>
      <c r="E138" s="278"/>
      <c r="F138" s="279"/>
      <c r="G138" s="279"/>
      <c r="H138" s="279"/>
      <c r="I138" s="279"/>
      <c r="J138" s="279"/>
      <c r="K138" s="236"/>
    </row>
    <row r="139" spans="2:11" ht="15">
      <c r="B139" s="283" t="s">
        <v>94</v>
      </c>
      <c r="C139" s="284"/>
      <c r="D139" s="342"/>
      <c r="E139" s="342"/>
      <c r="F139" s="284"/>
      <c r="G139" s="284" t="s">
        <v>30</v>
      </c>
      <c r="H139" s="342"/>
      <c r="I139" s="342"/>
      <c r="J139" s="284"/>
      <c r="K139" s="285"/>
    </row>
    <row r="140" spans="2:11" ht="15">
      <c r="B140" s="237"/>
      <c r="C140" s="281"/>
      <c r="D140" s="280"/>
      <c r="E140" s="280"/>
      <c r="F140" s="280"/>
      <c r="G140" s="280"/>
      <c r="H140" s="280"/>
      <c r="I140" s="280"/>
      <c r="J140" s="280"/>
      <c r="K140" s="240"/>
    </row>
    <row r="141" spans="2:11" ht="15">
      <c r="B141" s="237" t="s">
        <v>124</v>
      </c>
      <c r="C141" s="281"/>
      <c r="D141" s="342"/>
      <c r="E141" s="342"/>
      <c r="F141" s="342"/>
      <c r="G141" s="342"/>
      <c r="H141" s="342"/>
      <c r="I141" s="342"/>
      <c r="J141" s="342"/>
      <c r="K141" s="343"/>
    </row>
    <row r="142" spans="2:11" ht="15">
      <c r="B142" s="241"/>
      <c r="C142" s="281"/>
      <c r="D142" s="344"/>
      <c r="E142" s="344"/>
      <c r="F142" s="344"/>
      <c r="G142" s="344"/>
      <c r="H142" s="344"/>
      <c r="I142" s="344"/>
      <c r="J142" s="344"/>
      <c r="K142" s="345"/>
    </row>
    <row r="143" spans="2:11" ht="15">
      <c r="B143" s="237"/>
      <c r="C143" s="276"/>
      <c r="D143" s="280"/>
      <c r="E143" s="277"/>
      <c r="F143" s="277"/>
      <c r="G143" s="346"/>
      <c r="H143" s="347"/>
      <c r="I143" s="347"/>
      <c r="J143" s="347"/>
      <c r="K143" s="348"/>
    </row>
    <row r="144" spans="2:11" ht="15">
      <c r="B144" s="237" t="s">
        <v>634</v>
      </c>
      <c r="C144" s="276"/>
      <c r="D144" s="280"/>
      <c r="E144" s="349"/>
      <c r="F144" s="349"/>
      <c r="G144" s="349"/>
      <c r="H144" s="349"/>
      <c r="I144" s="349"/>
      <c r="J144" s="282"/>
      <c r="K144" s="244"/>
    </row>
    <row r="145" spans="2:11" ht="15">
      <c r="B145" s="237"/>
      <c r="D145" s="239"/>
      <c r="E145" s="221"/>
      <c r="F145" s="221"/>
      <c r="G145" s="221"/>
      <c r="H145" s="242"/>
      <c r="I145" s="243"/>
      <c r="J145" s="243"/>
      <c r="K145" s="244"/>
    </row>
    <row r="146" spans="2:11" ht="15">
      <c r="B146" s="245"/>
      <c r="C146" s="238"/>
      <c r="D146" s="246"/>
      <c r="E146" s="239"/>
      <c r="F146" s="246"/>
      <c r="G146" s="238"/>
      <c r="H146" s="221"/>
      <c r="I146" s="221"/>
      <c r="J146" s="221"/>
      <c r="K146" s="222"/>
    </row>
    <row r="147" spans="2:11" ht="15">
      <c r="B147" s="241"/>
      <c r="D147" s="221"/>
      <c r="E147" s="221"/>
      <c r="G147" s="247"/>
      <c r="H147" s="221"/>
      <c r="I147" s="221"/>
      <c r="J147" s="221"/>
      <c r="K147" s="233"/>
    </row>
    <row r="148" spans="2:11" ht="15">
      <c r="B148" s="245"/>
      <c r="C148" s="238"/>
      <c r="D148" s="246"/>
      <c r="E148" s="239"/>
      <c r="F148" s="246"/>
      <c r="G148" s="238"/>
      <c r="K148" s="222"/>
    </row>
    <row r="149" spans="2:11">
      <c r="B149" s="248"/>
      <c r="D149" s="221"/>
      <c r="E149" s="221"/>
      <c r="F149" s="221"/>
      <c r="G149" s="221"/>
      <c r="H149" s="221"/>
      <c r="I149" s="221"/>
      <c r="J149" s="221"/>
      <c r="K149" s="222"/>
    </row>
    <row r="150" spans="2:11">
      <c r="B150" s="249" t="s">
        <v>12</v>
      </c>
      <c r="C150" s="338" t="s">
        <v>101</v>
      </c>
      <c r="D150" s="338"/>
      <c r="E150" s="234"/>
      <c r="F150" s="234"/>
      <c r="G150" s="234"/>
      <c r="H150" s="234"/>
      <c r="I150" s="234"/>
      <c r="J150" s="234"/>
      <c r="K150" s="250" t="s">
        <v>102</v>
      </c>
    </row>
  </sheetData>
  <sortState ref="Q7:Q54">
    <sortCondition descending="1" ref="Q7:Q54"/>
  </sortState>
  <mergeCells count="279">
    <mergeCell ref="E45:I45"/>
    <mergeCell ref="D89:E89"/>
    <mergeCell ref="H89:I89"/>
    <mergeCell ref="D91:K91"/>
    <mergeCell ref="D92:K92"/>
    <mergeCell ref="G93:K93"/>
    <mergeCell ref="E94:I94"/>
    <mergeCell ref="D139:E139"/>
    <mergeCell ref="H139:I139"/>
    <mergeCell ref="B57:D57"/>
    <mergeCell ref="E57:F57"/>
    <mergeCell ref="H57:I57"/>
    <mergeCell ref="J57:K57"/>
    <mergeCell ref="B58:D58"/>
    <mergeCell ref="E58:F58"/>
    <mergeCell ref="H58:I58"/>
    <mergeCell ref="J58:K58"/>
    <mergeCell ref="C50:D50"/>
    <mergeCell ref="B52:K52"/>
    <mergeCell ref="B54:D54"/>
    <mergeCell ref="E54:F54"/>
    <mergeCell ref="J54:K54"/>
    <mergeCell ref="B56:D56"/>
    <mergeCell ref="E56:F56"/>
    <mergeCell ref="B7:D7"/>
    <mergeCell ref="E7:F7"/>
    <mergeCell ref="H7:I7"/>
    <mergeCell ref="J7:K7"/>
    <mergeCell ref="B8:D8"/>
    <mergeCell ref="E8:F8"/>
    <mergeCell ref="H8:I8"/>
    <mergeCell ref="J8:K8"/>
    <mergeCell ref="B2:K2"/>
    <mergeCell ref="B4:D4"/>
    <mergeCell ref="E4:F4"/>
    <mergeCell ref="J4:K4"/>
    <mergeCell ref="B6:D6"/>
    <mergeCell ref="E6:F6"/>
    <mergeCell ref="H6:I6"/>
    <mergeCell ref="J6:K6"/>
    <mergeCell ref="B11:D11"/>
    <mergeCell ref="E11:F11"/>
    <mergeCell ref="H11:I11"/>
    <mergeCell ref="J11:K11"/>
    <mergeCell ref="B12:D12"/>
    <mergeCell ref="E12:F12"/>
    <mergeCell ref="H12:I12"/>
    <mergeCell ref="J12:K12"/>
    <mergeCell ref="B9:D9"/>
    <mergeCell ref="E9:F9"/>
    <mergeCell ref="H9:I9"/>
    <mergeCell ref="J9:K9"/>
    <mergeCell ref="B10:D10"/>
    <mergeCell ref="E10:F10"/>
    <mergeCell ref="H10:I10"/>
    <mergeCell ref="J10:K10"/>
    <mergeCell ref="B15:D15"/>
    <mergeCell ref="E15:F15"/>
    <mergeCell ref="H15:I15"/>
    <mergeCell ref="J15:K15"/>
    <mergeCell ref="B16:D16"/>
    <mergeCell ref="E16:F16"/>
    <mergeCell ref="H16:I16"/>
    <mergeCell ref="J16:K16"/>
    <mergeCell ref="B13:D13"/>
    <mergeCell ref="E13:F13"/>
    <mergeCell ref="H13:I13"/>
    <mergeCell ref="J13:K13"/>
    <mergeCell ref="B14:D14"/>
    <mergeCell ref="E14:F14"/>
    <mergeCell ref="H14:I14"/>
    <mergeCell ref="J14:K14"/>
    <mergeCell ref="F22:G22"/>
    <mergeCell ref="H22:I22"/>
    <mergeCell ref="J22:K22"/>
    <mergeCell ref="F23:G23"/>
    <mergeCell ref="H23:I23"/>
    <mergeCell ref="J23:K23"/>
    <mergeCell ref="B18:K18"/>
    <mergeCell ref="B19:E20"/>
    <mergeCell ref="F19:G20"/>
    <mergeCell ref="H19:I20"/>
    <mergeCell ref="J19:K20"/>
    <mergeCell ref="F21:G21"/>
    <mergeCell ref="H21:I21"/>
    <mergeCell ref="J21:K21"/>
    <mergeCell ref="F26:G26"/>
    <mergeCell ref="H26:I26"/>
    <mergeCell ref="J26:K26"/>
    <mergeCell ref="F27:G27"/>
    <mergeCell ref="H27:I27"/>
    <mergeCell ref="J27:K27"/>
    <mergeCell ref="F24:G24"/>
    <mergeCell ref="H24:I24"/>
    <mergeCell ref="J24:K24"/>
    <mergeCell ref="F25:G25"/>
    <mergeCell ref="H25:I25"/>
    <mergeCell ref="J25:K25"/>
    <mergeCell ref="F32:G32"/>
    <mergeCell ref="F33:G33"/>
    <mergeCell ref="H33:I33"/>
    <mergeCell ref="J33:K33"/>
    <mergeCell ref="G44:K44"/>
    <mergeCell ref="F28:G28"/>
    <mergeCell ref="H28:I28"/>
    <mergeCell ref="J28:K28"/>
    <mergeCell ref="F29:G29"/>
    <mergeCell ref="F30:G30"/>
    <mergeCell ref="F31:G31"/>
    <mergeCell ref="H31:I31"/>
    <mergeCell ref="J31:K31"/>
    <mergeCell ref="D42:K42"/>
    <mergeCell ref="D43:K43"/>
    <mergeCell ref="D40:E40"/>
    <mergeCell ref="H40:I40"/>
    <mergeCell ref="H56:I56"/>
    <mergeCell ref="J56:K56"/>
    <mergeCell ref="B61:D61"/>
    <mergeCell ref="E61:F61"/>
    <mergeCell ref="H61:I61"/>
    <mergeCell ref="J61:K61"/>
    <mergeCell ref="B62:D62"/>
    <mergeCell ref="E62:F62"/>
    <mergeCell ref="H62:I62"/>
    <mergeCell ref="J62:K62"/>
    <mergeCell ref="B59:D59"/>
    <mergeCell ref="E59:F59"/>
    <mergeCell ref="H59:I59"/>
    <mergeCell ref="J59:K59"/>
    <mergeCell ref="B60:D60"/>
    <mergeCell ref="E60:F60"/>
    <mergeCell ref="H60:I60"/>
    <mergeCell ref="J60:K60"/>
    <mergeCell ref="B65:D65"/>
    <mergeCell ref="E65:F65"/>
    <mergeCell ref="H65:I65"/>
    <mergeCell ref="J65:K65"/>
    <mergeCell ref="B66:D66"/>
    <mergeCell ref="E66:F66"/>
    <mergeCell ref="H66:I66"/>
    <mergeCell ref="J66:K66"/>
    <mergeCell ref="B63:D63"/>
    <mergeCell ref="E63:F63"/>
    <mergeCell ref="H63:I63"/>
    <mergeCell ref="J63:K63"/>
    <mergeCell ref="B64:D64"/>
    <mergeCell ref="E64:F64"/>
    <mergeCell ref="H64:I64"/>
    <mergeCell ref="J64:K64"/>
    <mergeCell ref="F72:G72"/>
    <mergeCell ref="H72:I72"/>
    <mergeCell ref="J72:K72"/>
    <mergeCell ref="F73:G73"/>
    <mergeCell ref="H73:I73"/>
    <mergeCell ref="J73:K73"/>
    <mergeCell ref="B68:K68"/>
    <mergeCell ref="B69:E70"/>
    <mergeCell ref="F69:G70"/>
    <mergeCell ref="H69:I70"/>
    <mergeCell ref="J69:K70"/>
    <mergeCell ref="F71:G71"/>
    <mergeCell ref="H71:I71"/>
    <mergeCell ref="J71:K71"/>
    <mergeCell ref="F76:G76"/>
    <mergeCell ref="H76:I76"/>
    <mergeCell ref="J76:K76"/>
    <mergeCell ref="F77:G77"/>
    <mergeCell ref="H77:I77"/>
    <mergeCell ref="J77:K77"/>
    <mergeCell ref="F74:G74"/>
    <mergeCell ref="H74:I74"/>
    <mergeCell ref="J74:K74"/>
    <mergeCell ref="F75:G75"/>
    <mergeCell ref="H75:I75"/>
    <mergeCell ref="J75:K75"/>
    <mergeCell ref="F82:G82"/>
    <mergeCell ref="F83:G83"/>
    <mergeCell ref="H83:I83"/>
    <mergeCell ref="J83:K83"/>
    <mergeCell ref="F78:G78"/>
    <mergeCell ref="H78:I78"/>
    <mergeCell ref="J78:K78"/>
    <mergeCell ref="F79:G79"/>
    <mergeCell ref="F80:G80"/>
    <mergeCell ref="F81:G81"/>
    <mergeCell ref="H81:I81"/>
    <mergeCell ref="J81:K81"/>
    <mergeCell ref="B107:D107"/>
    <mergeCell ref="E107:F107"/>
    <mergeCell ref="H107:I107"/>
    <mergeCell ref="J107:K107"/>
    <mergeCell ref="B108:D108"/>
    <mergeCell ref="E108:F108"/>
    <mergeCell ref="H108:I108"/>
    <mergeCell ref="J108:K108"/>
    <mergeCell ref="C100:D100"/>
    <mergeCell ref="B102:K102"/>
    <mergeCell ref="B104:D104"/>
    <mergeCell ref="E104:F104"/>
    <mergeCell ref="J104:K104"/>
    <mergeCell ref="B106:D106"/>
    <mergeCell ref="E106:F106"/>
    <mergeCell ref="H106:I106"/>
    <mergeCell ref="J106:K106"/>
    <mergeCell ref="B111:D111"/>
    <mergeCell ref="E111:F111"/>
    <mergeCell ref="H111:I111"/>
    <mergeCell ref="J111:K111"/>
    <mergeCell ref="B112:D112"/>
    <mergeCell ref="E112:F112"/>
    <mergeCell ref="H112:I112"/>
    <mergeCell ref="J112:K112"/>
    <mergeCell ref="B109:D109"/>
    <mergeCell ref="E109:F109"/>
    <mergeCell ref="H109:I109"/>
    <mergeCell ref="J109:K109"/>
    <mergeCell ref="B110:D110"/>
    <mergeCell ref="E110:F110"/>
    <mergeCell ref="H110:I110"/>
    <mergeCell ref="J110:K110"/>
    <mergeCell ref="B115:D115"/>
    <mergeCell ref="E115:F115"/>
    <mergeCell ref="H115:I115"/>
    <mergeCell ref="J115:K115"/>
    <mergeCell ref="B116:D116"/>
    <mergeCell ref="E116:F116"/>
    <mergeCell ref="H116:I116"/>
    <mergeCell ref="J116:K116"/>
    <mergeCell ref="B113:D113"/>
    <mergeCell ref="E113:F113"/>
    <mergeCell ref="H113:I113"/>
    <mergeCell ref="J113:K113"/>
    <mergeCell ref="B114:D114"/>
    <mergeCell ref="E114:F114"/>
    <mergeCell ref="H114:I114"/>
    <mergeCell ref="J114:K114"/>
    <mergeCell ref="F122:G122"/>
    <mergeCell ref="H122:I122"/>
    <mergeCell ref="J122:K122"/>
    <mergeCell ref="F123:G123"/>
    <mergeCell ref="H123:I123"/>
    <mergeCell ref="J123:K123"/>
    <mergeCell ref="B118:K118"/>
    <mergeCell ref="B119:E120"/>
    <mergeCell ref="F119:G120"/>
    <mergeCell ref="H119:I120"/>
    <mergeCell ref="J119:K120"/>
    <mergeCell ref="F121:G121"/>
    <mergeCell ref="H121:I121"/>
    <mergeCell ref="J121:K121"/>
    <mergeCell ref="F126:G126"/>
    <mergeCell ref="H126:I126"/>
    <mergeCell ref="J126:K126"/>
    <mergeCell ref="F127:G127"/>
    <mergeCell ref="H127:I127"/>
    <mergeCell ref="J127:K127"/>
    <mergeCell ref="F124:G124"/>
    <mergeCell ref="H124:I124"/>
    <mergeCell ref="J124:K124"/>
    <mergeCell ref="F125:G125"/>
    <mergeCell ref="H125:I125"/>
    <mergeCell ref="J125:K125"/>
    <mergeCell ref="C150:D150"/>
    <mergeCell ref="F132:G132"/>
    <mergeCell ref="F133:G133"/>
    <mergeCell ref="H133:I133"/>
    <mergeCell ref="J133:K133"/>
    <mergeCell ref="F128:G128"/>
    <mergeCell ref="H128:I128"/>
    <mergeCell ref="J128:K128"/>
    <mergeCell ref="F129:G129"/>
    <mergeCell ref="F130:G130"/>
    <mergeCell ref="F131:G131"/>
    <mergeCell ref="H131:I131"/>
    <mergeCell ref="J131:K131"/>
    <mergeCell ref="D141:K141"/>
    <mergeCell ref="D142:K142"/>
    <mergeCell ref="G143:K143"/>
    <mergeCell ref="E144:I144"/>
  </mergeCells>
  <printOptions horizontalCentered="1" verticalCentered="1"/>
  <pageMargins left="0" right="0" top="0" bottom="0" header="0" footer="0"/>
  <pageSetup scale="98" orientation="portrait" horizontalDpi="1200" verticalDpi="1200" r:id="rId1"/>
  <headerFooter alignWithMargins="0"/>
  <rowBreaks count="2" manualBreakCount="2">
    <brk id="50" max="16383" man="1"/>
    <brk id="10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ter_rec_review_sheet">
                <anchor moveWithCells="1" sizeWithCells="1">
                  <from>
                    <xdr:col>12</xdr:col>
                    <xdr:colOff>485775</xdr:colOff>
                    <xdr:row>0</xdr:row>
                    <xdr:rowOff>581025</xdr:rowOff>
                  </from>
                  <to>
                    <xdr:col>16</xdr:col>
                    <xdr:colOff>266700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47"/>
  <sheetViews>
    <sheetView zoomScaleNormal="100" workbookViewId="0">
      <selection activeCell="J9" sqref="J9:K9"/>
    </sheetView>
  </sheetViews>
  <sheetFormatPr defaultRowHeight="12.75"/>
  <cols>
    <col min="1" max="1" width="2.125" customWidth="1"/>
    <col min="2" max="2" width="5.625" customWidth="1"/>
    <col min="3" max="3" width="6" customWidth="1"/>
    <col min="4" max="4" width="13.375" customWidth="1"/>
    <col min="5" max="5" width="9.75" customWidth="1"/>
    <col min="6" max="6" width="8.25" customWidth="1"/>
    <col min="7" max="7" width="7.25" customWidth="1"/>
    <col min="9" max="9" width="12" customWidth="1"/>
    <col min="11" max="11" width="11.25" customWidth="1"/>
    <col min="13" max="14" width="8.625" style="139"/>
    <col min="15" max="15" width="9" style="139"/>
    <col min="17" max="17" width="9" style="139"/>
  </cols>
  <sheetData>
    <row r="1" spans="2:17" ht="59.25">
      <c r="B1" s="77" t="s">
        <v>18</v>
      </c>
      <c r="C1" s="78"/>
      <c r="D1" s="78"/>
      <c r="E1" s="78"/>
      <c r="F1" s="78"/>
      <c r="G1" s="78"/>
      <c r="H1" s="78"/>
      <c r="I1" s="78"/>
      <c r="J1" s="78"/>
      <c r="K1" s="79"/>
    </row>
    <row r="2" spans="2:17" ht="20.25">
      <c r="B2" s="412" t="s">
        <v>73</v>
      </c>
      <c r="C2" s="409"/>
      <c r="D2" s="409"/>
      <c r="E2" s="409"/>
      <c r="F2" s="409"/>
      <c r="G2" s="409"/>
      <c r="H2" s="409"/>
      <c r="I2" s="409"/>
      <c r="J2" s="409"/>
      <c r="K2" s="410"/>
      <c r="M2" s="417"/>
      <c r="N2" s="417"/>
      <c r="O2" s="417"/>
    </row>
    <row r="3" spans="2:17">
      <c r="B3" s="80"/>
      <c r="C3" s="81"/>
      <c r="D3" s="81"/>
      <c r="E3" s="81"/>
      <c r="F3" s="81"/>
      <c r="G3" s="81"/>
      <c r="H3" s="81"/>
      <c r="I3" s="81"/>
      <c r="J3" s="81"/>
      <c r="K3" s="82"/>
      <c r="M3" s="417"/>
      <c r="N3" s="417"/>
      <c r="O3" s="417"/>
    </row>
    <row r="4" spans="2:17">
      <c r="B4" s="80"/>
      <c r="C4" s="81"/>
      <c r="D4" s="81"/>
      <c r="E4" s="81"/>
      <c r="F4" s="81"/>
      <c r="G4" s="81"/>
      <c r="H4" s="81"/>
      <c r="I4" s="81"/>
      <c r="J4" s="81"/>
      <c r="K4" s="82"/>
      <c r="M4" s="417"/>
      <c r="N4" s="417"/>
      <c r="O4" s="417"/>
    </row>
    <row r="5" spans="2:17" ht="14.25">
      <c r="B5" s="413" t="s">
        <v>74</v>
      </c>
      <c r="C5" s="414"/>
      <c r="D5" s="414"/>
      <c r="E5" s="415" t="s">
        <v>396</v>
      </c>
      <c r="F5" s="415"/>
      <c r="G5" s="142"/>
      <c r="H5" s="143" t="s">
        <v>75</v>
      </c>
      <c r="I5" s="142"/>
      <c r="J5" s="415" t="str">
        <f>IF('09-54-01 BIC'!M33&lt;&gt;"",'09-54-01 BIC'!M33,"")</f>
        <v>EO 1</v>
      </c>
      <c r="K5" s="416"/>
    </row>
    <row r="6" spans="2:17">
      <c r="B6" s="80"/>
      <c r="C6" s="81"/>
      <c r="D6" s="81"/>
      <c r="E6" s="81"/>
      <c r="F6" s="81"/>
      <c r="G6" s="81"/>
      <c r="H6" s="81"/>
      <c r="I6" s="81"/>
      <c r="J6" s="81"/>
      <c r="K6" s="82"/>
    </row>
    <row r="7" spans="2:17">
      <c r="B7" s="80"/>
      <c r="C7" s="81"/>
      <c r="D7" s="81"/>
      <c r="E7" s="81"/>
      <c r="F7" s="81"/>
      <c r="G7" s="81"/>
      <c r="H7" s="81"/>
      <c r="I7" s="81"/>
      <c r="J7" s="81"/>
      <c r="K7" s="82"/>
      <c r="Q7">
        <v>1920963</v>
      </c>
    </row>
    <row r="8" spans="2:17" ht="15">
      <c r="B8" s="408" t="s">
        <v>76</v>
      </c>
      <c r="C8" s="409"/>
      <c r="D8" s="410"/>
      <c r="E8" s="411" t="s">
        <v>77</v>
      </c>
      <c r="F8" s="411"/>
      <c r="G8" s="81"/>
      <c r="H8" s="411" t="s">
        <v>76</v>
      </c>
      <c r="I8" s="411"/>
      <c r="J8" s="411" t="s">
        <v>77</v>
      </c>
      <c r="K8" s="411"/>
      <c r="O8" s="139">
        <f>'09-54-01 BIC'!$B$12</f>
        <v>0</v>
      </c>
      <c r="Q8">
        <v>0</v>
      </c>
    </row>
    <row r="9" spans="2:17" ht="14.25">
      <c r="B9" s="402">
        <f>IF(OR(Q7="",Q7=0),"",Q7)</f>
        <v>1920963</v>
      </c>
      <c r="C9" s="403"/>
      <c r="D9" s="404"/>
      <c r="E9" s="402">
        <f>IF(ISNA(INDEX(Schedule!O:O,MATCH('10-08-01 old'!B9,Schedule!T:T,0))),"",INDEX(Schedule!O:O,MATCH('10-08-01 old'!B9,Schedule!T:T,0)))</f>
        <v>781</v>
      </c>
      <c r="F9" s="404"/>
      <c r="G9" s="138"/>
      <c r="H9" s="405" t="str">
        <f>IF(OR(Q17="",Q17=0),"",Q17)</f>
        <v/>
      </c>
      <c r="I9" s="405"/>
      <c r="J9" s="405" t="str">
        <f>IF(ISNA(INDEX(Schedule!O:O,MATCH('10-08-01 old'!H9,Schedule!T:T,0))),"",INDEX(Schedule!O:O,MATCH('10-08-01 old'!H9,Schedule!T:T,0)))</f>
        <v/>
      </c>
      <c r="K9" s="405"/>
      <c r="O9" s="139">
        <f>'09-54-01 BIC'!$B$16</f>
        <v>0</v>
      </c>
      <c r="Q9">
        <v>0</v>
      </c>
    </row>
    <row r="10" spans="2:17" ht="14.25">
      <c r="B10" s="402" t="str">
        <f t="shared" ref="B10:B18" si="0">IF(OR(Q8="",Q8=0),"",Q8)</f>
        <v/>
      </c>
      <c r="C10" s="403"/>
      <c r="D10" s="404"/>
      <c r="E10" s="402" t="str">
        <f>IF(ISNA(INDEX(Schedule!O:O,MATCH('10-08-01 old'!B10,Schedule!T:T,0))),"",INDEX(Schedule!O:O,MATCH('10-08-01 old'!B10,Schedule!T:T,0)))</f>
        <v/>
      </c>
      <c r="F10" s="404"/>
      <c r="G10" s="138"/>
      <c r="H10" s="405" t="str">
        <f t="shared" ref="H10:H18" si="1">IF(OR(Q18="",Q18=0),"",Q18)</f>
        <v/>
      </c>
      <c r="I10" s="405"/>
      <c r="J10" s="405" t="str">
        <f>IF(ISNA(INDEX(Schedule!O:O,MATCH('10-08-01 old'!H10,Schedule!T:T,0))),"",INDEX(Schedule!O:O,MATCH('10-08-01 old'!H10,Schedule!T:T,0)))</f>
        <v/>
      </c>
      <c r="K10" s="405"/>
      <c r="O10" s="139">
        <f>'09-54-01 BIC'!$B$20</f>
        <v>0</v>
      </c>
      <c r="Q10">
        <v>0</v>
      </c>
    </row>
    <row r="11" spans="2:17" ht="14.25">
      <c r="B11" s="402" t="str">
        <f t="shared" si="0"/>
        <v/>
      </c>
      <c r="C11" s="403"/>
      <c r="D11" s="404"/>
      <c r="E11" s="402" t="str">
        <f>IF(ISNA(INDEX(Schedule!O:O,MATCH('10-08-01 old'!B11,Schedule!T:T,0))),"",INDEX(Schedule!O:O,MATCH('10-08-01 old'!B11,Schedule!T:T,0)))</f>
        <v/>
      </c>
      <c r="F11" s="404"/>
      <c r="G11" s="138"/>
      <c r="H11" s="405" t="str">
        <f t="shared" si="1"/>
        <v/>
      </c>
      <c r="I11" s="405"/>
      <c r="J11" s="405" t="str">
        <f>IF(ISNA(INDEX(Schedule!O:O,MATCH('10-08-01 old'!H11,Schedule!T:T,0))),"",INDEX(Schedule!O:O,MATCH('10-08-01 old'!H11,Schedule!T:T,0)))</f>
        <v/>
      </c>
      <c r="K11" s="405"/>
      <c r="O11" s="139">
        <f>'09-54-01 BIC'!$B$24</f>
        <v>0</v>
      </c>
      <c r="Q11">
        <v>0</v>
      </c>
    </row>
    <row r="12" spans="2:17" ht="14.25">
      <c r="B12" s="402" t="str">
        <f t="shared" si="0"/>
        <v/>
      </c>
      <c r="C12" s="403"/>
      <c r="D12" s="404"/>
      <c r="E12" s="402" t="str">
        <f>IF(ISNA(INDEX(Schedule!O:O,MATCH('10-08-01 old'!B12,Schedule!T:T,0))),"",INDEX(Schedule!O:O,MATCH('10-08-01 old'!B12,Schedule!T:T,0)))</f>
        <v/>
      </c>
      <c r="F12" s="404"/>
      <c r="G12" s="138"/>
      <c r="H12" s="405" t="str">
        <f t="shared" si="1"/>
        <v/>
      </c>
      <c r="I12" s="405"/>
      <c r="J12" s="405" t="str">
        <f>IF(ISNA(INDEX(Schedule!O:O,MATCH('10-08-01 old'!H12,Schedule!T:T,0))),"",INDEX(Schedule!O:O,MATCH('10-08-01 old'!H12,Schedule!T:T,0)))</f>
        <v/>
      </c>
      <c r="K12" s="405"/>
      <c r="O12" s="139">
        <f>'09-54-01 BIC'!$C$12</f>
        <v>0</v>
      </c>
      <c r="Q12">
        <v>0</v>
      </c>
    </row>
    <row r="13" spans="2:17" ht="14.25">
      <c r="B13" s="402" t="str">
        <f t="shared" si="0"/>
        <v/>
      </c>
      <c r="C13" s="403"/>
      <c r="D13" s="404"/>
      <c r="E13" s="402" t="str">
        <f>IF(ISNA(INDEX(Schedule!O:O,MATCH('10-08-01 old'!B13,Schedule!T:T,0))),"",INDEX(Schedule!O:O,MATCH('10-08-01 old'!B13,Schedule!T:T,0)))</f>
        <v/>
      </c>
      <c r="F13" s="404"/>
      <c r="G13" s="138"/>
      <c r="H13" s="405" t="str">
        <f t="shared" si="1"/>
        <v/>
      </c>
      <c r="I13" s="405"/>
      <c r="J13" s="405" t="str">
        <f>IF(ISNA(INDEX(Schedule!O:O,MATCH('10-08-01 old'!H13,Schedule!T:T,0))),"",INDEX(Schedule!O:O,MATCH('10-08-01 old'!H13,Schedule!T:T,0)))</f>
        <v/>
      </c>
      <c r="K13" s="405"/>
      <c r="O13" s="139">
        <f>'09-54-01 BIC'!$C$16</f>
        <v>0</v>
      </c>
      <c r="Q13">
        <v>0</v>
      </c>
    </row>
    <row r="14" spans="2:17" ht="14.25">
      <c r="B14" s="402" t="str">
        <f t="shared" si="0"/>
        <v/>
      </c>
      <c r="C14" s="403"/>
      <c r="D14" s="404"/>
      <c r="E14" s="402" t="str">
        <f>IF(ISNA(INDEX(Schedule!O:O,MATCH('10-08-01 old'!B14,Schedule!T:T,0))),"",INDEX(Schedule!O:O,MATCH('10-08-01 old'!B14,Schedule!T:T,0)))</f>
        <v/>
      </c>
      <c r="F14" s="404"/>
      <c r="G14" s="138"/>
      <c r="H14" s="405" t="str">
        <f t="shared" si="1"/>
        <v/>
      </c>
      <c r="I14" s="405"/>
      <c r="J14" s="405" t="str">
        <f>IF(ISNA(INDEX(Schedule!O:O,MATCH('10-08-01 old'!H14,Schedule!T:T,0))),"",INDEX(Schedule!O:O,MATCH('10-08-01 old'!H14,Schedule!T:T,0)))</f>
        <v/>
      </c>
      <c r="K14" s="405"/>
      <c r="O14" s="139">
        <f>'09-54-01 BIC'!$C$20</f>
        <v>0</v>
      </c>
      <c r="Q14">
        <v>0</v>
      </c>
    </row>
    <row r="15" spans="2:17" ht="14.25">
      <c r="B15" s="402" t="str">
        <f t="shared" si="0"/>
        <v/>
      </c>
      <c r="C15" s="403"/>
      <c r="D15" s="404"/>
      <c r="E15" s="402" t="str">
        <f>IF(ISNA(INDEX(Schedule!O:O,MATCH('10-08-01 old'!B15,Schedule!T:T,0))),"",INDEX(Schedule!O:O,MATCH('10-08-01 old'!B15,Schedule!T:T,0)))</f>
        <v/>
      </c>
      <c r="F15" s="404"/>
      <c r="G15" s="138"/>
      <c r="H15" s="405" t="str">
        <f t="shared" si="1"/>
        <v/>
      </c>
      <c r="I15" s="405"/>
      <c r="J15" s="405" t="str">
        <f>IF(ISNA(INDEX(Schedule!O:O,MATCH('10-08-01 old'!H15,Schedule!T:T,0))),"",INDEX(Schedule!O:O,MATCH('10-08-01 old'!H15,Schedule!T:T,0)))</f>
        <v/>
      </c>
      <c r="K15" s="405"/>
      <c r="O15" s="139">
        <f>'09-54-01 BIC'!$C$24</f>
        <v>0</v>
      </c>
      <c r="Q15">
        <v>0</v>
      </c>
    </row>
    <row r="16" spans="2:17" ht="14.25">
      <c r="B16" s="402" t="str">
        <f t="shared" si="0"/>
        <v/>
      </c>
      <c r="C16" s="403"/>
      <c r="D16" s="404"/>
      <c r="E16" s="402" t="str">
        <f>IF(ISNA(INDEX(Schedule!O:O,MATCH('10-08-01 old'!B16,Schedule!T:T,0))),"",INDEX(Schedule!O:O,MATCH('10-08-01 old'!B16,Schedule!T:T,0)))</f>
        <v/>
      </c>
      <c r="F16" s="404"/>
      <c r="G16" s="138"/>
      <c r="H16" s="405" t="str">
        <f t="shared" si="1"/>
        <v/>
      </c>
      <c r="I16" s="405"/>
      <c r="J16" s="405" t="str">
        <f>IF(ISNA(INDEX(Schedule!O:O,MATCH('10-08-01 old'!H16,Schedule!T:T,0))),"",INDEX(Schedule!O:O,MATCH('10-08-01 old'!H16,Schedule!T:T,0)))</f>
        <v/>
      </c>
      <c r="K16" s="405"/>
      <c r="O16" s="139">
        <f>'09-54-01 BIC'!$D$12</f>
        <v>0</v>
      </c>
      <c r="Q16">
        <v>0</v>
      </c>
    </row>
    <row r="17" spans="1:17" ht="14.25">
      <c r="B17" s="402" t="str">
        <f t="shared" si="0"/>
        <v/>
      </c>
      <c r="C17" s="403"/>
      <c r="D17" s="404"/>
      <c r="E17" s="402" t="str">
        <f>IF(ISNA(INDEX(Schedule!O:O,MATCH('10-08-01 old'!B17,Schedule!T:T,0))),"",INDEX(Schedule!O:O,MATCH('10-08-01 old'!B17,Schedule!T:T,0)))</f>
        <v/>
      </c>
      <c r="F17" s="404"/>
      <c r="G17" s="138"/>
      <c r="H17" s="405" t="str">
        <f t="shared" si="1"/>
        <v/>
      </c>
      <c r="I17" s="405"/>
      <c r="J17" s="405" t="str">
        <f>IF(ISNA(INDEX(Schedule!O:O,MATCH('10-08-01 old'!H17,Schedule!T:T,0))),"",INDEX(Schedule!O:O,MATCH('10-08-01 old'!H17,Schedule!T:T,0)))</f>
        <v/>
      </c>
      <c r="K17" s="405"/>
      <c r="O17" s="139">
        <f>'09-54-01 BIC'!$D$16</f>
        <v>0</v>
      </c>
      <c r="Q17">
        <v>0</v>
      </c>
    </row>
    <row r="18" spans="1:17" ht="14.25">
      <c r="B18" s="402" t="str">
        <f t="shared" si="0"/>
        <v/>
      </c>
      <c r="C18" s="403"/>
      <c r="D18" s="404"/>
      <c r="E18" s="402" t="str">
        <f>IF(ISNA(INDEX(Schedule!O:O,MATCH('10-08-01 old'!B18,Schedule!T:T,0))),"",INDEX(Schedule!O:O,MATCH('10-08-01 old'!B18,Schedule!T:T,0)))</f>
        <v/>
      </c>
      <c r="F18" s="404"/>
      <c r="G18" s="138"/>
      <c r="H18" s="405" t="str">
        <f t="shared" si="1"/>
        <v/>
      </c>
      <c r="I18" s="405"/>
      <c r="J18" s="405" t="str">
        <f>IF(ISNA(INDEX(Schedule!O:O,MATCH('10-08-01 old'!H18,Schedule!T:T,0))),"",INDEX(Schedule!O:O,MATCH('10-08-01 old'!H18,Schedule!T:T,0)))</f>
        <v/>
      </c>
      <c r="K18" s="405"/>
      <c r="O18" s="139">
        <f>'09-54-01 BIC'!$D$20</f>
        <v>0</v>
      </c>
      <c r="Q18">
        <v>0</v>
      </c>
    </row>
    <row r="19" spans="1:17">
      <c r="B19" s="80"/>
      <c r="C19" s="81"/>
      <c r="D19" s="81"/>
      <c r="E19" s="81"/>
      <c r="F19" s="81"/>
      <c r="G19" s="81"/>
      <c r="H19" s="81"/>
      <c r="I19" s="81"/>
      <c r="J19" s="81"/>
      <c r="K19" s="82"/>
      <c r="O19" s="139">
        <f>'09-54-01 BIC'!$D$24</f>
        <v>0</v>
      </c>
      <c r="Q19">
        <v>0</v>
      </c>
    </row>
    <row r="20" spans="1:17">
      <c r="B20" s="80"/>
      <c r="C20" s="81"/>
      <c r="D20" s="81"/>
      <c r="E20" s="81"/>
      <c r="F20" s="81"/>
      <c r="G20" s="81"/>
      <c r="H20" s="81"/>
      <c r="I20" s="81"/>
      <c r="J20" s="81"/>
      <c r="K20" s="82"/>
      <c r="O20" s="139">
        <f>'09-54-01 BIC'!$E$12</f>
        <v>0</v>
      </c>
      <c r="Q20">
        <v>0</v>
      </c>
    </row>
    <row r="21" spans="1:17" ht="15.75">
      <c r="B21" s="406" t="s">
        <v>78</v>
      </c>
      <c r="C21" s="407"/>
      <c r="D21" s="407"/>
      <c r="E21" s="407"/>
      <c r="F21" s="407"/>
      <c r="G21" s="407"/>
      <c r="H21" s="407"/>
      <c r="I21" s="407"/>
      <c r="J21" s="407"/>
      <c r="K21" s="407"/>
      <c r="O21" s="139">
        <f>'09-54-01 BIC'!$E$16</f>
        <v>0</v>
      </c>
      <c r="Q21">
        <v>0</v>
      </c>
    </row>
    <row r="22" spans="1:17">
      <c r="B22" s="388" t="s">
        <v>79</v>
      </c>
      <c r="C22" s="389"/>
      <c r="D22" s="389"/>
      <c r="E22" s="390"/>
      <c r="F22" s="394" t="s">
        <v>80</v>
      </c>
      <c r="G22" s="395"/>
      <c r="H22" s="394" t="s">
        <v>81</v>
      </c>
      <c r="I22" s="390"/>
      <c r="J22" s="398" t="s">
        <v>82</v>
      </c>
      <c r="K22" s="399"/>
      <c r="O22" s="139">
        <f>'09-54-01 BIC'!$E$20</f>
        <v>0</v>
      </c>
      <c r="Q22">
        <v>0</v>
      </c>
    </row>
    <row r="23" spans="1:17">
      <c r="B23" s="391"/>
      <c r="C23" s="392"/>
      <c r="D23" s="392"/>
      <c r="E23" s="393"/>
      <c r="F23" s="396"/>
      <c r="G23" s="397"/>
      <c r="H23" s="391"/>
      <c r="I23" s="393"/>
      <c r="J23" s="400"/>
      <c r="K23" s="401"/>
      <c r="O23" s="139">
        <f>'09-54-01 BIC'!$E$24</f>
        <v>0</v>
      </c>
      <c r="Q23">
        <v>0</v>
      </c>
    </row>
    <row r="24" spans="1:17">
      <c r="A24" s="34"/>
      <c r="B24" s="381" t="s">
        <v>83</v>
      </c>
      <c r="C24" s="382"/>
      <c r="D24" s="382"/>
      <c r="E24" s="383"/>
      <c r="F24" s="384"/>
      <c r="G24" s="385"/>
      <c r="H24" s="384"/>
      <c r="I24" s="385"/>
      <c r="J24" s="384"/>
      <c r="K24" s="385"/>
      <c r="O24" s="139">
        <f>'09-54-01 BIC'!$F$12</f>
        <v>0</v>
      </c>
      <c r="Q24">
        <v>0</v>
      </c>
    </row>
    <row r="25" spans="1:17">
      <c r="A25" s="34"/>
      <c r="B25" s="381" t="s">
        <v>84</v>
      </c>
      <c r="C25" s="382"/>
      <c r="D25" s="382"/>
      <c r="E25" s="383"/>
      <c r="F25" s="384"/>
      <c r="G25" s="385"/>
      <c r="H25" s="384"/>
      <c r="I25" s="385"/>
      <c r="J25" s="384"/>
      <c r="K25" s="385"/>
      <c r="O25" s="139">
        <f>'09-54-01 BIC'!$F$16</f>
        <v>0</v>
      </c>
      <c r="Q25">
        <v>0</v>
      </c>
    </row>
    <row r="26" spans="1:17">
      <c r="A26" s="34"/>
      <c r="B26" s="381" t="s">
        <v>85</v>
      </c>
      <c r="C26" s="382"/>
      <c r="D26" s="382"/>
      <c r="E26" s="383"/>
      <c r="F26" s="384"/>
      <c r="G26" s="385"/>
      <c r="H26" s="384"/>
      <c r="I26" s="385"/>
      <c r="J26" s="384"/>
      <c r="K26" s="385"/>
      <c r="O26" s="139">
        <f>'09-54-01 BIC'!$F$20</f>
        <v>0</v>
      </c>
      <c r="Q26">
        <v>0</v>
      </c>
    </row>
    <row r="27" spans="1:17">
      <c r="A27" s="34"/>
      <c r="B27" s="381" t="s">
        <v>86</v>
      </c>
      <c r="C27" s="382"/>
      <c r="D27" s="382"/>
      <c r="E27" s="383"/>
      <c r="F27" s="384"/>
      <c r="G27" s="385"/>
      <c r="H27" s="384"/>
      <c r="I27" s="385"/>
      <c r="J27" s="384"/>
      <c r="K27" s="385"/>
      <c r="O27" s="139">
        <f>'09-54-01 BIC'!$F$24</f>
        <v>0</v>
      </c>
      <c r="Q27">
        <v>0</v>
      </c>
    </row>
    <row r="28" spans="1:17">
      <c r="A28" s="34"/>
      <c r="B28" s="381" t="s">
        <v>87</v>
      </c>
      <c r="C28" s="382"/>
      <c r="D28" s="382"/>
      <c r="E28" s="383"/>
      <c r="F28" s="384"/>
      <c r="G28" s="385"/>
      <c r="H28" s="384"/>
      <c r="I28" s="385"/>
      <c r="J28" s="384"/>
      <c r="K28" s="385"/>
      <c r="O28" s="139">
        <f>'09-54-01 BIC'!$G$12</f>
        <v>0</v>
      </c>
      <c r="Q28">
        <v>0</v>
      </c>
    </row>
    <row r="29" spans="1:17">
      <c r="A29" s="34"/>
      <c r="B29" s="381" t="s">
        <v>88</v>
      </c>
      <c r="C29" s="382"/>
      <c r="D29" s="382"/>
      <c r="E29" s="383"/>
      <c r="F29" s="384"/>
      <c r="G29" s="385"/>
      <c r="H29" s="384"/>
      <c r="I29" s="385"/>
      <c r="J29" s="384"/>
      <c r="K29" s="385"/>
      <c r="O29" s="139">
        <f>'09-54-01 BIC'!$G$16</f>
        <v>0</v>
      </c>
      <c r="Q29">
        <v>0</v>
      </c>
    </row>
    <row r="30" spans="1:17">
      <c r="A30" s="34"/>
      <c r="B30" s="381" t="s">
        <v>89</v>
      </c>
      <c r="C30" s="382"/>
      <c r="D30" s="382"/>
      <c r="E30" s="383"/>
      <c r="F30" s="384"/>
      <c r="G30" s="385"/>
      <c r="H30" s="384"/>
      <c r="I30" s="385"/>
      <c r="J30" s="384"/>
      <c r="K30" s="385"/>
      <c r="O30" s="139">
        <f>'09-54-01 BIC'!$G$20</f>
        <v>0</v>
      </c>
      <c r="Q30">
        <v>0</v>
      </c>
    </row>
    <row r="31" spans="1:17">
      <c r="A31" s="34"/>
      <c r="B31" s="381" t="s">
        <v>90</v>
      </c>
      <c r="C31" s="382"/>
      <c r="D31" s="382"/>
      <c r="E31" s="383"/>
      <c r="F31" s="386"/>
      <c r="G31" s="387"/>
      <c r="H31" s="384"/>
      <c r="I31" s="385"/>
      <c r="J31" s="384"/>
      <c r="K31" s="385"/>
      <c r="O31" s="139">
        <f>'09-54-01 BIC'!$G$24</f>
        <v>0</v>
      </c>
      <c r="Q31">
        <v>0</v>
      </c>
    </row>
    <row r="32" spans="1:17">
      <c r="A32" s="34"/>
      <c r="B32" s="381" t="s">
        <v>91</v>
      </c>
      <c r="C32" s="382"/>
      <c r="D32" s="382"/>
      <c r="E32" s="383"/>
      <c r="F32" s="384"/>
      <c r="G32" s="385"/>
      <c r="H32" s="384"/>
      <c r="I32" s="385"/>
      <c r="J32" s="384"/>
      <c r="K32" s="385"/>
      <c r="O32" s="139">
        <f>'09-54-01 BIC'!$H$12</f>
        <v>0</v>
      </c>
      <c r="Q32">
        <v>0</v>
      </c>
    </row>
    <row r="33" spans="1:17">
      <c r="A33" s="34"/>
      <c r="B33" s="381" t="s">
        <v>91</v>
      </c>
      <c r="C33" s="382"/>
      <c r="D33" s="382"/>
      <c r="E33" s="383"/>
      <c r="F33" s="384"/>
      <c r="G33" s="385"/>
      <c r="H33" s="384"/>
      <c r="I33" s="385"/>
      <c r="J33" s="384"/>
      <c r="K33" s="385"/>
      <c r="O33" s="139">
        <f>'09-54-01 BIC'!$H$16</f>
        <v>0</v>
      </c>
      <c r="Q33">
        <v>0</v>
      </c>
    </row>
    <row r="34" spans="1:17">
      <c r="A34" s="34"/>
      <c r="B34" s="381" t="s">
        <v>92</v>
      </c>
      <c r="C34" s="382"/>
      <c r="D34" s="382"/>
      <c r="E34" s="383"/>
      <c r="F34" s="384"/>
      <c r="G34" s="385"/>
      <c r="H34" s="384"/>
      <c r="I34" s="385"/>
      <c r="J34" s="384"/>
      <c r="K34" s="385"/>
      <c r="O34" s="139">
        <f>'09-54-01 BIC'!$H$20</f>
        <v>0</v>
      </c>
      <c r="Q34">
        <v>0</v>
      </c>
    </row>
    <row r="35" spans="1:17" ht="15">
      <c r="A35" s="83"/>
      <c r="B35" s="84"/>
      <c r="C35" s="85"/>
      <c r="D35" s="85"/>
      <c r="E35" s="85"/>
      <c r="F35" s="86"/>
      <c r="G35" s="86"/>
      <c r="H35" s="86"/>
      <c r="I35" s="86"/>
      <c r="J35" s="86"/>
      <c r="K35" s="87"/>
      <c r="O35" s="139">
        <f>'09-54-01 BIC'!$H$24</f>
        <v>0</v>
      </c>
      <c r="Q35">
        <v>0</v>
      </c>
    </row>
    <row r="36" spans="1:17">
      <c r="B36" s="80" t="s">
        <v>93</v>
      </c>
      <c r="D36" s="88"/>
      <c r="E36" s="88"/>
      <c r="F36" s="88"/>
      <c r="G36" s="88"/>
      <c r="H36" s="88"/>
      <c r="I36" s="88"/>
      <c r="J36" s="88"/>
      <c r="K36" s="89"/>
      <c r="O36" s="139">
        <f>'09-54-01 BIC'!$I$12</f>
        <v>0</v>
      </c>
      <c r="Q36">
        <v>0</v>
      </c>
    </row>
    <row r="37" spans="1:17">
      <c r="B37" s="80"/>
      <c r="D37" s="90"/>
      <c r="E37" s="90"/>
      <c r="F37" s="90"/>
      <c r="G37" s="90"/>
      <c r="H37" s="90"/>
      <c r="I37" s="90"/>
      <c r="J37" s="90"/>
      <c r="K37" s="91"/>
      <c r="O37" s="139">
        <f>'09-54-01 BIC'!$I$16</f>
        <v>0</v>
      </c>
      <c r="Q37">
        <v>0</v>
      </c>
    </row>
    <row r="38" spans="1:17">
      <c r="B38" s="80"/>
      <c r="K38" s="92"/>
      <c r="O38" s="139">
        <f>'09-54-01 BIC'!$I$20</f>
        <v>0</v>
      </c>
      <c r="Q38">
        <v>0</v>
      </c>
    </row>
    <row r="39" spans="1:17" ht="14.25">
      <c r="A39" s="83"/>
      <c r="B39" s="80" t="s">
        <v>94</v>
      </c>
      <c r="D39" s="88"/>
      <c r="E39" s="88"/>
      <c r="F39" s="93"/>
      <c r="G39" s="94"/>
      <c r="H39" s="94"/>
      <c r="I39" s="94" t="s">
        <v>95</v>
      </c>
      <c r="J39" s="94"/>
      <c r="K39" s="95"/>
      <c r="O39" s="139">
        <f>'09-54-01 BIC'!$I$24</f>
        <v>0</v>
      </c>
      <c r="Q39">
        <v>0</v>
      </c>
    </row>
    <row r="40" spans="1:17" ht="15">
      <c r="B40" s="96"/>
      <c r="C40" s="97"/>
      <c r="D40" s="97"/>
      <c r="E40" s="97"/>
      <c r="F40" s="98"/>
      <c r="G40" s="98"/>
      <c r="H40" s="98"/>
      <c r="I40" s="98"/>
      <c r="J40" s="98"/>
      <c r="K40" s="99"/>
      <c r="O40" s="139">
        <f>'09-54-01 BIC'!$J$12</f>
        <v>0</v>
      </c>
      <c r="Q40">
        <v>0</v>
      </c>
    </row>
    <row r="41" spans="1:17" ht="15">
      <c r="B41" s="100" t="s">
        <v>96</v>
      </c>
      <c r="D41" s="101"/>
      <c r="E41" s="102"/>
      <c r="F41" s="102"/>
      <c r="G41" s="102"/>
      <c r="H41" s="102"/>
      <c r="I41" s="102"/>
      <c r="J41" s="102"/>
      <c r="K41" s="82"/>
      <c r="O41" s="139">
        <f>'09-54-01 BIC'!$J$16</f>
        <v>0</v>
      </c>
      <c r="Q41">
        <v>0</v>
      </c>
    </row>
    <row r="42" spans="1:17" ht="13.5">
      <c r="B42" s="103" t="s">
        <v>97</v>
      </c>
      <c r="D42" s="104"/>
      <c r="E42" s="105"/>
      <c r="F42" s="105"/>
      <c r="G42" s="106"/>
      <c r="H42" s="106"/>
      <c r="I42" s="106"/>
      <c r="J42" s="106"/>
      <c r="K42" s="107"/>
      <c r="O42" s="139">
        <f>'09-54-01 BIC'!$J$20</f>
        <v>0</v>
      </c>
      <c r="Q42">
        <v>0</v>
      </c>
    </row>
    <row r="43" spans="1:17" ht="15">
      <c r="B43" s="108"/>
      <c r="D43" s="109"/>
      <c r="E43" s="81"/>
      <c r="F43" s="81"/>
      <c r="G43" s="375" t="s">
        <v>98</v>
      </c>
      <c r="H43" s="376"/>
      <c r="I43" s="376"/>
      <c r="J43" s="376"/>
      <c r="K43" s="377"/>
      <c r="O43" s="139">
        <f>'09-54-01 BIC'!$J$24</f>
        <v>0</v>
      </c>
      <c r="Q43">
        <v>0</v>
      </c>
    </row>
    <row r="44" spans="1:17" ht="15">
      <c r="B44" s="108"/>
      <c r="D44" s="109"/>
      <c r="E44" s="81"/>
      <c r="F44" s="81"/>
      <c r="G44" s="81"/>
      <c r="H44" s="110"/>
      <c r="I44" s="111"/>
      <c r="J44" s="111"/>
      <c r="K44" s="112"/>
      <c r="O44" s="139">
        <f>'09-54-01 BIC'!$K$12</f>
        <v>0</v>
      </c>
      <c r="Q44">
        <v>0</v>
      </c>
    </row>
    <row r="45" spans="1:17" ht="15">
      <c r="B45" s="108" t="s">
        <v>99</v>
      </c>
      <c r="D45" s="109"/>
      <c r="E45" s="81"/>
      <c r="G45" s="88"/>
      <c r="H45" s="113"/>
      <c r="I45" s="113"/>
      <c r="J45" s="113"/>
      <c r="K45" s="107"/>
      <c r="O45" s="139">
        <f>'09-54-01 BIC'!$K$16</f>
        <v>0</v>
      </c>
      <c r="Q45">
        <v>0</v>
      </c>
    </row>
    <row r="46" spans="1:17">
      <c r="B46" s="114"/>
      <c r="D46" s="81"/>
      <c r="E46" s="81"/>
      <c r="G46" s="375" t="s">
        <v>100</v>
      </c>
      <c r="H46" s="378"/>
      <c r="I46" s="378"/>
      <c r="J46" s="378"/>
      <c r="K46" s="377"/>
      <c r="O46" s="139">
        <f>'09-54-01 BIC'!$K$20</f>
        <v>0</v>
      </c>
      <c r="Q46">
        <v>0</v>
      </c>
    </row>
    <row r="47" spans="1:17">
      <c r="B47" s="114"/>
      <c r="D47" s="81"/>
      <c r="E47" s="81"/>
      <c r="F47" s="81"/>
      <c r="K47" s="82"/>
      <c r="O47" s="139">
        <f>'09-54-01 BIC'!$K$24</f>
        <v>0</v>
      </c>
      <c r="Q47">
        <v>0</v>
      </c>
    </row>
    <row r="48" spans="1:17">
      <c r="B48" s="114"/>
      <c r="D48" s="81"/>
      <c r="E48" s="81"/>
      <c r="F48" s="81"/>
      <c r="G48" s="81"/>
      <c r="H48" s="81"/>
      <c r="I48" s="81"/>
      <c r="J48" s="81"/>
      <c r="K48" s="82"/>
      <c r="O48" s="139">
        <f>'09-54-01 BIC'!$L$12</f>
        <v>0</v>
      </c>
      <c r="Q48">
        <v>0</v>
      </c>
    </row>
    <row r="49" spans="2:17">
      <c r="B49" s="115" t="s">
        <v>12</v>
      </c>
      <c r="C49" s="379" t="s">
        <v>101</v>
      </c>
      <c r="D49" s="380"/>
      <c r="E49" s="113"/>
      <c r="F49" s="113"/>
      <c r="G49" s="113"/>
      <c r="H49" s="113"/>
      <c r="I49" s="113"/>
      <c r="J49" s="113"/>
      <c r="K49" s="116" t="s">
        <v>102</v>
      </c>
      <c r="O49" s="139">
        <f>'09-54-01 BIC'!$L$16</f>
        <v>0</v>
      </c>
      <c r="Q49">
        <v>0</v>
      </c>
    </row>
    <row r="50" spans="2:17" ht="59.25">
      <c r="B50" s="77" t="s">
        <v>18</v>
      </c>
      <c r="C50" s="78"/>
      <c r="D50" s="78"/>
      <c r="E50" s="78"/>
      <c r="F50" s="78"/>
      <c r="G50" s="78"/>
      <c r="H50" s="78"/>
      <c r="I50" s="78"/>
      <c r="J50" s="78"/>
      <c r="K50" s="79"/>
      <c r="O50" s="139">
        <f>'09-54-01 BIC'!$L$20</f>
        <v>0</v>
      </c>
      <c r="Q50">
        <v>0</v>
      </c>
    </row>
    <row r="51" spans="2:17" ht="20.25">
      <c r="B51" s="412" t="s">
        <v>73</v>
      </c>
      <c r="C51" s="409"/>
      <c r="D51" s="409"/>
      <c r="E51" s="409"/>
      <c r="F51" s="409"/>
      <c r="G51" s="409"/>
      <c r="H51" s="409"/>
      <c r="I51" s="409"/>
      <c r="J51" s="409"/>
      <c r="K51" s="410"/>
      <c r="O51" s="139">
        <f>'09-54-01 BIC'!$L$24</f>
        <v>0</v>
      </c>
      <c r="Q51">
        <v>0</v>
      </c>
    </row>
    <row r="52" spans="2:17">
      <c r="B52" s="80"/>
      <c r="C52" s="81"/>
      <c r="D52" s="81"/>
      <c r="E52" s="81"/>
      <c r="F52" s="81"/>
      <c r="G52" s="81"/>
      <c r="H52" s="81"/>
      <c r="I52" s="81"/>
      <c r="J52" s="81"/>
      <c r="K52" s="82"/>
      <c r="O52" s="139">
        <f>'09-54-01 BIC'!$M$12</f>
        <v>0</v>
      </c>
      <c r="Q52">
        <v>0</v>
      </c>
    </row>
    <row r="53" spans="2:17">
      <c r="B53" s="80"/>
      <c r="C53" s="81"/>
      <c r="D53" s="81"/>
      <c r="E53" s="81"/>
      <c r="F53" s="81"/>
      <c r="G53" s="81"/>
      <c r="H53" s="81"/>
      <c r="I53" s="81"/>
      <c r="J53" s="81"/>
      <c r="K53" s="82"/>
      <c r="O53" s="139">
        <f>'09-54-01 BIC'!$M$16</f>
        <v>0</v>
      </c>
      <c r="Q53">
        <v>0</v>
      </c>
    </row>
    <row r="54" spans="2:17" ht="14.25">
      <c r="B54" s="413" t="s">
        <v>74</v>
      </c>
      <c r="C54" s="414"/>
      <c r="D54" s="414"/>
      <c r="E54" s="415" t="str">
        <f>$E$5</f>
        <v>E12345</v>
      </c>
      <c r="F54" s="415"/>
      <c r="G54" s="142"/>
      <c r="H54" s="143" t="s">
        <v>75</v>
      </c>
      <c r="I54" s="142"/>
      <c r="J54" s="415" t="str">
        <f>$J$5</f>
        <v>EO 1</v>
      </c>
      <c r="K54" s="416"/>
      <c r="O54" s="139">
        <f>'09-54-01 BIC'!$M$20</f>
        <v>0</v>
      </c>
      <c r="Q54">
        <v>0</v>
      </c>
    </row>
    <row r="55" spans="2:17">
      <c r="B55" s="80"/>
      <c r="C55" s="81"/>
      <c r="D55" s="81"/>
      <c r="E55" s="81"/>
      <c r="F55" s="81"/>
      <c r="G55" s="81"/>
      <c r="H55" s="81"/>
      <c r="I55" s="81"/>
      <c r="J55" s="81"/>
      <c r="K55" s="82"/>
      <c r="O55" s="139">
        <f>'09-54-01 BIC'!$M$24</f>
        <v>0</v>
      </c>
    </row>
    <row r="56" spans="2:17">
      <c r="B56" s="80"/>
      <c r="C56" s="81"/>
      <c r="D56" s="81"/>
      <c r="E56" s="81"/>
      <c r="F56" s="81"/>
      <c r="G56" s="81"/>
      <c r="H56" s="81"/>
      <c r="I56" s="81"/>
      <c r="J56" s="81"/>
      <c r="K56" s="82"/>
    </row>
    <row r="57" spans="2:17" ht="15">
      <c r="B57" s="408" t="s">
        <v>76</v>
      </c>
      <c r="C57" s="409"/>
      <c r="D57" s="410"/>
      <c r="E57" s="411" t="s">
        <v>77</v>
      </c>
      <c r="F57" s="411"/>
      <c r="G57" s="81"/>
      <c r="H57" s="411" t="s">
        <v>76</v>
      </c>
      <c r="I57" s="411"/>
      <c r="J57" s="411" t="s">
        <v>77</v>
      </c>
      <c r="K57" s="411"/>
    </row>
    <row r="58" spans="2:17" ht="14.25">
      <c r="B58" s="402" t="str">
        <f>IF(OR(Q27="",Q27=0),"",Q27)</f>
        <v/>
      </c>
      <c r="C58" s="403"/>
      <c r="D58" s="404"/>
      <c r="E58" s="402" t="str">
        <f>IF(ISNA(INDEX(Schedule!O:O,MATCH('10-08-01 old'!B58,Schedule!T:T,0))),"",INDEX(Schedule!O:O,MATCH('10-08-01 old'!B58,Schedule!T:T,0)))</f>
        <v/>
      </c>
      <c r="F58" s="404"/>
      <c r="G58" s="138"/>
      <c r="H58" s="405" t="str">
        <f>IF(OR(Q37="",Q37=0),"",Q37)</f>
        <v/>
      </c>
      <c r="I58" s="405"/>
      <c r="J58" s="405" t="str">
        <f>IF(ISNA(INDEX(Schedule!O:O,MATCH('10-08-01 old'!H58,Schedule!T:T,0))),"",INDEX(Schedule!O:O,MATCH('10-08-01 old'!H58,Schedule!T:T,0)))</f>
        <v/>
      </c>
      <c r="K58" s="405"/>
    </row>
    <row r="59" spans="2:17" ht="14.25">
      <c r="B59" s="402" t="str">
        <f>IF(OR(Q28="",Q28=0),"",Q28)</f>
        <v/>
      </c>
      <c r="C59" s="403"/>
      <c r="D59" s="404"/>
      <c r="E59" s="402" t="str">
        <f>IF(ISNA(INDEX(Schedule!O:O,MATCH('10-08-01 old'!B59,Schedule!T:T,0))),"",INDEX(Schedule!O:O,MATCH('10-08-01 old'!B59,Schedule!T:T,0)))</f>
        <v/>
      </c>
      <c r="F59" s="404"/>
      <c r="G59" s="138"/>
      <c r="H59" s="405" t="str">
        <f>IF(OR(Q38="",Q38=0),"",Q38)</f>
        <v/>
      </c>
      <c r="I59" s="405"/>
      <c r="J59" s="405" t="str">
        <f>IF(ISNA(INDEX(Schedule!O:O,MATCH('10-08-01 old'!H59,Schedule!T:T,0))),"",INDEX(Schedule!O:O,MATCH('10-08-01 old'!H59,Schedule!T:T,0)))</f>
        <v/>
      </c>
      <c r="K59" s="405"/>
    </row>
    <row r="60" spans="2:17" ht="14.25">
      <c r="B60" s="402" t="str">
        <f t="shared" ref="B60:B67" si="2">IF(OR(Q29="",Q29=0),"",Q29)</f>
        <v/>
      </c>
      <c r="C60" s="403"/>
      <c r="D60" s="404"/>
      <c r="E60" s="402" t="str">
        <f>IF(ISNA(INDEX(Schedule!O:O,MATCH('10-08-01 old'!B60,Schedule!T:T,0))),"",INDEX(Schedule!O:O,MATCH('10-08-01 old'!B60,Schedule!T:T,0)))</f>
        <v/>
      </c>
      <c r="F60" s="404"/>
      <c r="G60" s="138"/>
      <c r="H60" s="405" t="str">
        <f t="shared" ref="H60:H67" si="3">IF(OR(Q39="",Q39=0),"",Q39)</f>
        <v/>
      </c>
      <c r="I60" s="405"/>
      <c r="J60" s="405" t="str">
        <f>IF(ISNA(INDEX(Schedule!O:O,MATCH('10-08-01 old'!H60,Schedule!T:T,0))),"",INDEX(Schedule!O:O,MATCH('10-08-01 old'!H60,Schedule!T:T,0)))</f>
        <v/>
      </c>
      <c r="K60" s="405"/>
    </row>
    <row r="61" spans="2:17" ht="14.25">
      <c r="B61" s="402" t="str">
        <f t="shared" si="2"/>
        <v/>
      </c>
      <c r="C61" s="403"/>
      <c r="D61" s="404"/>
      <c r="E61" s="402" t="str">
        <f>IF(ISNA(INDEX(Schedule!O:O,MATCH('10-08-01 old'!B61,Schedule!T:T,0))),"",INDEX(Schedule!O:O,MATCH('10-08-01 old'!B61,Schedule!T:T,0)))</f>
        <v/>
      </c>
      <c r="F61" s="404"/>
      <c r="G61" s="138"/>
      <c r="H61" s="405" t="str">
        <f t="shared" si="3"/>
        <v/>
      </c>
      <c r="I61" s="405"/>
      <c r="J61" s="405" t="str">
        <f>IF(ISNA(INDEX(Schedule!O:O,MATCH('10-08-01 old'!H61,Schedule!T:T,0))),"",INDEX(Schedule!O:O,MATCH('10-08-01 old'!H61,Schedule!T:T,0)))</f>
        <v/>
      </c>
      <c r="K61" s="405"/>
    </row>
    <row r="62" spans="2:17" ht="14.25">
      <c r="B62" s="402" t="str">
        <f t="shared" si="2"/>
        <v/>
      </c>
      <c r="C62" s="403"/>
      <c r="D62" s="404"/>
      <c r="E62" s="402" t="str">
        <f>IF(ISNA(INDEX(Schedule!O:O,MATCH('10-08-01 old'!B62,Schedule!T:T,0))),"",INDEX(Schedule!O:O,MATCH('10-08-01 old'!B62,Schedule!T:T,0)))</f>
        <v/>
      </c>
      <c r="F62" s="404"/>
      <c r="G62" s="138"/>
      <c r="H62" s="405" t="str">
        <f t="shared" si="3"/>
        <v/>
      </c>
      <c r="I62" s="405"/>
      <c r="J62" s="405" t="str">
        <f>IF(ISNA(INDEX(Schedule!O:O,MATCH('10-08-01 old'!H62,Schedule!T:T,0))),"",INDEX(Schedule!O:O,MATCH('10-08-01 old'!H62,Schedule!T:T,0)))</f>
        <v/>
      </c>
      <c r="K62" s="405"/>
    </row>
    <row r="63" spans="2:17" ht="14.25">
      <c r="B63" s="402" t="str">
        <f t="shared" si="2"/>
        <v/>
      </c>
      <c r="C63" s="403"/>
      <c r="D63" s="404"/>
      <c r="E63" s="402" t="str">
        <f>IF(ISNA(INDEX(Schedule!O:O,MATCH('10-08-01 old'!B63,Schedule!T:T,0))),"",INDEX(Schedule!O:O,MATCH('10-08-01 old'!B63,Schedule!T:T,0)))</f>
        <v/>
      </c>
      <c r="F63" s="404"/>
      <c r="G63" s="138"/>
      <c r="H63" s="405" t="str">
        <f t="shared" si="3"/>
        <v/>
      </c>
      <c r="I63" s="405"/>
      <c r="J63" s="405" t="str">
        <f>IF(ISNA(INDEX(Schedule!O:O,MATCH('10-08-01 old'!H63,Schedule!T:T,0))),"",INDEX(Schedule!O:O,MATCH('10-08-01 old'!H63,Schedule!T:T,0)))</f>
        <v/>
      </c>
      <c r="K63" s="405"/>
    </row>
    <row r="64" spans="2:17" ht="14.25">
      <c r="B64" s="402" t="str">
        <f t="shared" si="2"/>
        <v/>
      </c>
      <c r="C64" s="403"/>
      <c r="D64" s="404"/>
      <c r="E64" s="402" t="str">
        <f>IF(ISNA(INDEX(Schedule!O:O,MATCH('10-08-01 old'!B64,Schedule!T:T,0))),"",INDEX(Schedule!O:O,MATCH('10-08-01 old'!B64,Schedule!T:T,0)))</f>
        <v/>
      </c>
      <c r="F64" s="404"/>
      <c r="G64" s="138"/>
      <c r="H64" s="405" t="str">
        <f t="shared" si="3"/>
        <v/>
      </c>
      <c r="I64" s="405"/>
      <c r="J64" s="405" t="str">
        <f>IF(ISNA(INDEX(Schedule!O:O,MATCH('10-08-01 old'!H64,Schedule!T:T,0))),"",INDEX(Schedule!O:O,MATCH('10-08-01 old'!H64,Schedule!T:T,0)))</f>
        <v/>
      </c>
      <c r="K64" s="405"/>
    </row>
    <row r="65" spans="2:11" ht="14.25">
      <c r="B65" s="402" t="str">
        <f t="shared" si="2"/>
        <v/>
      </c>
      <c r="C65" s="403"/>
      <c r="D65" s="404"/>
      <c r="E65" s="402" t="str">
        <f>IF(ISNA(INDEX(Schedule!O:O,MATCH('10-08-01 old'!B65,Schedule!T:T,0))),"",INDEX(Schedule!O:O,MATCH('10-08-01 old'!B65,Schedule!T:T,0)))</f>
        <v/>
      </c>
      <c r="F65" s="404"/>
      <c r="G65" s="138"/>
      <c r="H65" s="405" t="str">
        <f t="shared" si="3"/>
        <v/>
      </c>
      <c r="I65" s="405"/>
      <c r="J65" s="405" t="str">
        <f>IF(ISNA(INDEX(Schedule!O:O,MATCH('10-08-01 old'!H65,Schedule!T:T,0))),"",INDEX(Schedule!O:O,MATCH('10-08-01 old'!H65,Schedule!T:T,0)))</f>
        <v/>
      </c>
      <c r="K65" s="405"/>
    </row>
    <row r="66" spans="2:11" ht="14.25">
      <c r="B66" s="402" t="str">
        <f t="shared" si="2"/>
        <v/>
      </c>
      <c r="C66" s="403"/>
      <c r="D66" s="404"/>
      <c r="E66" s="402" t="str">
        <f>IF(ISNA(INDEX(Schedule!O:O,MATCH('10-08-01 old'!B66,Schedule!T:T,0))),"",INDEX(Schedule!O:O,MATCH('10-08-01 old'!B66,Schedule!T:T,0)))</f>
        <v/>
      </c>
      <c r="F66" s="404"/>
      <c r="G66" s="138"/>
      <c r="H66" s="405" t="str">
        <f t="shared" si="3"/>
        <v/>
      </c>
      <c r="I66" s="405"/>
      <c r="J66" s="405" t="str">
        <f>IF(ISNA(INDEX(Schedule!O:O,MATCH('10-08-01 old'!H66,Schedule!T:T,0))),"",INDEX(Schedule!O:O,MATCH('10-08-01 old'!H66,Schedule!T:T,0)))</f>
        <v/>
      </c>
      <c r="K66" s="405"/>
    </row>
    <row r="67" spans="2:11" ht="14.25">
      <c r="B67" s="402" t="str">
        <f t="shared" si="2"/>
        <v/>
      </c>
      <c r="C67" s="403"/>
      <c r="D67" s="404"/>
      <c r="E67" s="402" t="str">
        <f>IF(ISNA(INDEX(Schedule!O:O,MATCH('10-08-01 old'!B67,Schedule!T:T,0))),"",INDEX(Schedule!O:O,MATCH('10-08-01 old'!B67,Schedule!T:T,0)))</f>
        <v/>
      </c>
      <c r="F67" s="404"/>
      <c r="G67" s="138"/>
      <c r="H67" s="405" t="str">
        <f t="shared" si="3"/>
        <v/>
      </c>
      <c r="I67" s="405"/>
      <c r="J67" s="405" t="str">
        <f>IF(ISNA(INDEX(Schedule!O:O,MATCH('10-08-01 old'!H67,Schedule!T:T,0))),"",INDEX(Schedule!O:O,MATCH('10-08-01 old'!H67,Schedule!T:T,0)))</f>
        <v/>
      </c>
      <c r="K67" s="405"/>
    </row>
    <row r="68" spans="2:11">
      <c r="B68" s="80"/>
      <c r="C68" s="81"/>
      <c r="D68" s="81"/>
      <c r="E68" s="81"/>
      <c r="F68" s="81"/>
      <c r="G68" s="81"/>
      <c r="H68" s="81"/>
      <c r="I68" s="81"/>
      <c r="J68" s="81"/>
      <c r="K68" s="82"/>
    </row>
    <row r="69" spans="2:11">
      <c r="B69" s="80"/>
      <c r="C69" s="81"/>
      <c r="D69" s="81"/>
      <c r="E69" s="81"/>
      <c r="F69" s="81"/>
      <c r="G69" s="81"/>
      <c r="H69" s="81"/>
      <c r="I69" s="81"/>
      <c r="J69" s="81"/>
      <c r="K69" s="82"/>
    </row>
    <row r="70" spans="2:11" ht="15.75">
      <c r="B70" s="406" t="s">
        <v>78</v>
      </c>
      <c r="C70" s="407"/>
      <c r="D70" s="407"/>
      <c r="E70" s="407"/>
      <c r="F70" s="407"/>
      <c r="G70" s="407"/>
      <c r="H70" s="407"/>
      <c r="I70" s="407"/>
      <c r="J70" s="407"/>
      <c r="K70" s="407"/>
    </row>
    <row r="71" spans="2:11">
      <c r="B71" s="388" t="s">
        <v>79</v>
      </c>
      <c r="C71" s="389"/>
      <c r="D71" s="389"/>
      <c r="E71" s="390"/>
      <c r="F71" s="394" t="s">
        <v>80</v>
      </c>
      <c r="G71" s="395"/>
      <c r="H71" s="394" t="s">
        <v>81</v>
      </c>
      <c r="I71" s="390"/>
      <c r="J71" s="398" t="s">
        <v>82</v>
      </c>
      <c r="K71" s="399"/>
    </row>
    <row r="72" spans="2:11">
      <c r="B72" s="391"/>
      <c r="C72" s="392"/>
      <c r="D72" s="392"/>
      <c r="E72" s="393"/>
      <c r="F72" s="396"/>
      <c r="G72" s="397"/>
      <c r="H72" s="391"/>
      <c r="I72" s="393"/>
      <c r="J72" s="400"/>
      <c r="K72" s="401"/>
    </row>
    <row r="73" spans="2:11">
      <c r="B73" s="381" t="s">
        <v>83</v>
      </c>
      <c r="C73" s="382"/>
      <c r="D73" s="382"/>
      <c r="E73" s="383"/>
      <c r="F73" s="384"/>
      <c r="G73" s="385"/>
      <c r="H73" s="384"/>
      <c r="I73" s="385"/>
      <c r="J73" s="384"/>
      <c r="K73" s="385"/>
    </row>
    <row r="74" spans="2:11">
      <c r="B74" s="381" t="s">
        <v>84</v>
      </c>
      <c r="C74" s="382"/>
      <c r="D74" s="382"/>
      <c r="E74" s="383"/>
      <c r="F74" s="384"/>
      <c r="G74" s="385"/>
      <c r="H74" s="384"/>
      <c r="I74" s="385"/>
      <c r="J74" s="384"/>
      <c r="K74" s="385"/>
    </row>
    <row r="75" spans="2:11">
      <c r="B75" s="381" t="s">
        <v>85</v>
      </c>
      <c r="C75" s="382"/>
      <c r="D75" s="382"/>
      <c r="E75" s="383"/>
      <c r="F75" s="384"/>
      <c r="G75" s="385"/>
      <c r="H75" s="384"/>
      <c r="I75" s="385"/>
      <c r="J75" s="384"/>
      <c r="K75" s="385"/>
    </row>
    <row r="76" spans="2:11">
      <c r="B76" s="381" t="s">
        <v>86</v>
      </c>
      <c r="C76" s="382"/>
      <c r="D76" s="382"/>
      <c r="E76" s="383"/>
      <c r="F76" s="384"/>
      <c r="G76" s="385"/>
      <c r="H76" s="384"/>
      <c r="I76" s="385"/>
      <c r="J76" s="384"/>
      <c r="K76" s="385"/>
    </row>
    <row r="77" spans="2:11">
      <c r="B77" s="381" t="s">
        <v>87</v>
      </c>
      <c r="C77" s="382"/>
      <c r="D77" s="382"/>
      <c r="E77" s="383"/>
      <c r="F77" s="384"/>
      <c r="G77" s="385"/>
      <c r="H77" s="384"/>
      <c r="I77" s="385"/>
      <c r="J77" s="384"/>
      <c r="K77" s="385"/>
    </row>
    <row r="78" spans="2:11">
      <c r="B78" s="381" t="s">
        <v>88</v>
      </c>
      <c r="C78" s="382"/>
      <c r="D78" s="382"/>
      <c r="E78" s="383"/>
      <c r="F78" s="384"/>
      <c r="G78" s="385"/>
      <c r="H78" s="384"/>
      <c r="I78" s="385"/>
      <c r="J78" s="384"/>
      <c r="K78" s="385"/>
    </row>
    <row r="79" spans="2:11">
      <c r="B79" s="381" t="s">
        <v>89</v>
      </c>
      <c r="C79" s="382"/>
      <c r="D79" s="382"/>
      <c r="E79" s="383"/>
      <c r="F79" s="384"/>
      <c r="G79" s="385"/>
      <c r="H79" s="384"/>
      <c r="I79" s="385"/>
      <c r="J79" s="384"/>
      <c r="K79" s="385"/>
    </row>
    <row r="80" spans="2:11">
      <c r="B80" s="381" t="s">
        <v>90</v>
      </c>
      <c r="C80" s="382"/>
      <c r="D80" s="382"/>
      <c r="E80" s="383"/>
      <c r="F80" s="386"/>
      <c r="G80" s="387"/>
      <c r="H80" s="384"/>
      <c r="I80" s="385"/>
      <c r="J80" s="384"/>
      <c r="K80" s="385"/>
    </row>
    <row r="81" spans="2:11">
      <c r="B81" s="381" t="s">
        <v>91</v>
      </c>
      <c r="C81" s="382"/>
      <c r="D81" s="382"/>
      <c r="E81" s="383"/>
      <c r="F81" s="384"/>
      <c r="G81" s="385"/>
      <c r="H81" s="384"/>
      <c r="I81" s="385"/>
      <c r="J81" s="384"/>
      <c r="K81" s="385"/>
    </row>
    <row r="82" spans="2:11">
      <c r="B82" s="381" t="s">
        <v>91</v>
      </c>
      <c r="C82" s="382"/>
      <c r="D82" s="382"/>
      <c r="E82" s="383"/>
      <c r="F82" s="384"/>
      <c r="G82" s="385"/>
      <c r="H82" s="384"/>
      <c r="I82" s="385"/>
      <c r="J82" s="384"/>
      <c r="K82" s="385"/>
    </row>
    <row r="83" spans="2:11">
      <c r="B83" s="381" t="s">
        <v>92</v>
      </c>
      <c r="C83" s="382"/>
      <c r="D83" s="382"/>
      <c r="E83" s="383"/>
      <c r="F83" s="384"/>
      <c r="G83" s="385"/>
      <c r="H83" s="384"/>
      <c r="I83" s="385"/>
      <c r="J83" s="384"/>
      <c r="K83" s="385"/>
    </row>
    <row r="84" spans="2:11" ht="15">
      <c r="B84" s="84"/>
      <c r="C84" s="85"/>
      <c r="D84" s="85"/>
      <c r="E84" s="85"/>
      <c r="F84" s="86"/>
      <c r="G84" s="86"/>
      <c r="H84" s="86"/>
      <c r="I84" s="86"/>
      <c r="J84" s="86"/>
      <c r="K84" s="87"/>
    </row>
    <row r="85" spans="2:11">
      <c r="B85" s="80" t="s">
        <v>93</v>
      </c>
      <c r="C85" s="157"/>
      <c r="D85" s="88"/>
      <c r="E85" s="88"/>
      <c r="F85" s="88"/>
      <c r="G85" s="88"/>
      <c r="H85" s="88"/>
      <c r="I85" s="88"/>
      <c r="J85" s="88"/>
      <c r="K85" s="89"/>
    </row>
    <row r="86" spans="2:11">
      <c r="B86" s="80"/>
      <c r="C86" s="157"/>
      <c r="D86" s="90"/>
      <c r="E86" s="90"/>
      <c r="F86" s="90"/>
      <c r="G86" s="90"/>
      <c r="H86" s="90"/>
      <c r="I86" s="90"/>
      <c r="J86" s="90"/>
      <c r="K86" s="91"/>
    </row>
    <row r="87" spans="2:11">
      <c r="B87" s="80"/>
      <c r="C87" s="157"/>
      <c r="D87" s="157"/>
      <c r="E87" s="157"/>
      <c r="F87" s="157"/>
      <c r="G87" s="157"/>
      <c r="H87" s="157"/>
      <c r="I87" s="157"/>
      <c r="J87" s="157"/>
      <c r="K87" s="158"/>
    </row>
    <row r="88" spans="2:11" ht="14.25">
      <c r="B88" s="80" t="s">
        <v>94</v>
      </c>
      <c r="C88" s="157"/>
      <c r="D88" s="88"/>
      <c r="E88" s="88"/>
      <c r="F88" s="93"/>
      <c r="G88" s="94"/>
      <c r="H88" s="94"/>
      <c r="I88" s="94" t="s">
        <v>95</v>
      </c>
      <c r="J88" s="94"/>
      <c r="K88" s="95"/>
    </row>
    <row r="89" spans="2:11" ht="15">
      <c r="B89" s="96"/>
      <c r="C89" s="97"/>
      <c r="D89" s="97"/>
      <c r="E89" s="97"/>
      <c r="F89" s="98"/>
      <c r="G89" s="98"/>
      <c r="H89" s="98"/>
      <c r="I89" s="98"/>
      <c r="J89" s="98"/>
      <c r="K89" s="99"/>
    </row>
    <row r="90" spans="2:11" ht="15">
      <c r="B90" s="100" t="s">
        <v>96</v>
      </c>
      <c r="C90" s="157"/>
      <c r="D90" s="101"/>
      <c r="E90" s="102"/>
      <c r="F90" s="102"/>
      <c r="G90" s="102"/>
      <c r="H90" s="102"/>
      <c r="I90" s="102"/>
      <c r="J90" s="102"/>
      <c r="K90" s="82"/>
    </row>
    <row r="91" spans="2:11" ht="13.5">
      <c r="B91" s="103" t="s">
        <v>97</v>
      </c>
      <c r="C91" s="157"/>
      <c r="D91" s="104"/>
      <c r="E91" s="105"/>
      <c r="F91" s="105"/>
      <c r="G91" s="106"/>
      <c r="H91" s="106"/>
      <c r="I91" s="106"/>
      <c r="J91" s="106"/>
      <c r="K91" s="107"/>
    </row>
    <row r="92" spans="2:11" ht="15">
      <c r="B92" s="108"/>
      <c r="C92" s="157"/>
      <c r="D92" s="109"/>
      <c r="E92" s="81"/>
      <c r="F92" s="81"/>
      <c r="G92" s="375" t="s">
        <v>98</v>
      </c>
      <c r="H92" s="376"/>
      <c r="I92" s="376"/>
      <c r="J92" s="376"/>
      <c r="K92" s="377"/>
    </row>
    <row r="93" spans="2:11" ht="15">
      <c r="B93" s="108"/>
      <c r="C93" s="157"/>
      <c r="D93" s="109"/>
      <c r="E93" s="81"/>
      <c r="F93" s="81"/>
      <c r="G93" s="81"/>
      <c r="H93" s="110"/>
      <c r="I93" s="111"/>
      <c r="J93" s="111"/>
      <c r="K93" s="112"/>
    </row>
    <row r="94" spans="2:11" ht="15">
      <c r="B94" s="108" t="s">
        <v>99</v>
      </c>
      <c r="C94" s="157"/>
      <c r="D94" s="109"/>
      <c r="E94" s="81"/>
      <c r="F94" s="157"/>
      <c r="G94" s="88"/>
      <c r="H94" s="113"/>
      <c r="I94" s="113"/>
      <c r="J94" s="113"/>
      <c r="K94" s="107"/>
    </row>
    <row r="95" spans="2:11">
      <c r="B95" s="114"/>
      <c r="C95" s="157"/>
      <c r="D95" s="81"/>
      <c r="E95" s="81"/>
      <c r="F95" s="157"/>
      <c r="G95" s="375" t="s">
        <v>100</v>
      </c>
      <c r="H95" s="378"/>
      <c r="I95" s="378"/>
      <c r="J95" s="378"/>
      <c r="K95" s="377"/>
    </row>
    <row r="96" spans="2:11">
      <c r="B96" s="114"/>
      <c r="C96" s="157"/>
      <c r="D96" s="81"/>
      <c r="E96" s="81"/>
      <c r="F96" s="81"/>
      <c r="G96" s="157"/>
      <c r="H96" s="157"/>
      <c r="I96" s="157"/>
      <c r="J96" s="157"/>
      <c r="K96" s="82"/>
    </row>
    <row r="97" spans="2:11">
      <c r="B97" s="114"/>
      <c r="C97" s="157"/>
      <c r="D97" s="81"/>
      <c r="E97" s="81"/>
      <c r="F97" s="81"/>
      <c r="G97" s="81"/>
      <c r="H97" s="81"/>
      <c r="I97" s="81"/>
      <c r="J97" s="81"/>
      <c r="K97" s="82"/>
    </row>
    <row r="98" spans="2:11">
      <c r="B98" s="115" t="s">
        <v>12</v>
      </c>
      <c r="C98" s="379" t="s">
        <v>101</v>
      </c>
      <c r="D98" s="380"/>
      <c r="E98" s="113"/>
      <c r="F98" s="113"/>
      <c r="G98" s="113"/>
      <c r="H98" s="113"/>
      <c r="I98" s="113"/>
      <c r="J98" s="113"/>
      <c r="K98" s="116" t="s">
        <v>102</v>
      </c>
    </row>
    <row r="99" spans="2:11" ht="59.25">
      <c r="B99" s="77" t="s">
        <v>18</v>
      </c>
      <c r="C99" s="78"/>
      <c r="D99" s="78"/>
      <c r="E99" s="78"/>
      <c r="F99" s="78"/>
      <c r="G99" s="78"/>
      <c r="H99" s="78"/>
      <c r="I99" s="78"/>
      <c r="J99" s="78"/>
      <c r="K99" s="79"/>
    </row>
    <row r="100" spans="2:11" ht="20.25">
      <c r="B100" s="412" t="s">
        <v>73</v>
      </c>
      <c r="C100" s="409"/>
      <c r="D100" s="409"/>
      <c r="E100" s="409"/>
      <c r="F100" s="409"/>
      <c r="G100" s="409"/>
      <c r="H100" s="409"/>
      <c r="I100" s="409"/>
      <c r="J100" s="409"/>
      <c r="K100" s="410"/>
    </row>
    <row r="101" spans="2:11">
      <c r="B101" s="80"/>
      <c r="C101" s="81"/>
      <c r="D101" s="81"/>
      <c r="E101" s="81"/>
      <c r="F101" s="81"/>
      <c r="G101" s="81"/>
      <c r="H101" s="81"/>
      <c r="I101" s="81"/>
      <c r="J101" s="81"/>
      <c r="K101" s="82"/>
    </row>
    <row r="102" spans="2:11">
      <c r="B102" s="80"/>
      <c r="C102" s="81"/>
      <c r="D102" s="81"/>
      <c r="E102" s="81"/>
      <c r="F102" s="81"/>
      <c r="G102" s="81"/>
      <c r="H102" s="81"/>
      <c r="I102" s="81"/>
      <c r="J102" s="81"/>
      <c r="K102" s="82"/>
    </row>
    <row r="103" spans="2:11" ht="14.25">
      <c r="B103" s="413" t="s">
        <v>74</v>
      </c>
      <c r="C103" s="414"/>
      <c r="D103" s="414"/>
      <c r="E103" s="415" t="str">
        <f>$E$5</f>
        <v>E12345</v>
      </c>
      <c r="F103" s="415"/>
      <c r="G103" s="142"/>
      <c r="H103" s="143" t="s">
        <v>75</v>
      </c>
      <c r="I103" s="142"/>
      <c r="J103" s="415" t="str">
        <f>$J$5</f>
        <v>EO 1</v>
      </c>
      <c r="K103" s="416"/>
    </row>
    <row r="104" spans="2:11">
      <c r="B104" s="80"/>
      <c r="C104" s="81"/>
      <c r="D104" s="81"/>
      <c r="E104" s="81"/>
      <c r="F104" s="81"/>
      <c r="G104" s="81"/>
      <c r="H104" s="81"/>
      <c r="I104" s="81"/>
      <c r="J104" s="81"/>
      <c r="K104" s="82"/>
    </row>
    <row r="105" spans="2:11">
      <c r="B105" s="80"/>
      <c r="C105" s="81"/>
      <c r="D105" s="81"/>
      <c r="E105" s="81"/>
      <c r="F105" s="81"/>
      <c r="G105" s="81"/>
      <c r="H105" s="81"/>
      <c r="I105" s="81"/>
      <c r="J105" s="81"/>
      <c r="K105" s="82"/>
    </row>
    <row r="106" spans="2:11" ht="15">
      <c r="B106" s="408" t="s">
        <v>76</v>
      </c>
      <c r="C106" s="409"/>
      <c r="D106" s="410"/>
      <c r="E106" s="411" t="s">
        <v>77</v>
      </c>
      <c r="F106" s="411"/>
      <c r="G106" s="81"/>
      <c r="H106" s="411" t="s">
        <v>76</v>
      </c>
      <c r="I106" s="411"/>
      <c r="J106" s="411" t="s">
        <v>77</v>
      </c>
      <c r="K106" s="411"/>
    </row>
    <row r="107" spans="2:11" ht="14.25">
      <c r="B107" s="402" t="str">
        <f>IF(OR(Q47="",Q47=0),"",Q47)</f>
        <v/>
      </c>
      <c r="C107" s="403"/>
      <c r="D107" s="404"/>
      <c r="E107" s="402" t="str">
        <f>IF(ISNA(INDEX(Schedule!O:O,MATCH('10-08-01 old'!B107,Schedule!T:T,0))),"",INDEX(Schedule!O:O,MATCH('10-08-01 old'!B107,Schedule!T:T,0)))</f>
        <v/>
      </c>
      <c r="F107" s="404"/>
      <c r="G107" s="138"/>
      <c r="H107" s="405"/>
      <c r="I107" s="405"/>
      <c r="J107" s="405"/>
      <c r="K107" s="405"/>
    </row>
    <row r="108" spans="2:11" ht="14.25">
      <c r="B108" s="402" t="str">
        <f t="shared" ref="B108:B116" si="4">IF(OR(Q48="",Q48=0),"",Q48)</f>
        <v/>
      </c>
      <c r="C108" s="403"/>
      <c r="D108" s="404"/>
      <c r="E108" s="402" t="str">
        <f>IF(ISNA(INDEX(Schedule!O:O,MATCH('10-08-01 old'!B108,Schedule!T:T,0))),"",INDEX(Schedule!O:O,MATCH('10-08-01 old'!B108,Schedule!T:T,0)))</f>
        <v/>
      </c>
      <c r="F108" s="404"/>
      <c r="G108" s="138"/>
      <c r="H108" s="405"/>
      <c r="I108" s="405"/>
      <c r="J108" s="405"/>
      <c r="K108" s="405"/>
    </row>
    <row r="109" spans="2:11" ht="14.25">
      <c r="B109" s="402" t="str">
        <f t="shared" si="4"/>
        <v/>
      </c>
      <c r="C109" s="403"/>
      <c r="D109" s="404"/>
      <c r="E109" s="402" t="str">
        <f>IF(ISNA(INDEX(Schedule!O:O,MATCH('10-08-01 old'!B109,Schedule!T:T,0))),"",INDEX(Schedule!O:O,MATCH('10-08-01 old'!B109,Schedule!T:T,0)))</f>
        <v/>
      </c>
      <c r="F109" s="404"/>
      <c r="G109" s="138"/>
      <c r="H109" s="405"/>
      <c r="I109" s="405"/>
      <c r="J109" s="405"/>
      <c r="K109" s="405"/>
    </row>
    <row r="110" spans="2:11" ht="14.25">
      <c r="B110" s="402" t="str">
        <f t="shared" si="4"/>
        <v/>
      </c>
      <c r="C110" s="403"/>
      <c r="D110" s="404"/>
      <c r="E110" s="402" t="str">
        <f>IF(ISNA(INDEX(Schedule!O:O,MATCH('10-08-01 old'!B110,Schedule!T:T,0))),"",INDEX(Schedule!O:O,MATCH('10-08-01 old'!B110,Schedule!T:T,0)))</f>
        <v/>
      </c>
      <c r="F110" s="404"/>
      <c r="G110" s="138"/>
      <c r="H110" s="405"/>
      <c r="I110" s="405"/>
      <c r="J110" s="405"/>
      <c r="K110" s="405"/>
    </row>
    <row r="111" spans="2:11" ht="14.25">
      <c r="B111" s="402" t="str">
        <f t="shared" si="4"/>
        <v/>
      </c>
      <c r="C111" s="403"/>
      <c r="D111" s="404"/>
      <c r="E111" s="402" t="str">
        <f>IF(ISNA(INDEX(Schedule!O:O,MATCH('10-08-01 old'!B111,Schedule!T:T,0))),"",INDEX(Schedule!O:O,MATCH('10-08-01 old'!B111,Schedule!T:T,0)))</f>
        <v/>
      </c>
      <c r="F111" s="404"/>
      <c r="G111" s="138"/>
      <c r="H111" s="405"/>
      <c r="I111" s="405"/>
      <c r="J111" s="405"/>
      <c r="K111" s="405"/>
    </row>
    <row r="112" spans="2:11" ht="14.25">
      <c r="B112" s="402" t="str">
        <f t="shared" si="4"/>
        <v/>
      </c>
      <c r="C112" s="403"/>
      <c r="D112" s="404"/>
      <c r="E112" s="402" t="str">
        <f>IF(ISNA(INDEX(Schedule!O:O,MATCH('10-08-01 old'!B112,Schedule!T:T,0))),"",INDEX(Schedule!O:O,MATCH('10-08-01 old'!B112,Schedule!T:T,0)))</f>
        <v/>
      </c>
      <c r="F112" s="404"/>
      <c r="G112" s="138"/>
      <c r="H112" s="405"/>
      <c r="I112" s="405"/>
      <c r="J112" s="405"/>
      <c r="K112" s="405"/>
    </row>
    <row r="113" spans="2:11" ht="14.25">
      <c r="B113" s="402" t="str">
        <f t="shared" si="4"/>
        <v/>
      </c>
      <c r="C113" s="403"/>
      <c r="D113" s="404"/>
      <c r="E113" s="402" t="str">
        <f>IF(ISNA(INDEX(Schedule!O:O,MATCH('10-08-01 old'!B113,Schedule!T:T,0))),"",INDEX(Schedule!O:O,MATCH('10-08-01 old'!B113,Schedule!T:T,0)))</f>
        <v/>
      </c>
      <c r="F113" s="404"/>
      <c r="G113" s="138"/>
      <c r="H113" s="405"/>
      <c r="I113" s="405"/>
      <c r="J113" s="405"/>
      <c r="K113" s="405"/>
    </row>
    <row r="114" spans="2:11" ht="14.25">
      <c r="B114" s="402" t="str">
        <f t="shared" si="4"/>
        <v/>
      </c>
      <c r="C114" s="403"/>
      <c r="D114" s="404"/>
      <c r="E114" s="402" t="str">
        <f>IF(ISNA(INDEX(Schedule!O:O,MATCH('10-08-01 old'!B114,Schedule!T:T,0))),"",INDEX(Schedule!O:O,MATCH('10-08-01 old'!B114,Schedule!T:T,0)))</f>
        <v/>
      </c>
      <c r="F114" s="404"/>
      <c r="G114" s="138"/>
      <c r="H114" s="405"/>
      <c r="I114" s="405"/>
      <c r="J114" s="405"/>
      <c r="K114" s="405"/>
    </row>
    <row r="115" spans="2:11" ht="14.25">
      <c r="B115" s="402" t="str">
        <f t="shared" si="4"/>
        <v/>
      </c>
      <c r="C115" s="403"/>
      <c r="D115" s="404"/>
      <c r="E115" s="402" t="str">
        <f>IF(ISNA(INDEX(Schedule!O:O,MATCH('10-08-01 old'!B115,Schedule!T:T,0))),"",INDEX(Schedule!O:O,MATCH('10-08-01 old'!B115,Schedule!T:T,0)))</f>
        <v/>
      </c>
      <c r="F115" s="404"/>
      <c r="G115" s="138"/>
      <c r="H115" s="405"/>
      <c r="I115" s="405"/>
      <c r="J115" s="405"/>
      <c r="K115" s="405"/>
    </row>
    <row r="116" spans="2:11" ht="14.25">
      <c r="B116" s="402" t="str">
        <f t="shared" si="4"/>
        <v/>
      </c>
      <c r="C116" s="403"/>
      <c r="D116" s="404"/>
      <c r="E116" s="402"/>
      <c r="F116" s="404"/>
      <c r="G116" s="138"/>
      <c r="H116" s="405"/>
      <c r="I116" s="405"/>
      <c r="J116" s="405"/>
      <c r="K116" s="405"/>
    </row>
    <row r="117" spans="2:11">
      <c r="B117" s="80"/>
      <c r="C117" s="81"/>
      <c r="D117" s="81"/>
      <c r="E117" s="81"/>
      <c r="F117" s="81"/>
      <c r="G117" s="81"/>
      <c r="H117" s="81"/>
      <c r="I117" s="81"/>
      <c r="J117" s="81"/>
      <c r="K117" s="82"/>
    </row>
    <row r="118" spans="2:11">
      <c r="B118" s="80"/>
      <c r="C118" s="81"/>
      <c r="D118" s="81"/>
      <c r="E118" s="81"/>
      <c r="F118" s="81"/>
      <c r="G118" s="81"/>
      <c r="H118" s="81"/>
      <c r="I118" s="81"/>
      <c r="J118" s="81"/>
      <c r="K118" s="82"/>
    </row>
    <row r="119" spans="2:11" ht="15.75">
      <c r="B119" s="406" t="s">
        <v>78</v>
      </c>
      <c r="C119" s="407"/>
      <c r="D119" s="407"/>
      <c r="E119" s="407"/>
      <c r="F119" s="407"/>
      <c r="G119" s="407"/>
      <c r="H119" s="407"/>
      <c r="I119" s="407"/>
      <c r="J119" s="407"/>
      <c r="K119" s="407"/>
    </row>
    <row r="120" spans="2:11">
      <c r="B120" s="388" t="s">
        <v>79</v>
      </c>
      <c r="C120" s="389"/>
      <c r="D120" s="389"/>
      <c r="E120" s="390"/>
      <c r="F120" s="394" t="s">
        <v>80</v>
      </c>
      <c r="G120" s="395"/>
      <c r="H120" s="394" t="s">
        <v>81</v>
      </c>
      <c r="I120" s="390"/>
      <c r="J120" s="398" t="s">
        <v>82</v>
      </c>
      <c r="K120" s="399"/>
    </row>
    <row r="121" spans="2:11">
      <c r="B121" s="391"/>
      <c r="C121" s="392"/>
      <c r="D121" s="392"/>
      <c r="E121" s="393"/>
      <c r="F121" s="396"/>
      <c r="G121" s="397"/>
      <c r="H121" s="391"/>
      <c r="I121" s="393"/>
      <c r="J121" s="400"/>
      <c r="K121" s="401"/>
    </row>
    <row r="122" spans="2:11">
      <c r="B122" s="381" t="s">
        <v>83</v>
      </c>
      <c r="C122" s="382"/>
      <c r="D122" s="382"/>
      <c r="E122" s="383"/>
      <c r="F122" s="384"/>
      <c r="G122" s="385"/>
      <c r="H122" s="384"/>
      <c r="I122" s="385"/>
      <c r="J122" s="384"/>
      <c r="K122" s="385"/>
    </row>
    <row r="123" spans="2:11">
      <c r="B123" s="381" t="s">
        <v>84</v>
      </c>
      <c r="C123" s="382"/>
      <c r="D123" s="382"/>
      <c r="E123" s="383"/>
      <c r="F123" s="384"/>
      <c r="G123" s="385"/>
      <c r="H123" s="384"/>
      <c r="I123" s="385"/>
      <c r="J123" s="384"/>
      <c r="K123" s="385"/>
    </row>
    <row r="124" spans="2:11">
      <c r="B124" s="381" t="s">
        <v>85</v>
      </c>
      <c r="C124" s="382"/>
      <c r="D124" s="382"/>
      <c r="E124" s="383"/>
      <c r="F124" s="384"/>
      <c r="G124" s="385"/>
      <c r="H124" s="384"/>
      <c r="I124" s="385"/>
      <c r="J124" s="384"/>
      <c r="K124" s="385"/>
    </row>
    <row r="125" spans="2:11">
      <c r="B125" s="381" t="s">
        <v>86</v>
      </c>
      <c r="C125" s="382"/>
      <c r="D125" s="382"/>
      <c r="E125" s="383"/>
      <c r="F125" s="384"/>
      <c r="G125" s="385"/>
      <c r="H125" s="384"/>
      <c r="I125" s="385"/>
      <c r="J125" s="384"/>
      <c r="K125" s="385"/>
    </row>
    <row r="126" spans="2:11">
      <c r="B126" s="381" t="s">
        <v>87</v>
      </c>
      <c r="C126" s="382"/>
      <c r="D126" s="382"/>
      <c r="E126" s="383"/>
      <c r="F126" s="384"/>
      <c r="G126" s="385"/>
      <c r="H126" s="384"/>
      <c r="I126" s="385"/>
      <c r="J126" s="384"/>
      <c r="K126" s="385"/>
    </row>
    <row r="127" spans="2:11">
      <c r="B127" s="381" t="s">
        <v>88</v>
      </c>
      <c r="C127" s="382"/>
      <c r="D127" s="382"/>
      <c r="E127" s="383"/>
      <c r="F127" s="384"/>
      <c r="G127" s="385"/>
      <c r="H127" s="384"/>
      <c r="I127" s="385"/>
      <c r="J127" s="384"/>
      <c r="K127" s="385"/>
    </row>
    <row r="128" spans="2:11">
      <c r="B128" s="381" t="s">
        <v>89</v>
      </c>
      <c r="C128" s="382"/>
      <c r="D128" s="382"/>
      <c r="E128" s="383"/>
      <c r="F128" s="384"/>
      <c r="G128" s="385"/>
      <c r="H128" s="384"/>
      <c r="I128" s="385"/>
      <c r="J128" s="384"/>
      <c r="K128" s="385"/>
    </row>
    <row r="129" spans="2:11">
      <c r="B129" s="381" t="s">
        <v>90</v>
      </c>
      <c r="C129" s="382"/>
      <c r="D129" s="382"/>
      <c r="E129" s="383"/>
      <c r="F129" s="386"/>
      <c r="G129" s="387"/>
      <c r="H129" s="384"/>
      <c r="I129" s="385"/>
      <c r="J129" s="384"/>
      <c r="K129" s="385"/>
    </row>
    <row r="130" spans="2:11">
      <c r="B130" s="381" t="s">
        <v>91</v>
      </c>
      <c r="C130" s="382"/>
      <c r="D130" s="382"/>
      <c r="E130" s="383"/>
      <c r="F130" s="384"/>
      <c r="G130" s="385"/>
      <c r="H130" s="384"/>
      <c r="I130" s="385"/>
      <c r="J130" s="384"/>
      <c r="K130" s="385"/>
    </row>
    <row r="131" spans="2:11">
      <c r="B131" s="381" t="s">
        <v>91</v>
      </c>
      <c r="C131" s="382"/>
      <c r="D131" s="382"/>
      <c r="E131" s="383"/>
      <c r="F131" s="384"/>
      <c r="G131" s="385"/>
      <c r="H131" s="384"/>
      <c r="I131" s="385"/>
      <c r="J131" s="384"/>
      <c r="K131" s="385"/>
    </row>
    <row r="132" spans="2:11">
      <c r="B132" s="381" t="s">
        <v>92</v>
      </c>
      <c r="C132" s="382"/>
      <c r="D132" s="382"/>
      <c r="E132" s="383"/>
      <c r="F132" s="384"/>
      <c r="G132" s="385"/>
      <c r="H132" s="384"/>
      <c r="I132" s="385"/>
      <c r="J132" s="384"/>
      <c r="K132" s="385"/>
    </row>
    <row r="133" spans="2:11" ht="15">
      <c r="B133" s="84"/>
      <c r="C133" s="85"/>
      <c r="D133" s="85"/>
      <c r="E133" s="85"/>
      <c r="F133" s="86"/>
      <c r="G133" s="86"/>
      <c r="H133" s="86"/>
      <c r="I133" s="86"/>
      <c r="J133" s="86"/>
      <c r="K133" s="87"/>
    </row>
    <row r="134" spans="2:11">
      <c r="B134" s="80" t="s">
        <v>93</v>
      </c>
      <c r="C134" s="157"/>
      <c r="D134" s="88"/>
      <c r="E134" s="88"/>
      <c r="F134" s="88"/>
      <c r="G134" s="88"/>
      <c r="H134" s="88"/>
      <c r="I134" s="88"/>
      <c r="J134" s="88"/>
      <c r="K134" s="89"/>
    </row>
    <row r="135" spans="2:11">
      <c r="B135" s="80"/>
      <c r="C135" s="157"/>
      <c r="D135" s="90"/>
      <c r="E135" s="90"/>
      <c r="F135" s="90"/>
      <c r="G135" s="90"/>
      <c r="H135" s="90"/>
      <c r="I135" s="90"/>
      <c r="J135" s="90"/>
      <c r="K135" s="91"/>
    </row>
    <row r="136" spans="2:11">
      <c r="B136" s="80"/>
      <c r="C136" s="157"/>
      <c r="D136" s="157"/>
      <c r="E136" s="157"/>
      <c r="F136" s="157"/>
      <c r="G136" s="157"/>
      <c r="H136" s="157"/>
      <c r="I136" s="157"/>
      <c r="J136" s="157"/>
      <c r="K136" s="158"/>
    </row>
    <row r="137" spans="2:11" ht="14.25">
      <c r="B137" s="80" t="s">
        <v>94</v>
      </c>
      <c r="C137" s="157"/>
      <c r="D137" s="88"/>
      <c r="E137" s="88"/>
      <c r="F137" s="93"/>
      <c r="G137" s="94"/>
      <c r="H137" s="94"/>
      <c r="I137" s="94" t="s">
        <v>95</v>
      </c>
      <c r="J137" s="94"/>
      <c r="K137" s="95"/>
    </row>
    <row r="138" spans="2:11" ht="15">
      <c r="B138" s="96"/>
      <c r="C138" s="97"/>
      <c r="D138" s="97"/>
      <c r="E138" s="97"/>
      <c r="F138" s="98"/>
      <c r="G138" s="98"/>
      <c r="H138" s="98"/>
      <c r="I138" s="98"/>
      <c r="J138" s="98"/>
      <c r="K138" s="99"/>
    </row>
    <row r="139" spans="2:11" ht="15">
      <c r="B139" s="100" t="s">
        <v>96</v>
      </c>
      <c r="C139" s="157"/>
      <c r="D139" s="101"/>
      <c r="E139" s="102"/>
      <c r="F139" s="102"/>
      <c r="G139" s="102"/>
      <c r="H139" s="102"/>
      <c r="I139" s="102"/>
      <c r="J139" s="102"/>
      <c r="K139" s="82"/>
    </row>
    <row r="140" spans="2:11" ht="13.5">
      <c r="B140" s="103" t="s">
        <v>97</v>
      </c>
      <c r="C140" s="157"/>
      <c r="D140" s="104"/>
      <c r="E140" s="105"/>
      <c r="F140" s="105"/>
      <c r="G140" s="106"/>
      <c r="H140" s="106"/>
      <c r="I140" s="106"/>
      <c r="J140" s="106"/>
      <c r="K140" s="107"/>
    </row>
    <row r="141" spans="2:11" ht="15">
      <c r="B141" s="108"/>
      <c r="C141" s="157"/>
      <c r="D141" s="109"/>
      <c r="E141" s="81"/>
      <c r="F141" s="81"/>
      <c r="G141" s="375" t="s">
        <v>98</v>
      </c>
      <c r="H141" s="376"/>
      <c r="I141" s="376"/>
      <c r="J141" s="376"/>
      <c r="K141" s="377"/>
    </row>
    <row r="142" spans="2:11" ht="15">
      <c r="B142" s="108"/>
      <c r="C142" s="157"/>
      <c r="D142" s="109"/>
      <c r="E142" s="81"/>
      <c r="F142" s="81"/>
      <c r="G142" s="81"/>
      <c r="H142" s="110"/>
      <c r="I142" s="111"/>
      <c r="J142" s="111"/>
      <c r="K142" s="112"/>
    </row>
    <row r="143" spans="2:11" ht="15">
      <c r="B143" s="108" t="s">
        <v>99</v>
      </c>
      <c r="C143" s="157"/>
      <c r="D143" s="109"/>
      <c r="E143" s="81"/>
      <c r="F143" s="157"/>
      <c r="G143" s="88"/>
      <c r="H143" s="113"/>
      <c r="I143" s="113"/>
      <c r="J143" s="113"/>
      <c r="K143" s="107"/>
    </row>
    <row r="144" spans="2:11">
      <c r="B144" s="114"/>
      <c r="C144" s="157"/>
      <c r="D144" s="81"/>
      <c r="E144" s="81"/>
      <c r="F144" s="157"/>
      <c r="G144" s="375" t="s">
        <v>100</v>
      </c>
      <c r="H144" s="378"/>
      <c r="I144" s="378"/>
      <c r="J144" s="378"/>
      <c r="K144" s="377"/>
    </row>
    <row r="145" spans="2:11">
      <c r="B145" s="114"/>
      <c r="C145" s="157"/>
      <c r="D145" s="81"/>
      <c r="E145" s="81"/>
      <c r="F145" s="81"/>
      <c r="G145" s="157"/>
      <c r="H145" s="157"/>
      <c r="I145" s="157"/>
      <c r="J145" s="157"/>
      <c r="K145" s="82"/>
    </row>
    <row r="146" spans="2:11">
      <c r="B146" s="114"/>
      <c r="C146" s="157"/>
      <c r="D146" s="81"/>
      <c r="E146" s="81"/>
      <c r="F146" s="81"/>
      <c r="G146" s="81"/>
      <c r="H146" s="81"/>
      <c r="I146" s="81"/>
      <c r="J146" s="81"/>
      <c r="K146" s="82"/>
    </row>
    <row r="147" spans="2:11">
      <c r="B147" s="115" t="s">
        <v>12</v>
      </c>
      <c r="C147" s="379" t="s">
        <v>101</v>
      </c>
      <c r="D147" s="380"/>
      <c r="E147" s="113"/>
      <c r="F147" s="113"/>
      <c r="G147" s="113"/>
      <c r="H147" s="113"/>
      <c r="I147" s="113"/>
      <c r="J147" s="113"/>
      <c r="K147" s="116" t="s">
        <v>102</v>
      </c>
    </row>
  </sheetData>
  <sortState ref="Q7:Q54">
    <sortCondition descending="1" ref="Q7:Q54"/>
  </sortState>
  <mergeCells count="301">
    <mergeCell ref="B2:K2"/>
    <mergeCell ref="B5:D5"/>
    <mergeCell ref="E5:F5"/>
    <mergeCell ref="J5:K5"/>
    <mergeCell ref="B8:D8"/>
    <mergeCell ref="E8:F8"/>
    <mergeCell ref="H8:I8"/>
    <mergeCell ref="J8:K8"/>
    <mergeCell ref="B11:D11"/>
    <mergeCell ref="E11:F11"/>
    <mergeCell ref="H11:I11"/>
    <mergeCell ref="J11:K11"/>
    <mergeCell ref="B12:D12"/>
    <mergeCell ref="E12:F12"/>
    <mergeCell ref="H12:I12"/>
    <mergeCell ref="J12:K12"/>
    <mergeCell ref="B9:D9"/>
    <mergeCell ref="E9:F9"/>
    <mergeCell ref="H9:I9"/>
    <mergeCell ref="J9:K9"/>
    <mergeCell ref="B10:D10"/>
    <mergeCell ref="E10:F10"/>
    <mergeCell ref="H10:I10"/>
    <mergeCell ref="J10:K10"/>
    <mergeCell ref="B13:D13"/>
    <mergeCell ref="E13:F13"/>
    <mergeCell ref="H13:I13"/>
    <mergeCell ref="J13:K13"/>
    <mergeCell ref="B14:D14"/>
    <mergeCell ref="E14:F14"/>
    <mergeCell ref="H14:I14"/>
    <mergeCell ref="J14:K14"/>
    <mergeCell ref="B15:D15"/>
    <mergeCell ref="E15:F15"/>
    <mergeCell ref="H15:I15"/>
    <mergeCell ref="J15:K15"/>
    <mergeCell ref="B21:K21"/>
    <mergeCell ref="B22:E23"/>
    <mergeCell ref="F22:G23"/>
    <mergeCell ref="H22:I23"/>
    <mergeCell ref="B16:D16"/>
    <mergeCell ref="E16:F16"/>
    <mergeCell ref="H16:I16"/>
    <mergeCell ref="J16:K16"/>
    <mergeCell ref="B18:D18"/>
    <mergeCell ref="E18:F18"/>
    <mergeCell ref="H18:I18"/>
    <mergeCell ref="J18:K18"/>
    <mergeCell ref="B17:D17"/>
    <mergeCell ref="E17:F17"/>
    <mergeCell ref="H17:I17"/>
    <mergeCell ref="J17:K17"/>
    <mergeCell ref="B25:E25"/>
    <mergeCell ref="F25:G25"/>
    <mergeCell ref="H25:I25"/>
    <mergeCell ref="J25:K25"/>
    <mergeCell ref="B24:E24"/>
    <mergeCell ref="F24:G24"/>
    <mergeCell ref="H24:I24"/>
    <mergeCell ref="J24:K24"/>
    <mergeCell ref="J22:K23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M2:O4"/>
    <mergeCell ref="G46:K46"/>
    <mergeCell ref="C49:D49"/>
    <mergeCell ref="B33:E33"/>
    <mergeCell ref="F33:G33"/>
    <mergeCell ref="H33:I33"/>
    <mergeCell ref="J33:K33"/>
    <mergeCell ref="B34:E34"/>
    <mergeCell ref="F34:G34"/>
    <mergeCell ref="H34:I34"/>
    <mergeCell ref="J34:K34"/>
    <mergeCell ref="B32:E32"/>
    <mergeCell ref="F32:G32"/>
    <mergeCell ref="H32:I32"/>
    <mergeCell ref="J32:K32"/>
    <mergeCell ref="G43:K43"/>
    <mergeCell ref="B30:E30"/>
    <mergeCell ref="F30:G30"/>
    <mergeCell ref="H30:I30"/>
    <mergeCell ref="J30:K30"/>
    <mergeCell ref="B31:E31"/>
    <mergeCell ref="F31:G31"/>
    <mergeCell ref="H31:I31"/>
    <mergeCell ref="J31:K31"/>
    <mergeCell ref="B51:K51"/>
    <mergeCell ref="B54:D54"/>
    <mergeCell ref="E54:F54"/>
    <mergeCell ref="J54:K54"/>
    <mergeCell ref="B57:D57"/>
    <mergeCell ref="E57:F57"/>
    <mergeCell ref="H57:I57"/>
    <mergeCell ref="J57:K57"/>
    <mergeCell ref="B58:D58"/>
    <mergeCell ref="E58:F58"/>
    <mergeCell ref="H58:I58"/>
    <mergeCell ref="J58:K58"/>
    <mergeCell ref="B59:D59"/>
    <mergeCell ref="E59:F59"/>
    <mergeCell ref="H59:I59"/>
    <mergeCell ref="J59:K59"/>
    <mergeCell ref="B60:D60"/>
    <mergeCell ref="E60:F60"/>
    <mergeCell ref="H60:I60"/>
    <mergeCell ref="J60:K60"/>
    <mergeCell ref="B61:D61"/>
    <mergeCell ref="E61:F61"/>
    <mergeCell ref="H61:I61"/>
    <mergeCell ref="J61:K61"/>
    <mergeCell ref="B62:D62"/>
    <mergeCell ref="E62:F62"/>
    <mergeCell ref="H62:I62"/>
    <mergeCell ref="J62:K62"/>
    <mergeCell ref="B63:D63"/>
    <mergeCell ref="E63:F63"/>
    <mergeCell ref="H63:I63"/>
    <mergeCell ref="J63:K63"/>
    <mergeCell ref="B64:D64"/>
    <mergeCell ref="E64:F64"/>
    <mergeCell ref="H64:I64"/>
    <mergeCell ref="J64:K64"/>
    <mergeCell ref="B65:D65"/>
    <mergeCell ref="E65:F65"/>
    <mergeCell ref="H65:I65"/>
    <mergeCell ref="J65:K65"/>
    <mergeCell ref="B66:D66"/>
    <mergeCell ref="E66:F66"/>
    <mergeCell ref="H66:I66"/>
    <mergeCell ref="J66:K66"/>
    <mergeCell ref="B67:D67"/>
    <mergeCell ref="E67:F67"/>
    <mergeCell ref="H67:I67"/>
    <mergeCell ref="J67:K67"/>
    <mergeCell ref="B70:K70"/>
    <mergeCell ref="B71:E72"/>
    <mergeCell ref="F71:G72"/>
    <mergeCell ref="H71:I72"/>
    <mergeCell ref="J71:K72"/>
    <mergeCell ref="B73:E73"/>
    <mergeCell ref="F73:G73"/>
    <mergeCell ref="H73:I73"/>
    <mergeCell ref="J73:K73"/>
    <mergeCell ref="B74:E74"/>
    <mergeCell ref="F74:G74"/>
    <mergeCell ref="H74:I74"/>
    <mergeCell ref="J74:K74"/>
    <mergeCell ref="B75:E75"/>
    <mergeCell ref="F75:G75"/>
    <mergeCell ref="H75:I75"/>
    <mergeCell ref="J75:K75"/>
    <mergeCell ref="B76:E76"/>
    <mergeCell ref="F76:G76"/>
    <mergeCell ref="H76:I76"/>
    <mergeCell ref="J76:K76"/>
    <mergeCell ref="B77:E77"/>
    <mergeCell ref="F77:G77"/>
    <mergeCell ref="H77:I77"/>
    <mergeCell ref="J77:K77"/>
    <mergeCell ref="B78:E78"/>
    <mergeCell ref="F78:G78"/>
    <mergeCell ref="H78:I78"/>
    <mergeCell ref="J78:K78"/>
    <mergeCell ref="B79:E79"/>
    <mergeCell ref="F79:G79"/>
    <mergeCell ref="H79:I79"/>
    <mergeCell ref="J79:K79"/>
    <mergeCell ref="B80:E80"/>
    <mergeCell ref="F80:G80"/>
    <mergeCell ref="H80:I80"/>
    <mergeCell ref="J80:K80"/>
    <mergeCell ref="B81:E81"/>
    <mergeCell ref="F81:G81"/>
    <mergeCell ref="H81:I81"/>
    <mergeCell ref="J81:K81"/>
    <mergeCell ref="B82:E82"/>
    <mergeCell ref="F82:G82"/>
    <mergeCell ref="H82:I82"/>
    <mergeCell ref="J82:K82"/>
    <mergeCell ref="B83:E83"/>
    <mergeCell ref="F83:G83"/>
    <mergeCell ref="H83:I83"/>
    <mergeCell ref="J83:K83"/>
    <mergeCell ref="G92:K92"/>
    <mergeCell ref="G95:K95"/>
    <mergeCell ref="C98:D98"/>
    <mergeCell ref="B100:K100"/>
    <mergeCell ref="B103:D103"/>
    <mergeCell ref="E103:F103"/>
    <mergeCell ref="J103:K103"/>
    <mergeCell ref="B106:D106"/>
    <mergeCell ref="E106:F106"/>
    <mergeCell ref="H106:I106"/>
    <mergeCell ref="J106:K106"/>
    <mergeCell ref="B107:D107"/>
    <mergeCell ref="E107:F107"/>
    <mergeCell ref="H107:I107"/>
    <mergeCell ref="J107:K107"/>
    <mergeCell ref="B108:D108"/>
    <mergeCell ref="E108:F108"/>
    <mergeCell ref="H108:I108"/>
    <mergeCell ref="J108:K108"/>
    <mergeCell ref="B109:D109"/>
    <mergeCell ref="E109:F109"/>
    <mergeCell ref="H109:I109"/>
    <mergeCell ref="J109:K109"/>
    <mergeCell ref="B110:D110"/>
    <mergeCell ref="E110:F110"/>
    <mergeCell ref="H110:I110"/>
    <mergeCell ref="J110:K110"/>
    <mergeCell ref="B111:D111"/>
    <mergeCell ref="E111:F111"/>
    <mergeCell ref="H111:I111"/>
    <mergeCell ref="J111:K111"/>
    <mergeCell ref="B112:D112"/>
    <mergeCell ref="E112:F112"/>
    <mergeCell ref="H112:I112"/>
    <mergeCell ref="J112:K112"/>
    <mergeCell ref="B113:D113"/>
    <mergeCell ref="E113:F113"/>
    <mergeCell ref="H113:I113"/>
    <mergeCell ref="J113:K113"/>
    <mergeCell ref="B114:D114"/>
    <mergeCell ref="E114:F114"/>
    <mergeCell ref="H114:I114"/>
    <mergeCell ref="J114:K114"/>
    <mergeCell ref="B115:D115"/>
    <mergeCell ref="E115:F115"/>
    <mergeCell ref="H115:I115"/>
    <mergeCell ref="J115:K115"/>
    <mergeCell ref="B116:D116"/>
    <mergeCell ref="E116:F116"/>
    <mergeCell ref="H116:I116"/>
    <mergeCell ref="J116:K116"/>
    <mergeCell ref="B119:K119"/>
    <mergeCell ref="B120:E121"/>
    <mergeCell ref="F120:G121"/>
    <mergeCell ref="H120:I121"/>
    <mergeCell ref="J120:K121"/>
    <mergeCell ref="B122:E122"/>
    <mergeCell ref="F122:G122"/>
    <mergeCell ref="H122:I122"/>
    <mergeCell ref="J122:K122"/>
    <mergeCell ref="B123:E123"/>
    <mergeCell ref="F123:G123"/>
    <mergeCell ref="H123:I123"/>
    <mergeCell ref="J123:K123"/>
    <mergeCell ref="B124:E124"/>
    <mergeCell ref="F124:G124"/>
    <mergeCell ref="H124:I124"/>
    <mergeCell ref="J124:K124"/>
    <mergeCell ref="B125:E125"/>
    <mergeCell ref="F125:G125"/>
    <mergeCell ref="H125:I125"/>
    <mergeCell ref="J125:K125"/>
    <mergeCell ref="B126:E126"/>
    <mergeCell ref="F126:G126"/>
    <mergeCell ref="H126:I126"/>
    <mergeCell ref="J126:K126"/>
    <mergeCell ref="B127:E127"/>
    <mergeCell ref="F127:G127"/>
    <mergeCell ref="H127:I127"/>
    <mergeCell ref="J127:K127"/>
    <mergeCell ref="B128:E128"/>
    <mergeCell ref="F128:G128"/>
    <mergeCell ref="H128:I128"/>
    <mergeCell ref="J128:K128"/>
    <mergeCell ref="B129:E129"/>
    <mergeCell ref="F129:G129"/>
    <mergeCell ref="H129:I129"/>
    <mergeCell ref="J129:K129"/>
    <mergeCell ref="G141:K141"/>
    <mergeCell ref="G144:K144"/>
    <mergeCell ref="C147:D147"/>
    <mergeCell ref="B130:E130"/>
    <mergeCell ref="F130:G130"/>
    <mergeCell ref="H130:I130"/>
    <mergeCell ref="J130:K130"/>
    <mergeCell ref="B131:E131"/>
    <mergeCell ref="F131:G131"/>
    <mergeCell ref="H131:I131"/>
    <mergeCell ref="J131:K131"/>
    <mergeCell ref="B132:E132"/>
    <mergeCell ref="F132:G132"/>
    <mergeCell ref="H132:I132"/>
    <mergeCell ref="J132:K132"/>
  </mergeCells>
  <printOptions horizontalCentered="1" verticalCentered="1"/>
  <pageMargins left="0.25" right="0.25" top="0.25" bottom="0.25" header="0.25" footer="0.2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er_rec_review_sheet">
                <anchor moveWithCells="1" sizeWithCells="1">
                  <from>
                    <xdr:col>12</xdr:col>
                    <xdr:colOff>95250</xdr:colOff>
                    <xdr:row>1</xdr:row>
                    <xdr:rowOff>57150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5CAC-6DA7-42F9-A6FF-478D379D1D8F}">
  <sheetPr codeName="Sheet12"/>
  <dimension ref="A1:I90"/>
  <sheetViews>
    <sheetView showGridLines="0" tabSelected="1" zoomScale="85" zoomScaleNormal="85" workbookViewId="0">
      <selection activeCell="N10" sqref="N10"/>
    </sheetView>
  </sheetViews>
  <sheetFormatPr defaultRowHeight="14.25"/>
  <cols>
    <col min="1" max="1" width="10.875" style="195" customWidth="1"/>
    <col min="2" max="2" width="10.125" style="301" bestFit="1" customWidth="1"/>
    <col min="3" max="3" width="10.125" style="195" bestFit="1" customWidth="1"/>
    <col min="4" max="4" width="9" style="195"/>
    <col min="5" max="5" width="11.875" style="195" customWidth="1"/>
    <col min="6" max="7" width="8.375" style="195" customWidth="1"/>
    <col min="8" max="8" width="8.25" style="195" customWidth="1"/>
    <col min="9" max="9" width="16.5" style="195" customWidth="1"/>
    <col min="10" max="256" width="9" style="195"/>
    <col min="257" max="257" width="10.875" style="195" customWidth="1"/>
    <col min="258" max="260" width="9" style="195"/>
    <col min="261" max="261" width="11.875" style="195" customWidth="1"/>
    <col min="262" max="263" width="8.375" style="195" customWidth="1"/>
    <col min="264" max="264" width="8.25" style="195" customWidth="1"/>
    <col min="265" max="265" width="16.5" style="195" customWidth="1"/>
    <col min="266" max="512" width="9" style="195"/>
    <col min="513" max="513" width="10.875" style="195" customWidth="1"/>
    <col min="514" max="516" width="9" style="195"/>
    <col min="517" max="517" width="11.875" style="195" customWidth="1"/>
    <col min="518" max="519" width="8.375" style="195" customWidth="1"/>
    <col min="520" max="520" width="8.25" style="195" customWidth="1"/>
    <col min="521" max="521" width="16.5" style="195" customWidth="1"/>
    <col min="522" max="768" width="9" style="195"/>
    <col min="769" max="769" width="10.875" style="195" customWidth="1"/>
    <col min="770" max="772" width="9" style="195"/>
    <col min="773" max="773" width="11.875" style="195" customWidth="1"/>
    <col min="774" max="775" width="8.375" style="195" customWidth="1"/>
    <col min="776" max="776" width="8.25" style="195" customWidth="1"/>
    <col min="777" max="777" width="16.5" style="195" customWidth="1"/>
    <col min="778" max="1024" width="9" style="195"/>
    <col min="1025" max="1025" width="10.875" style="195" customWidth="1"/>
    <col min="1026" max="1028" width="9" style="195"/>
    <col min="1029" max="1029" width="11.875" style="195" customWidth="1"/>
    <col min="1030" max="1031" width="8.375" style="195" customWidth="1"/>
    <col min="1032" max="1032" width="8.25" style="195" customWidth="1"/>
    <col min="1033" max="1033" width="16.5" style="195" customWidth="1"/>
    <col min="1034" max="1280" width="9" style="195"/>
    <col min="1281" max="1281" width="10.875" style="195" customWidth="1"/>
    <col min="1282" max="1284" width="9" style="195"/>
    <col min="1285" max="1285" width="11.875" style="195" customWidth="1"/>
    <col min="1286" max="1287" width="8.375" style="195" customWidth="1"/>
    <col min="1288" max="1288" width="8.25" style="195" customWidth="1"/>
    <col min="1289" max="1289" width="16.5" style="195" customWidth="1"/>
    <col min="1290" max="1536" width="9" style="195"/>
    <col min="1537" max="1537" width="10.875" style="195" customWidth="1"/>
    <col min="1538" max="1540" width="9" style="195"/>
    <col min="1541" max="1541" width="11.875" style="195" customWidth="1"/>
    <col min="1542" max="1543" width="8.375" style="195" customWidth="1"/>
    <col min="1544" max="1544" width="8.25" style="195" customWidth="1"/>
    <col min="1545" max="1545" width="16.5" style="195" customWidth="1"/>
    <col min="1546" max="1792" width="9" style="195"/>
    <col min="1793" max="1793" width="10.875" style="195" customWidth="1"/>
    <col min="1794" max="1796" width="9" style="195"/>
    <col min="1797" max="1797" width="11.875" style="195" customWidth="1"/>
    <col min="1798" max="1799" width="8.375" style="195" customWidth="1"/>
    <col min="1800" max="1800" width="8.25" style="195" customWidth="1"/>
    <col min="1801" max="1801" width="16.5" style="195" customWidth="1"/>
    <col min="1802" max="2048" width="9" style="195"/>
    <col min="2049" max="2049" width="10.875" style="195" customWidth="1"/>
    <col min="2050" max="2052" width="9" style="195"/>
    <col min="2053" max="2053" width="11.875" style="195" customWidth="1"/>
    <col min="2054" max="2055" width="8.375" style="195" customWidth="1"/>
    <col min="2056" max="2056" width="8.25" style="195" customWidth="1"/>
    <col min="2057" max="2057" width="16.5" style="195" customWidth="1"/>
    <col min="2058" max="2304" width="9" style="195"/>
    <col min="2305" max="2305" width="10.875" style="195" customWidth="1"/>
    <col min="2306" max="2308" width="9" style="195"/>
    <col min="2309" max="2309" width="11.875" style="195" customWidth="1"/>
    <col min="2310" max="2311" width="8.375" style="195" customWidth="1"/>
    <col min="2312" max="2312" width="8.25" style="195" customWidth="1"/>
    <col min="2313" max="2313" width="16.5" style="195" customWidth="1"/>
    <col min="2314" max="2560" width="9" style="195"/>
    <col min="2561" max="2561" width="10.875" style="195" customWidth="1"/>
    <col min="2562" max="2564" width="9" style="195"/>
    <col min="2565" max="2565" width="11.875" style="195" customWidth="1"/>
    <col min="2566" max="2567" width="8.375" style="195" customWidth="1"/>
    <col min="2568" max="2568" width="8.25" style="195" customWidth="1"/>
    <col min="2569" max="2569" width="16.5" style="195" customWidth="1"/>
    <col min="2570" max="2816" width="9" style="195"/>
    <col min="2817" max="2817" width="10.875" style="195" customWidth="1"/>
    <col min="2818" max="2820" width="9" style="195"/>
    <col min="2821" max="2821" width="11.875" style="195" customWidth="1"/>
    <col min="2822" max="2823" width="8.375" style="195" customWidth="1"/>
    <col min="2824" max="2824" width="8.25" style="195" customWidth="1"/>
    <col min="2825" max="2825" width="16.5" style="195" customWidth="1"/>
    <col min="2826" max="3072" width="9" style="195"/>
    <col min="3073" max="3073" width="10.875" style="195" customWidth="1"/>
    <col min="3074" max="3076" width="9" style="195"/>
    <col min="3077" max="3077" width="11.875" style="195" customWidth="1"/>
    <col min="3078" max="3079" width="8.375" style="195" customWidth="1"/>
    <col min="3080" max="3080" width="8.25" style="195" customWidth="1"/>
    <col min="3081" max="3081" width="16.5" style="195" customWidth="1"/>
    <col min="3082" max="3328" width="9" style="195"/>
    <col min="3329" max="3329" width="10.875" style="195" customWidth="1"/>
    <col min="3330" max="3332" width="9" style="195"/>
    <col min="3333" max="3333" width="11.875" style="195" customWidth="1"/>
    <col min="3334" max="3335" width="8.375" style="195" customWidth="1"/>
    <col min="3336" max="3336" width="8.25" style="195" customWidth="1"/>
    <col min="3337" max="3337" width="16.5" style="195" customWidth="1"/>
    <col min="3338" max="3584" width="9" style="195"/>
    <col min="3585" max="3585" width="10.875" style="195" customWidth="1"/>
    <col min="3586" max="3588" width="9" style="195"/>
    <col min="3589" max="3589" width="11.875" style="195" customWidth="1"/>
    <col min="3590" max="3591" width="8.375" style="195" customWidth="1"/>
    <col min="3592" max="3592" width="8.25" style="195" customWidth="1"/>
    <col min="3593" max="3593" width="16.5" style="195" customWidth="1"/>
    <col min="3594" max="3840" width="9" style="195"/>
    <col min="3841" max="3841" width="10.875" style="195" customWidth="1"/>
    <col min="3842" max="3844" width="9" style="195"/>
    <col min="3845" max="3845" width="11.875" style="195" customWidth="1"/>
    <col min="3846" max="3847" width="8.375" style="195" customWidth="1"/>
    <col min="3848" max="3848" width="8.25" style="195" customWidth="1"/>
    <col min="3849" max="3849" width="16.5" style="195" customWidth="1"/>
    <col min="3850" max="4096" width="9" style="195"/>
    <col min="4097" max="4097" width="10.875" style="195" customWidth="1"/>
    <col min="4098" max="4100" width="9" style="195"/>
    <col min="4101" max="4101" width="11.875" style="195" customWidth="1"/>
    <col min="4102" max="4103" width="8.375" style="195" customWidth="1"/>
    <col min="4104" max="4104" width="8.25" style="195" customWidth="1"/>
    <col min="4105" max="4105" width="16.5" style="195" customWidth="1"/>
    <col min="4106" max="4352" width="9" style="195"/>
    <col min="4353" max="4353" width="10.875" style="195" customWidth="1"/>
    <col min="4354" max="4356" width="9" style="195"/>
    <col min="4357" max="4357" width="11.875" style="195" customWidth="1"/>
    <col min="4358" max="4359" width="8.375" style="195" customWidth="1"/>
    <col min="4360" max="4360" width="8.25" style="195" customWidth="1"/>
    <col min="4361" max="4361" width="16.5" style="195" customWidth="1"/>
    <col min="4362" max="4608" width="9" style="195"/>
    <col min="4609" max="4609" width="10.875" style="195" customWidth="1"/>
    <col min="4610" max="4612" width="9" style="195"/>
    <col min="4613" max="4613" width="11.875" style="195" customWidth="1"/>
    <col min="4614" max="4615" width="8.375" style="195" customWidth="1"/>
    <col min="4616" max="4616" width="8.25" style="195" customWidth="1"/>
    <col min="4617" max="4617" width="16.5" style="195" customWidth="1"/>
    <col min="4618" max="4864" width="9" style="195"/>
    <col min="4865" max="4865" width="10.875" style="195" customWidth="1"/>
    <col min="4866" max="4868" width="9" style="195"/>
    <col min="4869" max="4869" width="11.875" style="195" customWidth="1"/>
    <col min="4870" max="4871" width="8.375" style="195" customWidth="1"/>
    <col min="4872" max="4872" width="8.25" style="195" customWidth="1"/>
    <col min="4873" max="4873" width="16.5" style="195" customWidth="1"/>
    <col min="4874" max="5120" width="9" style="195"/>
    <col min="5121" max="5121" width="10.875" style="195" customWidth="1"/>
    <col min="5122" max="5124" width="9" style="195"/>
    <col min="5125" max="5125" width="11.875" style="195" customWidth="1"/>
    <col min="5126" max="5127" width="8.375" style="195" customWidth="1"/>
    <col min="5128" max="5128" width="8.25" style="195" customWidth="1"/>
    <col min="5129" max="5129" width="16.5" style="195" customWidth="1"/>
    <col min="5130" max="5376" width="9" style="195"/>
    <col min="5377" max="5377" width="10.875" style="195" customWidth="1"/>
    <col min="5378" max="5380" width="9" style="195"/>
    <col min="5381" max="5381" width="11.875" style="195" customWidth="1"/>
    <col min="5382" max="5383" width="8.375" style="195" customWidth="1"/>
    <col min="5384" max="5384" width="8.25" style="195" customWidth="1"/>
    <col min="5385" max="5385" width="16.5" style="195" customWidth="1"/>
    <col min="5386" max="5632" width="9" style="195"/>
    <col min="5633" max="5633" width="10.875" style="195" customWidth="1"/>
    <col min="5634" max="5636" width="9" style="195"/>
    <col min="5637" max="5637" width="11.875" style="195" customWidth="1"/>
    <col min="5638" max="5639" width="8.375" style="195" customWidth="1"/>
    <col min="5640" max="5640" width="8.25" style="195" customWidth="1"/>
    <col min="5641" max="5641" width="16.5" style="195" customWidth="1"/>
    <col min="5642" max="5888" width="9" style="195"/>
    <col min="5889" max="5889" width="10.875" style="195" customWidth="1"/>
    <col min="5890" max="5892" width="9" style="195"/>
    <col min="5893" max="5893" width="11.875" style="195" customWidth="1"/>
    <col min="5894" max="5895" width="8.375" style="195" customWidth="1"/>
    <col min="5896" max="5896" width="8.25" style="195" customWidth="1"/>
    <col min="5897" max="5897" width="16.5" style="195" customWidth="1"/>
    <col min="5898" max="6144" width="9" style="195"/>
    <col min="6145" max="6145" width="10.875" style="195" customWidth="1"/>
    <col min="6146" max="6148" width="9" style="195"/>
    <col min="6149" max="6149" width="11.875" style="195" customWidth="1"/>
    <col min="6150" max="6151" width="8.375" style="195" customWidth="1"/>
    <col min="6152" max="6152" width="8.25" style="195" customWidth="1"/>
    <col min="6153" max="6153" width="16.5" style="195" customWidth="1"/>
    <col min="6154" max="6400" width="9" style="195"/>
    <col min="6401" max="6401" width="10.875" style="195" customWidth="1"/>
    <col min="6402" max="6404" width="9" style="195"/>
    <col min="6405" max="6405" width="11.875" style="195" customWidth="1"/>
    <col min="6406" max="6407" width="8.375" style="195" customWidth="1"/>
    <col min="6408" max="6408" width="8.25" style="195" customWidth="1"/>
    <col min="6409" max="6409" width="16.5" style="195" customWidth="1"/>
    <col min="6410" max="6656" width="9" style="195"/>
    <col min="6657" max="6657" width="10.875" style="195" customWidth="1"/>
    <col min="6658" max="6660" width="9" style="195"/>
    <col min="6661" max="6661" width="11.875" style="195" customWidth="1"/>
    <col min="6662" max="6663" width="8.375" style="195" customWidth="1"/>
    <col min="6664" max="6664" width="8.25" style="195" customWidth="1"/>
    <col min="6665" max="6665" width="16.5" style="195" customWidth="1"/>
    <col min="6666" max="6912" width="9" style="195"/>
    <col min="6913" max="6913" width="10.875" style="195" customWidth="1"/>
    <col min="6914" max="6916" width="9" style="195"/>
    <col min="6917" max="6917" width="11.875" style="195" customWidth="1"/>
    <col min="6918" max="6919" width="8.375" style="195" customWidth="1"/>
    <col min="6920" max="6920" width="8.25" style="195" customWidth="1"/>
    <col min="6921" max="6921" width="16.5" style="195" customWidth="1"/>
    <col min="6922" max="7168" width="9" style="195"/>
    <col min="7169" max="7169" width="10.875" style="195" customWidth="1"/>
    <col min="7170" max="7172" width="9" style="195"/>
    <col min="7173" max="7173" width="11.875" style="195" customWidth="1"/>
    <col min="7174" max="7175" width="8.375" style="195" customWidth="1"/>
    <col min="7176" max="7176" width="8.25" style="195" customWidth="1"/>
    <col min="7177" max="7177" width="16.5" style="195" customWidth="1"/>
    <col min="7178" max="7424" width="9" style="195"/>
    <col min="7425" max="7425" width="10.875" style="195" customWidth="1"/>
    <col min="7426" max="7428" width="9" style="195"/>
    <col min="7429" max="7429" width="11.875" style="195" customWidth="1"/>
    <col min="7430" max="7431" width="8.375" style="195" customWidth="1"/>
    <col min="7432" max="7432" width="8.25" style="195" customWidth="1"/>
    <col min="7433" max="7433" width="16.5" style="195" customWidth="1"/>
    <col min="7434" max="7680" width="9" style="195"/>
    <col min="7681" max="7681" width="10.875" style="195" customWidth="1"/>
    <col min="7682" max="7684" width="9" style="195"/>
    <col min="7685" max="7685" width="11.875" style="195" customWidth="1"/>
    <col min="7686" max="7687" width="8.375" style="195" customWidth="1"/>
    <col min="7688" max="7688" width="8.25" style="195" customWidth="1"/>
    <col min="7689" max="7689" width="16.5" style="195" customWidth="1"/>
    <col min="7690" max="7936" width="9" style="195"/>
    <col min="7937" max="7937" width="10.875" style="195" customWidth="1"/>
    <col min="7938" max="7940" width="9" style="195"/>
    <col min="7941" max="7941" width="11.875" style="195" customWidth="1"/>
    <col min="7942" max="7943" width="8.375" style="195" customWidth="1"/>
    <col min="7944" max="7944" width="8.25" style="195" customWidth="1"/>
    <col min="7945" max="7945" width="16.5" style="195" customWidth="1"/>
    <col min="7946" max="8192" width="9" style="195"/>
    <col min="8193" max="8193" width="10.875" style="195" customWidth="1"/>
    <col min="8194" max="8196" width="9" style="195"/>
    <col min="8197" max="8197" width="11.875" style="195" customWidth="1"/>
    <col min="8198" max="8199" width="8.375" style="195" customWidth="1"/>
    <col min="8200" max="8200" width="8.25" style="195" customWidth="1"/>
    <col min="8201" max="8201" width="16.5" style="195" customWidth="1"/>
    <col min="8202" max="8448" width="9" style="195"/>
    <col min="8449" max="8449" width="10.875" style="195" customWidth="1"/>
    <col min="8450" max="8452" width="9" style="195"/>
    <col min="8453" max="8453" width="11.875" style="195" customWidth="1"/>
    <col min="8454" max="8455" width="8.375" style="195" customWidth="1"/>
    <col min="8456" max="8456" width="8.25" style="195" customWidth="1"/>
    <col min="8457" max="8457" width="16.5" style="195" customWidth="1"/>
    <col min="8458" max="8704" width="9" style="195"/>
    <col min="8705" max="8705" width="10.875" style="195" customWidth="1"/>
    <col min="8706" max="8708" width="9" style="195"/>
    <col min="8709" max="8709" width="11.875" style="195" customWidth="1"/>
    <col min="8710" max="8711" width="8.375" style="195" customWidth="1"/>
    <col min="8712" max="8712" width="8.25" style="195" customWidth="1"/>
    <col min="8713" max="8713" width="16.5" style="195" customWidth="1"/>
    <col min="8714" max="8960" width="9" style="195"/>
    <col min="8961" max="8961" width="10.875" style="195" customWidth="1"/>
    <col min="8962" max="8964" width="9" style="195"/>
    <col min="8965" max="8965" width="11.875" style="195" customWidth="1"/>
    <col min="8966" max="8967" width="8.375" style="195" customWidth="1"/>
    <col min="8968" max="8968" width="8.25" style="195" customWidth="1"/>
    <col min="8969" max="8969" width="16.5" style="195" customWidth="1"/>
    <col min="8970" max="9216" width="9" style="195"/>
    <col min="9217" max="9217" width="10.875" style="195" customWidth="1"/>
    <col min="9218" max="9220" width="9" style="195"/>
    <col min="9221" max="9221" width="11.875" style="195" customWidth="1"/>
    <col min="9222" max="9223" width="8.375" style="195" customWidth="1"/>
    <col min="9224" max="9224" width="8.25" style="195" customWidth="1"/>
    <col min="9225" max="9225" width="16.5" style="195" customWidth="1"/>
    <col min="9226" max="9472" width="9" style="195"/>
    <col min="9473" max="9473" width="10.875" style="195" customWidth="1"/>
    <col min="9474" max="9476" width="9" style="195"/>
    <col min="9477" max="9477" width="11.875" style="195" customWidth="1"/>
    <col min="9478" max="9479" width="8.375" style="195" customWidth="1"/>
    <col min="9480" max="9480" width="8.25" style="195" customWidth="1"/>
    <col min="9481" max="9481" width="16.5" style="195" customWidth="1"/>
    <col min="9482" max="9728" width="9" style="195"/>
    <col min="9729" max="9729" width="10.875" style="195" customWidth="1"/>
    <col min="9730" max="9732" width="9" style="195"/>
    <col min="9733" max="9733" width="11.875" style="195" customWidth="1"/>
    <col min="9734" max="9735" width="8.375" style="195" customWidth="1"/>
    <col min="9736" max="9736" width="8.25" style="195" customWidth="1"/>
    <col min="9737" max="9737" width="16.5" style="195" customWidth="1"/>
    <col min="9738" max="9984" width="9" style="195"/>
    <col min="9985" max="9985" width="10.875" style="195" customWidth="1"/>
    <col min="9986" max="9988" width="9" style="195"/>
    <col min="9989" max="9989" width="11.875" style="195" customWidth="1"/>
    <col min="9990" max="9991" width="8.375" style="195" customWidth="1"/>
    <col min="9992" max="9992" width="8.25" style="195" customWidth="1"/>
    <col min="9993" max="9993" width="16.5" style="195" customWidth="1"/>
    <col min="9994" max="10240" width="9" style="195"/>
    <col min="10241" max="10241" width="10.875" style="195" customWidth="1"/>
    <col min="10242" max="10244" width="9" style="195"/>
    <col min="10245" max="10245" width="11.875" style="195" customWidth="1"/>
    <col min="10246" max="10247" width="8.375" style="195" customWidth="1"/>
    <col min="10248" max="10248" width="8.25" style="195" customWidth="1"/>
    <col min="10249" max="10249" width="16.5" style="195" customWidth="1"/>
    <col min="10250" max="10496" width="9" style="195"/>
    <col min="10497" max="10497" width="10.875" style="195" customWidth="1"/>
    <col min="10498" max="10500" width="9" style="195"/>
    <col min="10501" max="10501" width="11.875" style="195" customWidth="1"/>
    <col min="10502" max="10503" width="8.375" style="195" customWidth="1"/>
    <col min="10504" max="10504" width="8.25" style="195" customWidth="1"/>
    <col min="10505" max="10505" width="16.5" style="195" customWidth="1"/>
    <col min="10506" max="10752" width="9" style="195"/>
    <col min="10753" max="10753" width="10.875" style="195" customWidth="1"/>
    <col min="10754" max="10756" width="9" style="195"/>
    <col min="10757" max="10757" width="11.875" style="195" customWidth="1"/>
    <col min="10758" max="10759" width="8.375" style="195" customWidth="1"/>
    <col min="10760" max="10760" width="8.25" style="195" customWidth="1"/>
    <col min="10761" max="10761" width="16.5" style="195" customWidth="1"/>
    <col min="10762" max="11008" width="9" style="195"/>
    <col min="11009" max="11009" width="10.875" style="195" customWidth="1"/>
    <col min="11010" max="11012" width="9" style="195"/>
    <col min="11013" max="11013" width="11.875" style="195" customWidth="1"/>
    <col min="11014" max="11015" width="8.375" style="195" customWidth="1"/>
    <col min="11016" max="11016" width="8.25" style="195" customWidth="1"/>
    <col min="11017" max="11017" width="16.5" style="195" customWidth="1"/>
    <col min="11018" max="11264" width="9" style="195"/>
    <col min="11265" max="11265" width="10.875" style="195" customWidth="1"/>
    <col min="11266" max="11268" width="9" style="195"/>
    <col min="11269" max="11269" width="11.875" style="195" customWidth="1"/>
    <col min="11270" max="11271" width="8.375" style="195" customWidth="1"/>
    <col min="11272" max="11272" width="8.25" style="195" customWidth="1"/>
    <col min="11273" max="11273" width="16.5" style="195" customWidth="1"/>
    <col min="11274" max="11520" width="9" style="195"/>
    <col min="11521" max="11521" width="10.875" style="195" customWidth="1"/>
    <col min="11522" max="11524" width="9" style="195"/>
    <col min="11525" max="11525" width="11.875" style="195" customWidth="1"/>
    <col min="11526" max="11527" width="8.375" style="195" customWidth="1"/>
    <col min="11528" max="11528" width="8.25" style="195" customWidth="1"/>
    <col min="11529" max="11529" width="16.5" style="195" customWidth="1"/>
    <col min="11530" max="11776" width="9" style="195"/>
    <col min="11777" max="11777" width="10.875" style="195" customWidth="1"/>
    <col min="11778" max="11780" width="9" style="195"/>
    <col min="11781" max="11781" width="11.875" style="195" customWidth="1"/>
    <col min="11782" max="11783" width="8.375" style="195" customWidth="1"/>
    <col min="11784" max="11784" width="8.25" style="195" customWidth="1"/>
    <col min="11785" max="11785" width="16.5" style="195" customWidth="1"/>
    <col min="11786" max="12032" width="9" style="195"/>
    <col min="12033" max="12033" width="10.875" style="195" customWidth="1"/>
    <col min="12034" max="12036" width="9" style="195"/>
    <col min="12037" max="12037" width="11.875" style="195" customWidth="1"/>
    <col min="12038" max="12039" width="8.375" style="195" customWidth="1"/>
    <col min="12040" max="12040" width="8.25" style="195" customWidth="1"/>
    <col min="12041" max="12041" width="16.5" style="195" customWidth="1"/>
    <col min="12042" max="12288" width="9" style="195"/>
    <col min="12289" max="12289" width="10.875" style="195" customWidth="1"/>
    <col min="12290" max="12292" width="9" style="195"/>
    <col min="12293" max="12293" width="11.875" style="195" customWidth="1"/>
    <col min="12294" max="12295" width="8.375" style="195" customWidth="1"/>
    <col min="12296" max="12296" width="8.25" style="195" customWidth="1"/>
    <col min="12297" max="12297" width="16.5" style="195" customWidth="1"/>
    <col min="12298" max="12544" width="9" style="195"/>
    <col min="12545" max="12545" width="10.875" style="195" customWidth="1"/>
    <col min="12546" max="12548" width="9" style="195"/>
    <col min="12549" max="12549" width="11.875" style="195" customWidth="1"/>
    <col min="12550" max="12551" width="8.375" style="195" customWidth="1"/>
    <col min="12552" max="12552" width="8.25" style="195" customWidth="1"/>
    <col min="12553" max="12553" width="16.5" style="195" customWidth="1"/>
    <col min="12554" max="12800" width="9" style="195"/>
    <col min="12801" max="12801" width="10.875" style="195" customWidth="1"/>
    <col min="12802" max="12804" width="9" style="195"/>
    <col min="12805" max="12805" width="11.875" style="195" customWidth="1"/>
    <col min="12806" max="12807" width="8.375" style="195" customWidth="1"/>
    <col min="12808" max="12808" width="8.25" style="195" customWidth="1"/>
    <col min="12809" max="12809" width="16.5" style="195" customWidth="1"/>
    <col min="12810" max="13056" width="9" style="195"/>
    <col min="13057" max="13057" width="10.875" style="195" customWidth="1"/>
    <col min="13058" max="13060" width="9" style="195"/>
    <col min="13061" max="13061" width="11.875" style="195" customWidth="1"/>
    <col min="13062" max="13063" width="8.375" style="195" customWidth="1"/>
    <col min="13064" max="13064" width="8.25" style="195" customWidth="1"/>
    <col min="13065" max="13065" width="16.5" style="195" customWidth="1"/>
    <col min="13066" max="13312" width="9" style="195"/>
    <col min="13313" max="13313" width="10.875" style="195" customWidth="1"/>
    <col min="13314" max="13316" width="9" style="195"/>
    <col min="13317" max="13317" width="11.875" style="195" customWidth="1"/>
    <col min="13318" max="13319" width="8.375" style="195" customWidth="1"/>
    <col min="13320" max="13320" width="8.25" style="195" customWidth="1"/>
    <col min="13321" max="13321" width="16.5" style="195" customWidth="1"/>
    <col min="13322" max="13568" width="9" style="195"/>
    <col min="13569" max="13569" width="10.875" style="195" customWidth="1"/>
    <col min="13570" max="13572" width="9" style="195"/>
    <col min="13573" max="13573" width="11.875" style="195" customWidth="1"/>
    <col min="13574" max="13575" width="8.375" style="195" customWidth="1"/>
    <col min="13576" max="13576" width="8.25" style="195" customWidth="1"/>
    <col min="13577" max="13577" width="16.5" style="195" customWidth="1"/>
    <col min="13578" max="13824" width="9" style="195"/>
    <col min="13825" max="13825" width="10.875" style="195" customWidth="1"/>
    <col min="13826" max="13828" width="9" style="195"/>
    <col min="13829" max="13829" width="11.875" style="195" customWidth="1"/>
    <col min="13830" max="13831" width="8.375" style="195" customWidth="1"/>
    <col min="13832" max="13832" width="8.25" style="195" customWidth="1"/>
    <col min="13833" max="13833" width="16.5" style="195" customWidth="1"/>
    <col min="13834" max="14080" width="9" style="195"/>
    <col min="14081" max="14081" width="10.875" style="195" customWidth="1"/>
    <col min="14082" max="14084" width="9" style="195"/>
    <col min="14085" max="14085" width="11.875" style="195" customWidth="1"/>
    <col min="14086" max="14087" width="8.375" style="195" customWidth="1"/>
    <col min="14088" max="14088" width="8.25" style="195" customWidth="1"/>
    <col min="14089" max="14089" width="16.5" style="195" customWidth="1"/>
    <col min="14090" max="14336" width="9" style="195"/>
    <col min="14337" max="14337" width="10.875" style="195" customWidth="1"/>
    <col min="14338" max="14340" width="9" style="195"/>
    <col min="14341" max="14341" width="11.875" style="195" customWidth="1"/>
    <col min="14342" max="14343" width="8.375" style="195" customWidth="1"/>
    <col min="14344" max="14344" width="8.25" style="195" customWidth="1"/>
    <col min="14345" max="14345" width="16.5" style="195" customWidth="1"/>
    <col min="14346" max="14592" width="9" style="195"/>
    <col min="14593" max="14593" width="10.875" style="195" customWidth="1"/>
    <col min="14594" max="14596" width="9" style="195"/>
    <col min="14597" max="14597" width="11.875" style="195" customWidth="1"/>
    <col min="14598" max="14599" width="8.375" style="195" customWidth="1"/>
    <col min="14600" max="14600" width="8.25" style="195" customWidth="1"/>
    <col min="14601" max="14601" width="16.5" style="195" customWidth="1"/>
    <col min="14602" max="14848" width="9" style="195"/>
    <col min="14849" max="14849" width="10.875" style="195" customWidth="1"/>
    <col min="14850" max="14852" width="9" style="195"/>
    <col min="14853" max="14853" width="11.875" style="195" customWidth="1"/>
    <col min="14854" max="14855" width="8.375" style="195" customWidth="1"/>
    <col min="14856" max="14856" width="8.25" style="195" customWidth="1"/>
    <col min="14857" max="14857" width="16.5" style="195" customWidth="1"/>
    <col min="14858" max="15104" width="9" style="195"/>
    <col min="15105" max="15105" width="10.875" style="195" customWidth="1"/>
    <col min="15106" max="15108" width="9" style="195"/>
    <col min="15109" max="15109" width="11.875" style="195" customWidth="1"/>
    <col min="15110" max="15111" width="8.375" style="195" customWidth="1"/>
    <col min="15112" max="15112" width="8.25" style="195" customWidth="1"/>
    <col min="15113" max="15113" width="16.5" style="195" customWidth="1"/>
    <col min="15114" max="15360" width="9" style="195"/>
    <col min="15361" max="15361" width="10.875" style="195" customWidth="1"/>
    <col min="15362" max="15364" width="9" style="195"/>
    <col min="15365" max="15365" width="11.875" style="195" customWidth="1"/>
    <col min="15366" max="15367" width="8.375" style="195" customWidth="1"/>
    <col min="15368" max="15368" width="8.25" style="195" customWidth="1"/>
    <col min="15369" max="15369" width="16.5" style="195" customWidth="1"/>
    <col min="15370" max="15616" width="9" style="195"/>
    <col min="15617" max="15617" width="10.875" style="195" customWidth="1"/>
    <col min="15618" max="15620" width="9" style="195"/>
    <col min="15621" max="15621" width="11.875" style="195" customWidth="1"/>
    <col min="15622" max="15623" width="8.375" style="195" customWidth="1"/>
    <col min="15624" max="15624" width="8.25" style="195" customWidth="1"/>
    <col min="15625" max="15625" width="16.5" style="195" customWidth="1"/>
    <col min="15626" max="15872" width="9" style="195"/>
    <col min="15873" max="15873" width="10.875" style="195" customWidth="1"/>
    <col min="15874" max="15876" width="9" style="195"/>
    <col min="15877" max="15877" width="11.875" style="195" customWidth="1"/>
    <col min="15878" max="15879" width="8.375" style="195" customWidth="1"/>
    <col min="15880" max="15880" width="8.25" style="195" customWidth="1"/>
    <col min="15881" max="15881" width="16.5" style="195" customWidth="1"/>
    <col min="15882" max="16128" width="9" style="195"/>
    <col min="16129" max="16129" width="10.875" style="195" customWidth="1"/>
    <col min="16130" max="16132" width="9" style="195"/>
    <col min="16133" max="16133" width="11.875" style="195" customWidth="1"/>
    <col min="16134" max="16135" width="8.375" style="195" customWidth="1"/>
    <col min="16136" max="16136" width="8.25" style="195" customWidth="1"/>
    <col min="16137" max="16137" width="16.5" style="195" customWidth="1"/>
    <col min="16138" max="16384" width="9" style="195"/>
  </cols>
  <sheetData>
    <row r="1" spans="1:9" ht="19.5" customHeight="1">
      <c r="D1" s="196" t="s">
        <v>406</v>
      </c>
      <c r="E1" s="197"/>
    </row>
    <row r="2" spans="1:9" ht="44.25" customHeight="1">
      <c r="A2" s="198" t="s">
        <v>18</v>
      </c>
    </row>
    <row r="3" spans="1:9" ht="18.75">
      <c r="A3" s="421" t="s">
        <v>407</v>
      </c>
      <c r="B3" s="422"/>
      <c r="C3" s="422"/>
      <c r="D3" s="422"/>
      <c r="E3" s="422"/>
      <c r="F3" s="422"/>
      <c r="G3" s="422"/>
      <c r="H3" s="422"/>
      <c r="I3" s="422"/>
    </row>
    <row r="4" spans="1:9">
      <c r="A4" s="200"/>
    </row>
    <row r="5" spans="1:9" ht="20.25" customHeight="1">
      <c r="A5" s="201" t="s">
        <v>408</v>
      </c>
      <c r="C5" s="490"/>
      <c r="D5" s="490"/>
      <c r="E5" s="491"/>
      <c r="F5" s="202" t="s">
        <v>409</v>
      </c>
      <c r="G5" s="489"/>
      <c r="H5" s="492"/>
      <c r="I5" s="493"/>
    </row>
    <row r="6" spans="1:9" ht="15">
      <c r="A6" s="203"/>
      <c r="B6" s="302"/>
    </row>
    <row r="7" spans="1:9" ht="31.5" customHeight="1">
      <c r="A7" s="204" t="s">
        <v>112</v>
      </c>
      <c r="B7" s="303" t="s">
        <v>113</v>
      </c>
      <c r="C7" s="206" t="s">
        <v>114</v>
      </c>
      <c r="D7" s="205" t="s">
        <v>410</v>
      </c>
      <c r="E7" s="206" t="s">
        <v>411</v>
      </c>
      <c r="F7" s="423" t="s">
        <v>412</v>
      </c>
      <c r="G7" s="424"/>
      <c r="H7" s="425"/>
      <c r="I7" s="206" t="s">
        <v>413</v>
      </c>
    </row>
    <row r="8" spans="1:9" ht="26.25" customHeight="1">
      <c r="A8" s="287" t="str">
        <f>IF('10-08-01'!$B7="","",'10-08-01'!$B7)</f>
        <v/>
      </c>
      <c r="B8" s="287" t="str">
        <f>IF(ISNA(INDEX(Schedule!$O:$O,MATCH($A8,Schedule!T:T,0))),"",INDEX(Schedule!$O:$O,MATCH($A8,Schedule!T:T,0)))</f>
        <v/>
      </c>
      <c r="C8" s="288" t="str">
        <f>IF(ISNA(INDEX(Schedule!$V:$V,MATCH($A8,Schedule!T:T,0))),"",INDEX(Schedule!$V:$V,MATCH($A8,Schedule!T:T,0)))</f>
        <v/>
      </c>
      <c r="D8" s="289"/>
      <c r="E8" s="290"/>
      <c r="F8" s="291"/>
      <c r="G8" s="291"/>
      <c r="H8" s="291"/>
      <c r="I8" s="290"/>
    </row>
    <row r="9" spans="1:9" ht="26.25" customHeight="1">
      <c r="A9" s="292" t="str">
        <f>IF('10-08-01'!$B8="","",'10-08-01'!$B8)</f>
        <v/>
      </c>
      <c r="B9" s="287" t="str">
        <f>IF(ISNA(INDEX(Schedule!$O:$O,MATCH($A9,Schedule!T:T,0))),"",INDEX(Schedule!$O:$O,MATCH($A9,Schedule!T:T,0)))</f>
        <v/>
      </c>
      <c r="C9" s="288" t="str">
        <f>IF(ISNA(INDEX(Schedule!$V:$V,MATCH($A9,Schedule!T:T,0))),"",INDEX(Schedule!$V:$V,MATCH($A9,Schedule!T:T,0)))</f>
        <v/>
      </c>
      <c r="D9" s="289"/>
      <c r="E9" s="290"/>
      <c r="F9" s="291"/>
      <c r="G9" s="291"/>
      <c r="H9" s="291"/>
      <c r="I9" s="290"/>
    </row>
    <row r="10" spans="1:9" ht="26.25" customHeight="1">
      <c r="A10" s="287" t="str">
        <f>IF('10-08-01'!$B9="","",'10-08-01'!$B9)</f>
        <v/>
      </c>
      <c r="B10" s="287" t="str">
        <f>IF(ISNA(INDEX(Schedule!$O:$O,MATCH($A10,Schedule!T:T,0))),"",INDEX(Schedule!$O:$O,MATCH($A10,Schedule!T:T,0)))</f>
        <v/>
      </c>
      <c r="C10" s="288" t="str">
        <f>IF(ISNA(INDEX(Schedule!$V:$V,MATCH($A10,Schedule!T:T,0))),"",INDEX(Schedule!$V:$V,MATCH($A10,Schedule!T:T,0)))</f>
        <v/>
      </c>
      <c r="D10" s="289"/>
      <c r="E10" s="290"/>
      <c r="F10" s="291"/>
      <c r="G10" s="291"/>
      <c r="H10" s="291"/>
      <c r="I10" s="290"/>
    </row>
    <row r="11" spans="1:9" ht="26.25" customHeight="1">
      <c r="A11" s="287" t="str">
        <f>IF('10-08-01'!$B10="","",'10-08-01'!$B10)</f>
        <v/>
      </c>
      <c r="B11" s="287" t="str">
        <f>IF(ISNA(INDEX(Schedule!$O:$O,MATCH($A11,Schedule!T:T,0))),"",INDEX(Schedule!$O:$O,MATCH($A11,Schedule!T:T,0)))</f>
        <v/>
      </c>
      <c r="C11" s="288" t="str">
        <f>IF(ISNA(INDEX(Schedule!$V:$V,MATCH($A11,Schedule!T:T,0))),"",INDEX(Schedule!$V:$V,MATCH($A11,Schedule!T:T,0)))</f>
        <v/>
      </c>
      <c r="D11" s="289"/>
      <c r="E11" s="290"/>
      <c r="F11" s="291"/>
      <c r="G11" s="291"/>
      <c r="H11" s="291"/>
      <c r="I11" s="290"/>
    </row>
    <row r="12" spans="1:9" ht="26.25" customHeight="1">
      <c r="A12" s="287" t="str">
        <f>IF('10-08-01'!$B11="","",'10-08-01'!$B11)</f>
        <v/>
      </c>
      <c r="B12" s="287" t="str">
        <f>IF(ISNA(INDEX(Schedule!$O:$O,MATCH($A12,Schedule!T:T,0))),"",INDEX(Schedule!$O:$O,MATCH($A12,Schedule!T:T,0)))</f>
        <v/>
      </c>
      <c r="C12" s="288" t="str">
        <f>IF(ISNA(INDEX(Schedule!$V:$V,MATCH($A12,Schedule!T:T,0))),"",INDEX(Schedule!$V:$V,MATCH($A12,Schedule!T:T,0)))</f>
        <v/>
      </c>
      <c r="D12" s="289"/>
      <c r="E12" s="290"/>
      <c r="F12" s="291"/>
      <c r="G12" s="291"/>
      <c r="H12" s="291"/>
      <c r="I12" s="290"/>
    </row>
    <row r="13" spans="1:9" ht="26.25" customHeight="1">
      <c r="A13" s="287" t="str">
        <f>IF('10-08-01'!$B12="","",'10-08-01'!$B12)</f>
        <v/>
      </c>
      <c r="B13" s="287" t="str">
        <f>IF(ISNA(INDEX(Schedule!$O:$O,MATCH($A13,Schedule!T:T,0))),"",INDEX(Schedule!$O:$O,MATCH($A13,Schedule!T:T,0)))</f>
        <v/>
      </c>
      <c r="C13" s="288" t="str">
        <f>IF(ISNA(INDEX(Schedule!$V:$V,MATCH($A13,Schedule!T:T,0))),"",INDEX(Schedule!$V:$V,MATCH($A13,Schedule!T:T,0)))</f>
        <v/>
      </c>
      <c r="D13" s="289"/>
      <c r="E13" s="290"/>
      <c r="F13" s="291"/>
      <c r="G13" s="291"/>
      <c r="H13" s="291"/>
      <c r="I13" s="290"/>
    </row>
    <row r="14" spans="1:9" ht="26.25" customHeight="1">
      <c r="A14" s="287" t="str">
        <f>IF('10-08-01'!$B13="","",'10-08-01'!$B13)</f>
        <v/>
      </c>
      <c r="B14" s="287" t="str">
        <f>IF(ISNA(INDEX(Schedule!$O:$O,MATCH($A14,Schedule!T:T,0))),"",INDEX(Schedule!$O:$O,MATCH($A14,Schedule!T:T,0)))</f>
        <v/>
      </c>
      <c r="C14" s="288" t="str">
        <f>IF(ISNA(INDEX(Schedule!$V:$V,MATCH($A14,Schedule!T:T,0))),"",INDEX(Schedule!$V:$V,MATCH($A14,Schedule!T:T,0)))</f>
        <v/>
      </c>
      <c r="D14" s="289"/>
      <c r="E14" s="290"/>
      <c r="F14" s="291"/>
      <c r="G14" s="291"/>
      <c r="H14" s="291"/>
      <c r="I14" s="290"/>
    </row>
    <row r="15" spans="1:9" ht="26.25" customHeight="1">
      <c r="A15" s="287" t="str">
        <f>IF('10-08-01'!$B14="","",'10-08-01'!$B14)</f>
        <v/>
      </c>
      <c r="B15" s="287" t="str">
        <f>IF(ISNA(INDEX(Schedule!$O:$O,MATCH($A15,Schedule!T:T,0))),"",INDEX(Schedule!$O:$O,MATCH($A15,Schedule!T:T,0)))</f>
        <v/>
      </c>
      <c r="C15" s="288" t="str">
        <f>IF(ISNA(INDEX(Schedule!$V:$V,MATCH($A15,Schedule!T:T,0))),"",INDEX(Schedule!$V:$V,MATCH($A15,Schedule!T:T,0)))</f>
        <v/>
      </c>
      <c r="D15" s="289"/>
      <c r="E15" s="290"/>
      <c r="F15" s="291"/>
      <c r="G15" s="291"/>
      <c r="H15" s="291"/>
      <c r="I15" s="290"/>
    </row>
    <row r="16" spans="1:9" ht="26.25" customHeight="1">
      <c r="A16" s="287" t="str">
        <f>IF('10-08-01'!$B15="","",'10-08-01'!$B15)</f>
        <v/>
      </c>
      <c r="B16" s="287" t="str">
        <f>IF(ISNA(INDEX(Schedule!$O:$O,MATCH($A16,Schedule!T:T,0))),"",INDEX(Schedule!$O:$O,MATCH($A16,Schedule!T:T,0)))</f>
        <v/>
      </c>
      <c r="C16" s="288" t="str">
        <f>IF(ISNA(INDEX(Schedule!$V:$V,MATCH($A16,Schedule!T:T,0))),"",INDEX(Schedule!$V:$V,MATCH($A16,Schedule!T:T,0)))</f>
        <v/>
      </c>
      <c r="D16" s="289"/>
      <c r="E16" s="290"/>
      <c r="F16" s="293"/>
      <c r="G16" s="293"/>
      <c r="H16" s="293"/>
      <c r="I16" s="294"/>
    </row>
    <row r="17" spans="1:9" ht="26.25" customHeight="1">
      <c r="A17" s="287" t="str">
        <f>IF('10-08-01'!$B16="","",'10-08-01'!$B16)</f>
        <v/>
      </c>
      <c r="B17" s="287" t="str">
        <f>IF(ISNA(INDEX(Schedule!$O:$O,MATCH($A17,Schedule!T:T,0))),"",INDEX(Schedule!$O:$O,MATCH($A17,Schedule!T:T,0)))</f>
        <v/>
      </c>
      <c r="C17" s="288" t="str">
        <f>IF(ISNA(INDEX(Schedule!$V:$V,MATCH($A17,Schedule!T:T,0))),"",INDEX(Schedule!$V:$V,MATCH($A17,Schedule!T:T,0)))</f>
        <v/>
      </c>
      <c r="D17" s="289"/>
      <c r="E17" s="290"/>
      <c r="F17" s="295"/>
      <c r="G17" s="295"/>
      <c r="H17" s="295"/>
      <c r="I17" s="289"/>
    </row>
    <row r="18" spans="1:9" ht="26.25" customHeight="1">
      <c r="A18" s="287" t="str">
        <f>IF('10-08-01'!$H7="","",'10-08-01'!$H7)</f>
        <v/>
      </c>
      <c r="B18" s="287" t="str">
        <f>IF(ISNA(INDEX(Schedule!$O:$O,MATCH($A18,Schedule!T:T,0))),"",INDEX(Schedule!$O:$O,MATCH($A18,Schedule!T:T,0)))</f>
        <v/>
      </c>
      <c r="C18" s="288" t="str">
        <f>IF(ISNA(INDEX(Schedule!$V:$V,MATCH($A18,Schedule!T:T,0))),"",INDEX(Schedule!$V:$V,MATCH($A18,Schedule!T:T,0)))</f>
        <v/>
      </c>
      <c r="D18" s="289"/>
      <c r="E18" s="290"/>
      <c r="F18" s="295"/>
      <c r="G18" s="295"/>
      <c r="H18" s="295"/>
      <c r="I18" s="289"/>
    </row>
    <row r="19" spans="1:9" ht="26.25" customHeight="1">
      <c r="A19" s="287" t="str">
        <f>IF('10-08-01'!$H8="","",'10-08-01'!$H8)</f>
        <v/>
      </c>
      <c r="B19" s="287" t="str">
        <f>IF(ISNA(INDEX(Schedule!$O:$O,MATCH($A19,Schedule!T:T,0))),"",INDEX(Schedule!$O:$O,MATCH($A19,Schedule!T:T,0)))</f>
        <v/>
      </c>
      <c r="C19" s="288" t="str">
        <f>IF(ISNA(INDEX(Schedule!$V:$V,MATCH($A19,Schedule!T:T,0))),"",INDEX(Schedule!$V:$V,MATCH($A19,Schedule!T:T,0)))</f>
        <v/>
      </c>
      <c r="D19" s="289"/>
      <c r="E19" s="290"/>
      <c r="F19" s="295"/>
      <c r="G19" s="295"/>
      <c r="H19" s="295"/>
      <c r="I19" s="296"/>
    </row>
    <row r="20" spans="1:9" ht="26.25" customHeight="1">
      <c r="A20" s="287" t="str">
        <f>IF('10-08-01'!$H9="","",'10-08-01'!$H9)</f>
        <v/>
      </c>
      <c r="B20" s="287" t="str">
        <f>IF(ISNA(INDEX(Schedule!$O:$O,MATCH($A20,Schedule!T:T,0))),"",INDEX(Schedule!$O:$O,MATCH($A20,Schedule!T:T,0)))</f>
        <v/>
      </c>
      <c r="C20" s="288" t="str">
        <f>IF(ISNA(INDEX(Schedule!$V:$V,MATCH($A20,Schedule!T:T,0))),"",INDEX(Schedule!$V:$V,MATCH($A20,Schedule!T:T,0)))</f>
        <v/>
      </c>
      <c r="D20" s="289"/>
      <c r="E20" s="290"/>
      <c r="F20" s="295"/>
      <c r="G20" s="295"/>
      <c r="H20" s="295"/>
      <c r="I20" s="289"/>
    </row>
    <row r="21" spans="1:9" ht="26.25" customHeight="1">
      <c r="A21" s="287" t="str">
        <f>IF('10-08-01'!$H10="","",'10-08-01'!$H10)</f>
        <v/>
      </c>
      <c r="B21" s="287" t="str">
        <f>IF(ISNA(INDEX(Schedule!$O:$O,MATCH($A21,Schedule!T:T,0))),"",INDEX(Schedule!$O:$O,MATCH($A21,Schedule!T:T,0)))</f>
        <v/>
      </c>
      <c r="C21" s="288" t="str">
        <f>IF(ISNA(INDEX(Schedule!$V:$V,MATCH($A21,Schedule!T:T,0))),"",INDEX(Schedule!$V:$V,MATCH($A21,Schedule!T:T,0)))</f>
        <v/>
      </c>
      <c r="D21" s="289"/>
      <c r="E21" s="290"/>
      <c r="F21" s="295"/>
      <c r="G21" s="295"/>
      <c r="H21" s="295"/>
      <c r="I21" s="297"/>
    </row>
    <row r="22" spans="1:9" ht="26.25" customHeight="1">
      <c r="A22" s="287" t="str">
        <f>IF('10-08-01'!$H11="","",'10-08-01'!$H11)</f>
        <v/>
      </c>
      <c r="B22" s="287" t="str">
        <f>IF(ISNA(INDEX(Schedule!$O:$O,MATCH($A22,Schedule!T:T,0))),"",INDEX(Schedule!$O:$O,MATCH($A22,Schedule!T:T,0)))</f>
        <v/>
      </c>
      <c r="C22" s="288" t="str">
        <f>IF(ISNA(INDEX(Schedule!$V:$V,MATCH($A22,Schedule!T:T,0))),"",INDEX(Schedule!$V:$V,MATCH($A22,Schedule!T:T,0)))</f>
        <v/>
      </c>
      <c r="D22" s="289"/>
      <c r="E22" s="290"/>
      <c r="F22" s="295"/>
      <c r="G22" s="295"/>
      <c r="H22" s="295"/>
      <c r="I22" s="298"/>
    </row>
    <row r="23" spans="1:9" ht="26.25" customHeight="1">
      <c r="A23" s="287" t="str">
        <f>IF('10-08-01'!$H12="","",'10-08-01'!$H12)</f>
        <v/>
      </c>
      <c r="B23" s="287" t="str">
        <f>IF(ISNA(INDEX(Schedule!$O:$O,MATCH($A23,Schedule!T:T,0))),"",INDEX(Schedule!$O:$O,MATCH($A23,Schedule!T:T,0)))</f>
        <v/>
      </c>
      <c r="C23" s="288" t="str">
        <f>IF(ISNA(INDEX(Schedule!$V:$V,MATCH($A23,Schedule!T:T,0))),"",INDEX(Schedule!$V:$V,MATCH($A23,Schedule!T:T,0)))</f>
        <v/>
      </c>
      <c r="D23" s="289"/>
      <c r="E23" s="290"/>
      <c r="F23" s="295"/>
      <c r="G23" s="295"/>
      <c r="H23" s="295"/>
      <c r="I23" s="296"/>
    </row>
    <row r="24" spans="1:9" ht="26.25" customHeight="1">
      <c r="A24" s="208" t="s">
        <v>124</v>
      </c>
      <c r="B24" s="426"/>
      <c r="C24" s="426"/>
      <c r="D24" s="426"/>
      <c r="E24" s="426"/>
      <c r="F24" s="426"/>
      <c r="G24" s="426"/>
      <c r="H24" s="426"/>
      <c r="I24" s="427"/>
    </row>
    <row r="25" spans="1:9">
      <c r="A25" s="209"/>
    </row>
    <row r="26" spans="1:9" ht="17.25" customHeight="1">
      <c r="A26" s="201" t="s">
        <v>414</v>
      </c>
      <c r="C26" s="428"/>
      <c r="D26" s="429"/>
      <c r="E26" s="429"/>
    </row>
    <row r="27" spans="1:9" ht="15" customHeight="1">
      <c r="C27" s="418" t="s">
        <v>415</v>
      </c>
      <c r="D27" s="419"/>
      <c r="E27" s="419"/>
    </row>
    <row r="28" spans="1:9">
      <c r="A28" s="210" t="s">
        <v>416</v>
      </c>
      <c r="B28" s="300"/>
      <c r="C28" s="211"/>
      <c r="D28" s="211"/>
      <c r="E28" s="211"/>
      <c r="F28" s="211"/>
      <c r="G28" s="211"/>
      <c r="H28" s="420"/>
      <c r="I28" s="367"/>
    </row>
    <row r="30" spans="1:9">
      <c r="A30" s="213" t="s">
        <v>417</v>
      </c>
      <c r="B30" s="304" t="s">
        <v>418</v>
      </c>
      <c r="C30" s="214"/>
      <c r="D30" s="214"/>
      <c r="E30" s="214"/>
      <c r="F30" s="214"/>
      <c r="G30" s="214"/>
      <c r="H30" s="214"/>
      <c r="I30" s="213" t="s">
        <v>419</v>
      </c>
    </row>
    <row r="31" spans="1:9" s="212" customFormat="1" ht="19.5" customHeight="1">
      <c r="B31" s="301"/>
      <c r="D31" s="199" t="s">
        <v>406</v>
      </c>
      <c r="E31" s="197"/>
    </row>
    <row r="32" spans="1:9" s="212" customFormat="1" ht="44.25" customHeight="1">
      <c r="A32" s="198" t="s">
        <v>18</v>
      </c>
      <c r="B32" s="301"/>
    </row>
    <row r="33" spans="1:9" s="212" customFormat="1" ht="18.75">
      <c r="A33" s="421" t="s">
        <v>407</v>
      </c>
      <c r="B33" s="422"/>
      <c r="C33" s="422"/>
      <c r="D33" s="422"/>
      <c r="E33" s="422"/>
      <c r="F33" s="422"/>
      <c r="G33" s="422"/>
      <c r="H33" s="422"/>
      <c r="I33" s="422"/>
    </row>
    <row r="34" spans="1:9" s="212" customFormat="1">
      <c r="A34" s="200"/>
      <c r="B34" s="301"/>
    </row>
    <row r="35" spans="1:9" s="305" customFormat="1" ht="20.25" customHeight="1">
      <c r="A35" s="201" t="s">
        <v>408</v>
      </c>
      <c r="B35" s="301"/>
      <c r="C35" s="490" t="str">
        <f>IF(C5&lt;&gt;"",C5,"")</f>
        <v/>
      </c>
      <c r="D35" s="490"/>
      <c r="E35" s="491"/>
      <c r="F35" s="202" t="s">
        <v>409</v>
      </c>
      <c r="G35" s="489"/>
      <c r="H35" s="492" t="str">
        <f>IF(H5&lt;&gt;"",H5,"")</f>
        <v/>
      </c>
      <c r="I35" s="493"/>
    </row>
    <row r="36" spans="1:9" s="212" customFormat="1" ht="15">
      <c r="A36" s="203"/>
      <c r="B36" s="302"/>
    </row>
    <row r="37" spans="1:9" s="212" customFormat="1" ht="31.5" customHeight="1">
      <c r="A37" s="204" t="s">
        <v>112</v>
      </c>
      <c r="B37" s="303" t="s">
        <v>113</v>
      </c>
      <c r="C37" s="207" t="s">
        <v>114</v>
      </c>
      <c r="D37" s="205" t="s">
        <v>410</v>
      </c>
      <c r="E37" s="207" t="s">
        <v>411</v>
      </c>
      <c r="F37" s="423" t="s">
        <v>412</v>
      </c>
      <c r="G37" s="424"/>
      <c r="H37" s="425"/>
      <c r="I37" s="207" t="s">
        <v>413</v>
      </c>
    </row>
    <row r="38" spans="1:9" s="212" customFormat="1" ht="26.25" customHeight="1">
      <c r="A38" s="287" t="str">
        <f>IF('10-08-01'!$H13="","",'10-08-01'!$H13)</f>
        <v/>
      </c>
      <c r="B38" s="287" t="str">
        <f>IF(ISNA(INDEX(Schedule!$O:$O,MATCH($A38,Schedule!T:T,0))),"",INDEX(Schedule!$O:$O,MATCH($A38,Schedule!T:T,0)))</f>
        <v/>
      </c>
      <c r="C38" s="288" t="str">
        <f>IF(ISNA(INDEX(Schedule!$V:$V,MATCH($A38,Schedule!T:T,0))),"",INDEX(Schedule!$V:$V,MATCH($A38,Schedule!T:T,0)))</f>
        <v/>
      </c>
      <c r="D38" s="289"/>
      <c r="E38" s="290"/>
      <c r="F38" s="291"/>
      <c r="G38" s="291"/>
      <c r="H38" s="291"/>
      <c r="I38" s="290"/>
    </row>
    <row r="39" spans="1:9" s="212" customFormat="1" ht="26.25" customHeight="1">
      <c r="A39" s="287" t="str">
        <f>IF('10-08-01'!$H14="","",'10-08-01'!$H14)</f>
        <v/>
      </c>
      <c r="B39" s="287" t="str">
        <f>IF(ISNA(INDEX(Schedule!$O:$O,MATCH($A39,Schedule!T:T,0))),"",INDEX(Schedule!$O:$O,MATCH($A39,Schedule!T:T,0)))</f>
        <v/>
      </c>
      <c r="C39" s="288" t="str">
        <f>IF(ISNA(INDEX(Schedule!$V:$V,MATCH($A39,Schedule!T:T,0))),"",INDEX(Schedule!$V:$V,MATCH($A39,Schedule!T:T,0)))</f>
        <v/>
      </c>
      <c r="D39" s="289"/>
      <c r="E39" s="290"/>
      <c r="F39" s="291"/>
      <c r="G39" s="291"/>
      <c r="H39" s="291"/>
      <c r="I39" s="290"/>
    </row>
    <row r="40" spans="1:9" s="212" customFormat="1" ht="26.25" customHeight="1">
      <c r="A40" s="287" t="str">
        <f>IF('10-08-01'!$H15="","",'10-08-01'!$H15)</f>
        <v/>
      </c>
      <c r="B40" s="287" t="str">
        <f>IF(ISNA(INDEX(Schedule!$O:$O,MATCH($A40,Schedule!T:T,0))),"",INDEX(Schedule!$O:$O,MATCH($A40,Schedule!T:T,0)))</f>
        <v/>
      </c>
      <c r="C40" s="288" t="str">
        <f>IF(ISNA(INDEX(Schedule!$V:$V,MATCH($A40,Schedule!T:T,0))),"",INDEX(Schedule!$V:$V,MATCH($A40,Schedule!T:T,0)))</f>
        <v/>
      </c>
      <c r="D40" s="289"/>
      <c r="E40" s="290"/>
      <c r="F40" s="291"/>
      <c r="G40" s="291"/>
      <c r="H40" s="291"/>
      <c r="I40" s="290"/>
    </row>
    <row r="41" spans="1:9" s="212" customFormat="1" ht="26.25" customHeight="1">
      <c r="A41" s="287" t="str">
        <f>IF('10-08-01'!$B57="","",'10-08-01'!$B57)</f>
        <v/>
      </c>
      <c r="B41" s="287" t="str">
        <f>IF(ISNA(INDEX(Schedule!$O:$O,MATCH($A41,Schedule!T:T,0))),"",INDEX(Schedule!$O:$O,MATCH($A41,Schedule!T:T,0)))</f>
        <v/>
      </c>
      <c r="C41" s="288" t="str">
        <f>IF(ISNA(INDEX(Schedule!$V:$V,MATCH($A41,Schedule!T:T,0))),"",INDEX(Schedule!$V:$V,MATCH($A41,Schedule!T:T,0)))</f>
        <v/>
      </c>
      <c r="D41" s="289"/>
      <c r="E41" s="290"/>
      <c r="F41" s="291"/>
      <c r="G41" s="291"/>
      <c r="H41" s="291"/>
      <c r="I41" s="290"/>
    </row>
    <row r="42" spans="1:9" s="212" customFormat="1" ht="26.25" customHeight="1">
      <c r="A42" s="287" t="str">
        <f>IF('10-08-01'!$B58="","",'10-08-01'!$B58)</f>
        <v/>
      </c>
      <c r="B42" s="287" t="str">
        <f>IF(ISNA(INDEX(Schedule!$O:$O,MATCH($A42,Schedule!T:T,0))),"",INDEX(Schedule!$O:$O,MATCH($A42,Schedule!T:T,0)))</f>
        <v/>
      </c>
      <c r="C42" s="288" t="str">
        <f>IF(ISNA(INDEX(Schedule!$V:$V,MATCH($A42,Schedule!T:T,0))),"",INDEX(Schedule!$V:$V,MATCH($A42,Schedule!T:T,0)))</f>
        <v/>
      </c>
      <c r="D42" s="289"/>
      <c r="E42" s="290"/>
      <c r="F42" s="291"/>
      <c r="G42" s="291"/>
      <c r="H42" s="291"/>
      <c r="I42" s="290"/>
    </row>
    <row r="43" spans="1:9" s="212" customFormat="1" ht="26.25" customHeight="1">
      <c r="A43" s="287" t="str">
        <f>IF('10-08-01'!$B59="","",'10-08-01'!$B59)</f>
        <v/>
      </c>
      <c r="B43" s="287" t="str">
        <f>IF(ISNA(INDEX(Schedule!$O:$O,MATCH($A43,Schedule!T:T,0))),"",INDEX(Schedule!$O:$O,MATCH($A43,Schedule!T:T,0)))</f>
        <v/>
      </c>
      <c r="C43" s="288" t="str">
        <f>IF(ISNA(INDEX(Schedule!$V:$V,MATCH($A43,Schedule!T:T,0))),"",INDEX(Schedule!$V:$V,MATCH($A43,Schedule!T:T,0)))</f>
        <v/>
      </c>
      <c r="D43" s="289"/>
      <c r="E43" s="290"/>
      <c r="F43" s="291"/>
      <c r="G43" s="291"/>
      <c r="H43" s="291"/>
      <c r="I43" s="290"/>
    </row>
    <row r="44" spans="1:9" s="212" customFormat="1" ht="26.25" customHeight="1">
      <c r="A44" s="287" t="str">
        <f>IF('10-08-01'!$B60="","",'10-08-01'!$B60)</f>
        <v/>
      </c>
      <c r="B44" s="287" t="str">
        <f>IF(ISNA(INDEX(Schedule!$O:$O,MATCH($A44,Schedule!T:T,0))),"",INDEX(Schedule!$O:$O,MATCH($A44,Schedule!T:T,0)))</f>
        <v/>
      </c>
      <c r="C44" s="288" t="str">
        <f>IF(ISNA(INDEX(Schedule!$V:$V,MATCH($A44,Schedule!T:T,0))),"",INDEX(Schedule!$V:$V,MATCH($A44,Schedule!T:T,0)))</f>
        <v/>
      </c>
      <c r="D44" s="289"/>
      <c r="E44" s="290"/>
      <c r="F44" s="291"/>
      <c r="G44" s="291"/>
      <c r="H44" s="291"/>
      <c r="I44" s="290"/>
    </row>
    <row r="45" spans="1:9" s="212" customFormat="1" ht="26.25" customHeight="1">
      <c r="A45" s="287" t="str">
        <f>IF('10-08-01'!$B61="","",'10-08-01'!$B61)</f>
        <v/>
      </c>
      <c r="B45" s="287" t="str">
        <f>IF(ISNA(INDEX(Schedule!$O:$O,MATCH($A45,Schedule!T:T,0))),"",INDEX(Schedule!$O:$O,MATCH($A45,Schedule!T:T,0)))</f>
        <v/>
      </c>
      <c r="C45" s="288" t="str">
        <f>IF(ISNA(INDEX(Schedule!$V:$V,MATCH($A45,Schedule!T:T,0))),"",INDEX(Schedule!$V:$V,MATCH($A45,Schedule!T:T,0)))</f>
        <v/>
      </c>
      <c r="D45" s="289"/>
      <c r="E45" s="290"/>
      <c r="F45" s="291"/>
      <c r="G45" s="291"/>
      <c r="H45" s="291"/>
      <c r="I45" s="290"/>
    </row>
    <row r="46" spans="1:9" s="212" customFormat="1" ht="26.25" customHeight="1">
      <c r="A46" s="287" t="str">
        <f>IF('10-08-01'!$B62="","",'10-08-01'!$B62)</f>
        <v/>
      </c>
      <c r="B46" s="287" t="str">
        <f>IF(ISNA(INDEX(Schedule!$O:$O,MATCH($A46,Schedule!T:T,0))),"",INDEX(Schedule!$O:$O,MATCH($A46,Schedule!T:T,0)))</f>
        <v/>
      </c>
      <c r="C46" s="288" t="str">
        <f>IF(ISNA(INDEX(Schedule!$V:$V,MATCH($A46,Schedule!T:T,0))),"",INDEX(Schedule!$V:$V,MATCH($A46,Schedule!T:T,0)))</f>
        <v/>
      </c>
      <c r="D46" s="289"/>
      <c r="E46" s="290"/>
      <c r="F46" s="293"/>
      <c r="G46" s="293"/>
      <c r="H46" s="293"/>
      <c r="I46" s="294"/>
    </row>
    <row r="47" spans="1:9" s="212" customFormat="1" ht="26.25" customHeight="1">
      <c r="A47" s="287" t="str">
        <f>IF('10-08-01'!$B63="","",'10-08-01'!$B63)</f>
        <v/>
      </c>
      <c r="B47" s="287" t="str">
        <f>IF(ISNA(INDEX(Schedule!$O:$O,MATCH($A47,Schedule!T:T,0))),"",INDEX(Schedule!$O:$O,MATCH($A47,Schedule!T:T,0)))</f>
        <v/>
      </c>
      <c r="C47" s="288" t="str">
        <f>IF(ISNA(INDEX(Schedule!$V:$V,MATCH($A47,Schedule!T:T,0))),"",INDEX(Schedule!$V:$V,MATCH($A47,Schedule!T:T,0)))</f>
        <v/>
      </c>
      <c r="D47" s="289"/>
      <c r="E47" s="290"/>
      <c r="F47" s="295"/>
      <c r="G47" s="295"/>
      <c r="H47" s="295"/>
      <c r="I47" s="289"/>
    </row>
    <row r="48" spans="1:9" s="212" customFormat="1" ht="26.25" customHeight="1">
      <c r="A48" s="287" t="str">
        <f>IF('10-08-01'!$B64="","",'10-08-01'!$B64)</f>
        <v/>
      </c>
      <c r="B48" s="287" t="str">
        <f>IF(ISNA(INDEX(Schedule!$O:$O,MATCH($A48,Schedule!T:T,0))),"",INDEX(Schedule!$O:$O,MATCH($A48,Schedule!T:T,0)))</f>
        <v/>
      </c>
      <c r="C48" s="288" t="str">
        <f>IF(ISNA(INDEX(Schedule!$V:$V,MATCH($A48,Schedule!T:T,0))),"",INDEX(Schedule!$V:$V,MATCH($A48,Schedule!T:T,0)))</f>
        <v/>
      </c>
      <c r="D48" s="289"/>
      <c r="E48" s="290"/>
      <c r="F48" s="295"/>
      <c r="G48" s="295"/>
      <c r="H48" s="295"/>
      <c r="I48" s="289"/>
    </row>
    <row r="49" spans="1:9" s="212" customFormat="1" ht="26.25" customHeight="1">
      <c r="A49" s="287" t="str">
        <f>IF('10-08-01'!$B65="","",'10-08-01'!$B65)</f>
        <v/>
      </c>
      <c r="B49" s="287" t="str">
        <f>IF(ISNA(INDEX(Schedule!$O:$O,MATCH($A49,Schedule!T:T,0))),"",INDEX(Schedule!$O:$O,MATCH($A49,Schedule!T:T,0)))</f>
        <v/>
      </c>
      <c r="C49" s="288" t="str">
        <f>IF(ISNA(INDEX(Schedule!$V:$V,MATCH($A49,Schedule!T:T,0))),"",INDEX(Schedule!$V:$V,MATCH($A49,Schedule!T:T,0)))</f>
        <v/>
      </c>
      <c r="D49" s="289"/>
      <c r="E49" s="290"/>
      <c r="F49" s="295"/>
      <c r="G49" s="295"/>
      <c r="H49" s="295"/>
      <c r="I49" s="296"/>
    </row>
    <row r="50" spans="1:9" s="212" customFormat="1" ht="26.25" customHeight="1">
      <c r="A50" s="287" t="str">
        <f>IF('10-08-01'!$B66="","",'10-08-01'!$B66)</f>
        <v/>
      </c>
      <c r="B50" s="287" t="str">
        <f>IF(ISNA(INDEX(Schedule!$O:$O,MATCH($A50,Schedule!T:T,0))),"",INDEX(Schedule!$O:$O,MATCH($A50,Schedule!T:T,0)))</f>
        <v/>
      </c>
      <c r="C50" s="288" t="str">
        <f>IF(ISNA(INDEX(Schedule!$V:$V,MATCH($A50,Schedule!T:T,0))),"",INDEX(Schedule!$V:$V,MATCH($A50,Schedule!T:T,0)))</f>
        <v/>
      </c>
      <c r="D50" s="289"/>
      <c r="E50" s="290"/>
      <c r="F50" s="295"/>
      <c r="G50" s="295"/>
      <c r="H50" s="295"/>
      <c r="I50" s="289"/>
    </row>
    <row r="51" spans="1:9" s="212" customFormat="1" ht="26.25" customHeight="1">
      <c r="A51" s="287" t="str">
        <f>IF('10-08-01'!$H57="","",'10-08-01'!$H57)</f>
        <v/>
      </c>
      <c r="B51" s="287" t="str">
        <f>IF(ISNA(INDEX(Schedule!$O:$O,MATCH($A51,Schedule!T:T,0))),"",INDEX(Schedule!$O:$O,MATCH($A51,Schedule!T:T,0)))</f>
        <v/>
      </c>
      <c r="C51" s="288" t="str">
        <f>IF(ISNA(INDEX(Schedule!$V:$V,MATCH($A51,Schedule!T:T,0))),"",INDEX(Schedule!$V:$V,MATCH($A51,Schedule!T:T,0)))</f>
        <v/>
      </c>
      <c r="D51" s="289"/>
      <c r="E51" s="290"/>
      <c r="F51" s="295"/>
      <c r="G51" s="295"/>
      <c r="H51" s="295"/>
      <c r="I51" s="297"/>
    </row>
    <row r="52" spans="1:9" s="212" customFormat="1" ht="26.25" customHeight="1">
      <c r="A52" s="287" t="str">
        <f>IF('10-08-01'!$H58="","",'10-08-01'!$H58)</f>
        <v/>
      </c>
      <c r="B52" s="287" t="str">
        <f>IF(ISNA(INDEX(Schedule!$O:$O,MATCH($A52,Schedule!T:T,0))),"",INDEX(Schedule!$O:$O,MATCH($A52,Schedule!T:T,0)))</f>
        <v/>
      </c>
      <c r="C52" s="288" t="str">
        <f>IF(ISNA(INDEX(Schedule!$V:$V,MATCH($A52,Schedule!T:T,0))),"",INDEX(Schedule!$V:$V,MATCH($A52,Schedule!T:T,0)))</f>
        <v/>
      </c>
      <c r="D52" s="289"/>
      <c r="E52" s="290"/>
      <c r="F52" s="295"/>
      <c r="G52" s="295"/>
      <c r="H52" s="295"/>
      <c r="I52" s="298"/>
    </row>
    <row r="53" spans="1:9" s="212" customFormat="1" ht="26.25" customHeight="1">
      <c r="A53" s="287" t="str">
        <f>IF('10-08-01'!$H59="","",'10-08-01'!$H59)</f>
        <v/>
      </c>
      <c r="B53" s="287" t="str">
        <f>IF(ISNA(INDEX(Schedule!$O:$O,MATCH($A53,Schedule!T:T,0))),"",INDEX(Schedule!$O:$O,MATCH($A53,Schedule!T:T,0)))</f>
        <v/>
      </c>
      <c r="C53" s="288" t="str">
        <f>IF(ISNA(INDEX(Schedule!$V:$V,MATCH($A53,Schedule!T:T,0))),"",INDEX(Schedule!$V:$V,MATCH($A53,Schedule!T:T,0)))</f>
        <v/>
      </c>
      <c r="D53" s="289"/>
      <c r="E53" s="290"/>
      <c r="F53" s="295"/>
      <c r="G53" s="295"/>
      <c r="H53" s="295"/>
      <c r="I53" s="296"/>
    </row>
    <row r="54" spans="1:9" s="212" customFormat="1" ht="26.25" customHeight="1">
      <c r="A54" s="208" t="s">
        <v>124</v>
      </c>
      <c r="B54" s="426"/>
      <c r="C54" s="426"/>
      <c r="D54" s="426"/>
      <c r="E54" s="426"/>
      <c r="F54" s="426"/>
      <c r="G54" s="426"/>
      <c r="H54" s="426"/>
      <c r="I54" s="427"/>
    </row>
    <row r="55" spans="1:9" s="212" customFormat="1">
      <c r="A55" s="209"/>
      <c r="B55" s="301"/>
    </row>
    <row r="56" spans="1:9" s="212" customFormat="1" ht="17.25" customHeight="1">
      <c r="A56" s="201" t="s">
        <v>414</v>
      </c>
      <c r="B56" s="301"/>
      <c r="C56" s="428"/>
      <c r="D56" s="429"/>
      <c r="E56" s="429"/>
    </row>
    <row r="57" spans="1:9" s="212" customFormat="1" ht="15" customHeight="1">
      <c r="B57" s="301"/>
      <c r="C57" s="418" t="s">
        <v>415</v>
      </c>
      <c r="D57" s="419"/>
      <c r="E57" s="419"/>
    </row>
    <row r="58" spans="1:9" s="212" customFormat="1">
      <c r="A58" s="210" t="s">
        <v>416</v>
      </c>
      <c r="B58" s="300"/>
      <c r="C58" s="211"/>
      <c r="D58" s="211"/>
      <c r="E58" s="211"/>
      <c r="F58" s="211"/>
      <c r="G58" s="211"/>
      <c r="H58" s="420"/>
      <c r="I58" s="367"/>
    </row>
    <row r="59" spans="1:9" s="212" customFormat="1">
      <c r="B59" s="301"/>
    </row>
    <row r="60" spans="1:9" s="212" customFormat="1">
      <c r="A60" s="213" t="s">
        <v>417</v>
      </c>
      <c r="B60" s="304" t="s">
        <v>418</v>
      </c>
      <c r="C60" s="214"/>
      <c r="D60" s="214"/>
      <c r="E60" s="214"/>
      <c r="F60" s="214"/>
      <c r="G60" s="214"/>
      <c r="H60" s="214"/>
      <c r="I60" s="213" t="s">
        <v>419</v>
      </c>
    </row>
    <row r="61" spans="1:9" s="269" customFormat="1" ht="19.5" customHeight="1">
      <c r="B61" s="301"/>
      <c r="D61" s="272" t="s">
        <v>406</v>
      </c>
      <c r="E61" s="197"/>
    </row>
    <row r="62" spans="1:9" s="269" customFormat="1" ht="44.25" customHeight="1">
      <c r="A62" s="198" t="s">
        <v>18</v>
      </c>
      <c r="B62" s="301"/>
    </row>
    <row r="63" spans="1:9" s="269" customFormat="1" ht="18.75">
      <c r="A63" s="421" t="s">
        <v>407</v>
      </c>
      <c r="B63" s="422"/>
      <c r="C63" s="422"/>
      <c r="D63" s="422"/>
      <c r="E63" s="422"/>
      <c r="F63" s="422"/>
      <c r="G63" s="422"/>
      <c r="H63" s="422"/>
      <c r="I63" s="422"/>
    </row>
    <row r="64" spans="1:9" s="269" customFormat="1">
      <c r="A64" s="200"/>
      <c r="B64" s="301"/>
    </row>
    <row r="65" spans="1:9" s="305" customFormat="1" ht="20.25" customHeight="1">
      <c r="A65" s="201" t="s">
        <v>408</v>
      </c>
      <c r="B65" s="301"/>
      <c r="C65" s="490" t="str">
        <f>IF(C35&lt;&gt;"",C35,"")</f>
        <v/>
      </c>
      <c r="D65" s="490"/>
      <c r="E65" s="491"/>
      <c r="F65" s="202" t="s">
        <v>409</v>
      </c>
      <c r="G65" s="489"/>
      <c r="H65" s="492" t="str">
        <f>IF(H35&lt;&gt;"",H35,"")</f>
        <v/>
      </c>
      <c r="I65" s="493"/>
    </row>
    <row r="66" spans="1:9" s="269" customFormat="1" ht="15">
      <c r="A66" s="203"/>
      <c r="B66" s="302"/>
    </row>
    <row r="67" spans="1:9" s="269" customFormat="1" ht="31.5" customHeight="1">
      <c r="A67" s="204" t="s">
        <v>112</v>
      </c>
      <c r="B67" s="303" t="s">
        <v>113</v>
      </c>
      <c r="C67" s="273" t="s">
        <v>114</v>
      </c>
      <c r="D67" s="205" t="s">
        <v>410</v>
      </c>
      <c r="E67" s="273" t="s">
        <v>411</v>
      </c>
      <c r="F67" s="423" t="s">
        <v>412</v>
      </c>
      <c r="G67" s="424"/>
      <c r="H67" s="425"/>
      <c r="I67" s="273" t="s">
        <v>413</v>
      </c>
    </row>
    <row r="68" spans="1:9" s="269" customFormat="1" ht="26.25" customHeight="1">
      <c r="A68" s="287" t="str">
        <f>IF('10-08-01'!$H60="","",'10-08-01'!$H60)</f>
        <v/>
      </c>
      <c r="B68" s="287" t="str">
        <f>IF(ISNA(INDEX(Schedule!$O:$O,MATCH($A68,Schedule!T:T,0))),"",INDEX(Schedule!$O:$O,MATCH($A68,Schedule!T:T,0)))</f>
        <v/>
      </c>
      <c r="C68" s="288" t="str">
        <f>IF(ISNA(INDEX(Schedule!$V:$V,MATCH($A68,Schedule!T:T,0))),"",INDEX(Schedule!$V:$V,MATCH($A68,Schedule!T:T,0)))</f>
        <v/>
      </c>
      <c r="D68" s="289"/>
      <c r="E68" s="290"/>
      <c r="F68" s="291"/>
      <c r="G68" s="291"/>
      <c r="H68" s="291"/>
      <c r="I68" s="290"/>
    </row>
    <row r="69" spans="1:9" s="269" customFormat="1" ht="26.25" customHeight="1">
      <c r="A69" s="287" t="str">
        <f>IF('10-08-01'!$H61="","",'10-08-01'!$H61)</f>
        <v/>
      </c>
      <c r="B69" s="287" t="str">
        <f>IF(ISNA(INDEX(Schedule!$O:$O,MATCH($A69,Schedule!T:T,0))),"",INDEX(Schedule!$O:$O,MATCH($A69,Schedule!T:T,0)))</f>
        <v/>
      </c>
      <c r="C69" s="288" t="str">
        <f>IF(ISNA(INDEX(Schedule!$V:$V,MATCH($A69,Schedule!T:T,0))),"",INDEX(Schedule!$V:$V,MATCH($A69,Schedule!T:T,0)))</f>
        <v/>
      </c>
      <c r="D69" s="289"/>
      <c r="E69" s="290"/>
      <c r="F69" s="291"/>
      <c r="G69" s="291"/>
      <c r="H69" s="291"/>
      <c r="I69" s="290"/>
    </row>
    <row r="70" spans="1:9" s="269" customFormat="1" ht="26.25" customHeight="1">
      <c r="A70" s="287" t="str">
        <f>IF('10-08-01'!$H62="","",'10-08-01'!$H62)</f>
        <v/>
      </c>
      <c r="B70" s="287" t="str">
        <f>IF(ISNA(INDEX(Schedule!$O:$O,MATCH($A70,Schedule!T:T,0))),"",INDEX(Schedule!$O:$O,MATCH($A70,Schedule!T:T,0)))</f>
        <v/>
      </c>
      <c r="C70" s="288" t="str">
        <f>IF(ISNA(INDEX(Schedule!$V:$V,MATCH($A70,Schedule!T:T,0))),"",INDEX(Schedule!$V:$V,MATCH($A70,Schedule!T:T,0)))</f>
        <v/>
      </c>
      <c r="D70" s="289"/>
      <c r="E70" s="290"/>
      <c r="F70" s="291"/>
      <c r="G70" s="291"/>
      <c r="H70" s="291"/>
      <c r="I70" s="290"/>
    </row>
    <row r="71" spans="1:9" s="269" customFormat="1" ht="26.25" customHeight="1">
      <c r="A71" s="287" t="str">
        <f>IF('10-08-01'!$H63="","",'10-08-01'!$H63)</f>
        <v/>
      </c>
      <c r="B71" s="287" t="str">
        <f>IF(ISNA(INDEX(Schedule!$O:$O,MATCH($A71,Schedule!T:T,0))),"",INDEX(Schedule!$O:$O,MATCH($A71,Schedule!T:T,0)))</f>
        <v/>
      </c>
      <c r="C71" s="288" t="str">
        <f>IF(ISNA(INDEX(Schedule!$V:$V,MATCH($A71,Schedule!T:T,0))),"",INDEX(Schedule!$V:$V,MATCH($A71,Schedule!T:T,0)))</f>
        <v/>
      </c>
      <c r="D71" s="289"/>
      <c r="E71" s="290"/>
      <c r="F71" s="291"/>
      <c r="G71" s="291"/>
      <c r="H71" s="291"/>
      <c r="I71" s="290"/>
    </row>
    <row r="72" spans="1:9" s="269" customFormat="1" ht="26.25" customHeight="1">
      <c r="A72" s="287" t="str">
        <f>IF('10-08-01'!$H64="","",'10-08-01'!$H64)</f>
        <v/>
      </c>
      <c r="B72" s="287" t="str">
        <f>IF(ISNA(INDEX(Schedule!$O:$O,MATCH($A72,Schedule!T:T,0))),"",INDEX(Schedule!$O:$O,MATCH($A72,Schedule!T:T,0)))</f>
        <v/>
      </c>
      <c r="C72" s="288" t="str">
        <f>IF(ISNA(INDEX(Schedule!$V:$V,MATCH($A72,Schedule!T:T,0))),"",INDEX(Schedule!$V:$V,MATCH($A72,Schedule!T:T,0)))</f>
        <v/>
      </c>
      <c r="D72" s="289"/>
      <c r="E72" s="290"/>
      <c r="F72" s="291"/>
      <c r="G72" s="291"/>
      <c r="H72" s="291"/>
      <c r="I72" s="290"/>
    </row>
    <row r="73" spans="1:9" s="269" customFormat="1" ht="26.25" customHeight="1">
      <c r="A73" s="287" t="str">
        <f>IF('10-08-01'!$H65="","",'10-08-01'!$H65)</f>
        <v/>
      </c>
      <c r="B73" s="287" t="str">
        <f>IF(ISNA(INDEX(Schedule!$O:$O,MATCH($A73,Schedule!T:T,0))),"",INDEX(Schedule!$O:$O,MATCH($A73,Schedule!T:T,0)))</f>
        <v/>
      </c>
      <c r="C73" s="288" t="str">
        <f>IF(ISNA(INDEX(Schedule!$V:$V,MATCH($A73,Schedule!T:T,0))),"",INDEX(Schedule!$V:$V,MATCH($A73,Schedule!T:T,0)))</f>
        <v/>
      </c>
      <c r="D73" s="289"/>
      <c r="E73" s="290"/>
      <c r="F73" s="291"/>
      <c r="G73" s="291"/>
      <c r="H73" s="291"/>
      <c r="I73" s="290"/>
    </row>
    <row r="74" spans="1:9" s="269" customFormat="1" ht="26.25" customHeight="1">
      <c r="A74" s="287" t="str">
        <f>IF('10-08-01'!$H66="","",'10-08-01'!$H66)</f>
        <v/>
      </c>
      <c r="B74" s="287" t="str">
        <f>IF(ISNA(INDEX(Schedule!$O:$O,MATCH($A74,Schedule!T:T,0))),"",INDEX(Schedule!$O:$O,MATCH($A74,Schedule!T:T,0)))</f>
        <v/>
      </c>
      <c r="C74" s="288" t="str">
        <f>IF(ISNA(INDEX(Schedule!$V:$V,MATCH($A74,Schedule!T:T,0))),"",INDEX(Schedule!$V:$V,MATCH($A74,Schedule!T:T,0)))</f>
        <v/>
      </c>
      <c r="D74" s="289"/>
      <c r="E74" s="290"/>
      <c r="F74" s="291"/>
      <c r="G74" s="291"/>
      <c r="H74" s="291"/>
      <c r="I74" s="290"/>
    </row>
    <row r="75" spans="1:9" s="269" customFormat="1" ht="26.25" customHeight="1">
      <c r="A75" s="287" t="str">
        <f>IF('10-08-01'!$B107="","",'10-08-01'!$B107)</f>
        <v/>
      </c>
      <c r="B75" s="287" t="str">
        <f>IF(ISNA(INDEX(Schedule!$O:$O,MATCH($A75,Schedule!T:T,0))),"",INDEX(Schedule!$O:$O,MATCH($A75,Schedule!T:T,0)))</f>
        <v/>
      </c>
      <c r="C75" s="288" t="str">
        <f>IF(ISNA(INDEX(Schedule!$V:$V,MATCH($A75,Schedule!T:T,0))),"",INDEX(Schedule!$V:$V,MATCH($A75,Schedule!T:T,0)))</f>
        <v/>
      </c>
      <c r="D75" s="289"/>
      <c r="E75" s="290"/>
      <c r="F75" s="291"/>
      <c r="G75" s="291"/>
      <c r="H75" s="291"/>
      <c r="I75" s="290"/>
    </row>
    <row r="76" spans="1:9" s="269" customFormat="1" ht="26.25" customHeight="1">
      <c r="A76" s="287" t="str">
        <f>IF('10-08-01'!$B108="","",'10-08-01'!$B108)</f>
        <v/>
      </c>
      <c r="B76" s="287" t="str">
        <f>IF(ISNA(INDEX(Schedule!$O:$O,MATCH($A76,Schedule!T:T,0))),"",INDEX(Schedule!$O:$O,MATCH($A76,Schedule!T:T,0)))</f>
        <v/>
      </c>
      <c r="C76" s="288" t="str">
        <f>IF(ISNA(INDEX(Schedule!$V:$V,MATCH($A76,Schedule!T:T,0))),"",INDEX(Schedule!$V:$V,MATCH($A76,Schedule!T:T,0)))</f>
        <v/>
      </c>
      <c r="D76" s="289"/>
      <c r="E76" s="290"/>
      <c r="F76" s="293"/>
      <c r="G76" s="293"/>
      <c r="H76" s="293"/>
      <c r="I76" s="294"/>
    </row>
    <row r="77" spans="1:9" s="269" customFormat="1" ht="26.25" customHeight="1">
      <c r="A77" s="287" t="str">
        <f>IF('10-08-01'!$B109="","",'10-08-01'!$B109)</f>
        <v/>
      </c>
      <c r="B77" s="287" t="str">
        <f>IF(ISNA(INDEX(Schedule!$O:$O,MATCH($A77,Schedule!T:T,0))),"",INDEX(Schedule!$O:$O,MATCH($A77,Schedule!T:T,0)))</f>
        <v/>
      </c>
      <c r="C77" s="288" t="str">
        <f>IF(ISNA(INDEX(Schedule!$V:$V,MATCH($A77,Schedule!T:T,0))),"",INDEX(Schedule!$V:$V,MATCH($A77,Schedule!T:T,0)))</f>
        <v/>
      </c>
      <c r="D77" s="289"/>
      <c r="E77" s="290"/>
      <c r="F77" s="295"/>
      <c r="G77" s="295"/>
      <c r="H77" s="295"/>
      <c r="I77" s="289"/>
    </row>
    <row r="78" spans="1:9" s="269" customFormat="1" ht="26.25" customHeight="1">
      <c r="A78" s="287" t="str">
        <f>IF('10-08-01'!$B110="","",'10-08-01'!$B110)</f>
        <v/>
      </c>
      <c r="B78" s="287" t="str">
        <f>IF(ISNA(INDEX(Schedule!$O:$O,MATCH($A78,Schedule!T:T,0))),"",INDEX(Schedule!$O:$O,MATCH($A78,Schedule!T:T,0)))</f>
        <v/>
      </c>
      <c r="C78" s="288" t="str">
        <f>IF(ISNA(INDEX(Schedule!$V:$V,MATCH($A78,Schedule!T:T,0))),"",INDEX(Schedule!$V:$V,MATCH($A78,Schedule!T:T,0)))</f>
        <v/>
      </c>
      <c r="D78" s="289"/>
      <c r="E78" s="290"/>
      <c r="F78" s="295"/>
      <c r="G78" s="295"/>
      <c r="H78" s="295"/>
      <c r="I78" s="289"/>
    </row>
    <row r="79" spans="1:9" s="269" customFormat="1" ht="26.25" customHeight="1">
      <c r="A79" s="287" t="str">
        <f>IF('10-08-01'!$B111="","",'10-08-01'!$B111)</f>
        <v/>
      </c>
      <c r="B79" s="287" t="str">
        <f>IF(ISNA(INDEX(Schedule!$O:$O,MATCH($A79,Schedule!T:T,0))),"",INDEX(Schedule!$O:$O,MATCH($A79,Schedule!T:T,0)))</f>
        <v/>
      </c>
      <c r="C79" s="288" t="str">
        <f>IF(ISNA(INDEX(Schedule!$V:$V,MATCH($A79,Schedule!T:T,0))),"",INDEX(Schedule!$V:$V,MATCH($A79,Schedule!T:T,0)))</f>
        <v/>
      </c>
      <c r="D79" s="289"/>
      <c r="E79" s="290"/>
      <c r="F79" s="295"/>
      <c r="G79" s="295"/>
      <c r="H79" s="295"/>
      <c r="I79" s="296"/>
    </row>
    <row r="80" spans="1:9" s="269" customFormat="1" ht="26.25" customHeight="1">
      <c r="A80" s="287" t="str">
        <f>IF('10-08-01'!$B112="","",'10-08-01'!$B112)</f>
        <v/>
      </c>
      <c r="B80" s="287" t="str">
        <f>IF(ISNA(INDEX(Schedule!$O:$O,MATCH($A80,Schedule!T:T,0))),"",INDEX(Schedule!$O:$O,MATCH($A80,Schedule!T:T,0)))</f>
        <v/>
      </c>
      <c r="C80" s="288" t="str">
        <f>IF(ISNA(INDEX(Schedule!$V:$V,MATCH($A80,Schedule!T:T,0))),"",INDEX(Schedule!$V:$V,MATCH($A80,Schedule!T:T,0)))</f>
        <v/>
      </c>
      <c r="D80" s="289"/>
      <c r="E80" s="290"/>
      <c r="F80" s="295"/>
      <c r="G80" s="295"/>
      <c r="H80" s="295"/>
      <c r="I80" s="289"/>
    </row>
    <row r="81" spans="1:9" s="269" customFormat="1" ht="26.25" customHeight="1">
      <c r="A81" s="287" t="str">
        <f>IF('10-08-01'!$B113="","",'10-08-01'!$B113)</f>
        <v/>
      </c>
      <c r="B81" s="287" t="str">
        <f>IF(ISNA(INDEX(Schedule!$O:$O,MATCH($A81,Schedule!T:T,0))),"",INDEX(Schedule!$O:$O,MATCH($A81,Schedule!T:T,0)))</f>
        <v/>
      </c>
      <c r="C81" s="288" t="str">
        <f>IF(ISNA(INDEX(Schedule!$V:$V,MATCH($A81,Schedule!T:T,0))),"",INDEX(Schedule!$V:$V,MATCH($A81,Schedule!T:T,0)))</f>
        <v/>
      </c>
      <c r="D81" s="289"/>
      <c r="E81" s="290"/>
      <c r="F81" s="295"/>
      <c r="G81" s="295"/>
      <c r="H81" s="295"/>
      <c r="I81" s="297"/>
    </row>
    <row r="82" spans="1:9" s="269" customFormat="1" ht="26.25" customHeight="1">
      <c r="A82" s="287" t="str">
        <f>IF('10-08-01'!$B114="","",'10-08-01'!$B114)</f>
        <v/>
      </c>
      <c r="B82" s="287" t="str">
        <f>IF(ISNA(INDEX(Schedule!$O:$O,MATCH($A82,Schedule!T:T,0))),"",INDEX(Schedule!$O:$O,MATCH($A82,Schedule!T:T,0)))</f>
        <v/>
      </c>
      <c r="C82" s="288" t="str">
        <f>IF(ISNA(INDEX(Schedule!$V:$V,MATCH($A82,Schedule!T:T,0))),"",INDEX(Schedule!$V:$V,MATCH($A82,Schedule!T:T,0)))</f>
        <v/>
      </c>
      <c r="D82" s="289"/>
      <c r="E82" s="290"/>
      <c r="F82" s="295"/>
      <c r="G82" s="295"/>
      <c r="H82" s="295"/>
      <c r="I82" s="298"/>
    </row>
    <row r="83" spans="1:9" s="269" customFormat="1" ht="26.25" customHeight="1">
      <c r="A83" s="287" t="str">
        <f>IF('10-08-01'!$B115="","",'10-08-01'!$B115)</f>
        <v/>
      </c>
      <c r="B83" s="287" t="str">
        <f>IF(ISNA(INDEX(Schedule!$O:$O,MATCH($A83,Schedule!T:T,0))),"",INDEX(Schedule!$O:$O,MATCH($A83,Schedule!T:T,0)))</f>
        <v/>
      </c>
      <c r="C83" s="288" t="str">
        <f>IF(ISNA(INDEX(Schedule!$V:$V,MATCH($A83,Schedule!T:T,0))),"",INDEX(Schedule!$V:$V,MATCH($A83,Schedule!T:T,0)))</f>
        <v/>
      </c>
      <c r="D83" s="289"/>
      <c r="E83" s="290"/>
      <c r="F83" s="295"/>
      <c r="G83" s="295"/>
      <c r="H83" s="295"/>
      <c r="I83" s="296"/>
    </row>
    <row r="84" spans="1:9" s="269" customFormat="1" ht="26.25" customHeight="1">
      <c r="A84" s="208" t="s">
        <v>124</v>
      </c>
      <c r="B84" s="426"/>
      <c r="C84" s="426"/>
      <c r="D84" s="426"/>
      <c r="E84" s="426"/>
      <c r="F84" s="426"/>
      <c r="G84" s="426"/>
      <c r="H84" s="426"/>
      <c r="I84" s="427"/>
    </row>
    <row r="85" spans="1:9" s="269" customFormat="1">
      <c r="A85" s="209"/>
      <c r="B85" s="301"/>
    </row>
    <row r="86" spans="1:9" s="269" customFormat="1" ht="17.25" customHeight="1">
      <c r="A86" s="201" t="s">
        <v>414</v>
      </c>
      <c r="B86" s="301"/>
      <c r="C86" s="428"/>
      <c r="D86" s="429"/>
      <c r="E86" s="429"/>
    </row>
    <row r="87" spans="1:9" s="269" customFormat="1" ht="15" customHeight="1">
      <c r="B87" s="301"/>
      <c r="C87" s="418" t="s">
        <v>415</v>
      </c>
      <c r="D87" s="419"/>
      <c r="E87" s="419"/>
    </row>
    <row r="88" spans="1:9" s="269" customFormat="1">
      <c r="A88" s="210" t="s">
        <v>416</v>
      </c>
      <c r="B88" s="300"/>
      <c r="C88" s="211"/>
      <c r="D88" s="211"/>
      <c r="E88" s="211"/>
      <c r="F88" s="211"/>
      <c r="G88" s="211"/>
      <c r="H88" s="420"/>
      <c r="I88" s="367"/>
    </row>
    <row r="89" spans="1:9" s="269" customFormat="1">
      <c r="B89" s="301"/>
    </row>
    <row r="90" spans="1:9" s="269" customFormat="1">
      <c r="A90" s="213" t="s">
        <v>417</v>
      </c>
      <c r="B90" s="304" t="s">
        <v>418</v>
      </c>
      <c r="C90" s="214"/>
      <c r="D90" s="214"/>
      <c r="E90" s="214"/>
      <c r="F90" s="214"/>
      <c r="G90" s="214"/>
      <c r="H90" s="214"/>
      <c r="I90" s="213" t="s">
        <v>419</v>
      </c>
    </row>
  </sheetData>
  <mergeCells count="24">
    <mergeCell ref="C86:E86"/>
    <mergeCell ref="C87:E87"/>
    <mergeCell ref="H88:I88"/>
    <mergeCell ref="A63:I63"/>
    <mergeCell ref="C65:E65"/>
    <mergeCell ref="H65:I65"/>
    <mergeCell ref="F67:H67"/>
    <mergeCell ref="B84:I84"/>
    <mergeCell ref="C56:E56"/>
    <mergeCell ref="C57:E57"/>
    <mergeCell ref="H58:I58"/>
    <mergeCell ref="A33:I33"/>
    <mergeCell ref="C35:E35"/>
    <mergeCell ref="H35:I35"/>
    <mergeCell ref="F37:H37"/>
    <mergeCell ref="B54:I54"/>
    <mergeCell ref="C27:E27"/>
    <mergeCell ref="H28:I28"/>
    <mergeCell ref="A3:I3"/>
    <mergeCell ref="C5:E5"/>
    <mergeCell ref="H5:I5"/>
    <mergeCell ref="F7:H7"/>
    <mergeCell ref="B24:I24"/>
    <mergeCell ref="C26:E26"/>
  </mergeCells>
  <printOptions horizontalCentered="1"/>
  <pageMargins left="0.25" right="0.25" top="0.5" bottom="0.5" header="0.5" footer="0.5"/>
  <pageSetup orientation="portrait" r:id="rId1"/>
  <headerFooter alignWithMargins="0"/>
  <rowBreaks count="2" manualBreakCount="2">
    <brk id="30" max="16383" man="1"/>
    <brk id="60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2"/>
  <sheetViews>
    <sheetView zoomScaleNormal="100" workbookViewId="0">
      <selection activeCell="R51" sqref="R51"/>
    </sheetView>
  </sheetViews>
  <sheetFormatPr defaultRowHeight="12.75"/>
  <cols>
    <col min="1" max="6" width="5.625" style="191" customWidth="1"/>
    <col min="7" max="7" width="13.25" style="191" bestFit="1" customWidth="1"/>
    <col min="8" max="8" width="11.5" style="191" customWidth="1"/>
    <col min="9" max="12" width="7.125" style="191" customWidth="1"/>
  </cols>
  <sheetData>
    <row r="1" spans="1:12" ht="59.25">
      <c r="A1" s="465" t="s">
        <v>18</v>
      </c>
      <c r="B1" s="465"/>
      <c r="C1" s="465"/>
    </row>
    <row r="2" spans="1:12" ht="25.15" customHeight="1">
      <c r="A2" s="466" t="s">
        <v>43</v>
      </c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</row>
    <row r="3" spans="1:12">
      <c r="A3" s="117"/>
      <c r="B3" s="194"/>
    </row>
    <row r="4" spans="1:12" ht="22.15" customHeight="1">
      <c r="A4" s="194"/>
      <c r="B4" s="194"/>
      <c r="F4" s="455" t="s">
        <v>109</v>
      </c>
      <c r="G4" s="455"/>
      <c r="H4" s="156" t="s">
        <v>396</v>
      </c>
      <c r="I4" s="83"/>
    </row>
    <row r="5" spans="1:12" ht="15.75" thickBot="1">
      <c r="A5" s="118"/>
      <c r="B5" s="119"/>
    </row>
    <row r="6" spans="1:12" ht="18.75">
      <c r="A6" s="456" t="s">
        <v>110</v>
      </c>
      <c r="B6" s="457"/>
      <c r="C6" s="457"/>
      <c r="D6" s="457"/>
      <c r="E6" s="457"/>
      <c r="F6" s="458"/>
      <c r="G6" s="456" t="s">
        <v>111</v>
      </c>
      <c r="H6" s="457"/>
      <c r="I6" s="457"/>
      <c r="J6" s="457"/>
      <c r="K6" s="457"/>
      <c r="L6" s="458"/>
    </row>
    <row r="7" spans="1:12" ht="48" customHeight="1">
      <c r="A7" s="459" t="s">
        <v>112</v>
      </c>
      <c r="B7" s="460"/>
      <c r="C7" s="461" t="s">
        <v>113</v>
      </c>
      <c r="D7" s="461"/>
      <c r="E7" s="461" t="s">
        <v>114</v>
      </c>
      <c r="F7" s="462"/>
      <c r="G7" s="120" t="s">
        <v>115</v>
      </c>
      <c r="H7" s="121" t="s">
        <v>116</v>
      </c>
      <c r="I7" s="463" t="s">
        <v>117</v>
      </c>
      <c r="J7" s="463"/>
      <c r="K7" s="463"/>
      <c r="L7" s="464"/>
    </row>
    <row r="8" spans="1:12" ht="25.15" customHeight="1">
      <c r="A8" s="467" t="str">
        <f>IF('10-08-01'!$B7="","",'10-08-01'!$B7)</f>
        <v/>
      </c>
      <c r="B8" s="468"/>
      <c r="C8" s="438" t="str">
        <f>IF(ISNA(INDEX(Schedule!$O:$O,MATCH($A8,Schedule!T:T,0))),"",INDEX(Schedule!$O:$O,MATCH($A8,Schedule!T:T,0)))</f>
        <v/>
      </c>
      <c r="D8" s="439"/>
      <c r="E8" s="438" t="str">
        <f>IF(ISNA(INDEX(Schedule!$V:$V,MATCH($A8,Schedule!T:T,0))),"",INDEX(Schedule!$V:$V,MATCH($A8,Schedule!T:T,0)))</f>
        <v/>
      </c>
      <c r="F8" s="440"/>
      <c r="G8" s="122"/>
      <c r="H8" s="192"/>
      <c r="I8" s="441"/>
      <c r="J8" s="442"/>
      <c r="K8" s="442"/>
      <c r="L8" s="443"/>
    </row>
    <row r="9" spans="1:12" ht="25.15" customHeight="1">
      <c r="A9" s="467" t="str">
        <f>IF('10-08-01'!$B8="","",'10-08-01'!$B8)</f>
        <v/>
      </c>
      <c r="B9" s="468"/>
      <c r="C9" s="438" t="str">
        <f>IF(ISNA(INDEX(Schedule!$O:$O,MATCH($A9,Schedule!T:T,0))),"",INDEX(Schedule!$O:$O,MATCH($A9,Schedule!T:T,0)))</f>
        <v/>
      </c>
      <c r="D9" s="439"/>
      <c r="E9" s="438" t="str">
        <f>IF(ISNA(INDEX(Schedule!$V:$V,MATCH($A9,Schedule!T:T,0))),"",INDEX(Schedule!$V:$V,MATCH($A9,Schedule!T:T,0)))</f>
        <v/>
      </c>
      <c r="F9" s="440"/>
      <c r="G9" s="123"/>
      <c r="H9" s="192"/>
      <c r="I9" s="441"/>
      <c r="J9" s="442"/>
      <c r="K9" s="442"/>
      <c r="L9" s="443"/>
    </row>
    <row r="10" spans="1:12" ht="25.15" customHeight="1">
      <c r="A10" s="467" t="str">
        <f>IF('10-08-01'!$B9="","",'10-08-01'!$B9)</f>
        <v/>
      </c>
      <c r="B10" s="468"/>
      <c r="C10" s="438" t="str">
        <f>IF(ISNA(INDEX(Schedule!$O:$O,MATCH($A10,Schedule!T:T,0))),"",INDEX(Schedule!$O:$O,MATCH($A10,Schedule!T:T,0)))</f>
        <v/>
      </c>
      <c r="D10" s="439"/>
      <c r="E10" s="438" t="str">
        <f>IF(ISNA(INDEX(Schedule!$V:$V,MATCH($A10,Schedule!T:T,0))),"",INDEX(Schedule!$V:$V,MATCH($A10,Schedule!T:T,0)))</f>
        <v/>
      </c>
      <c r="F10" s="440"/>
      <c r="G10" s="123"/>
      <c r="H10" s="192"/>
      <c r="I10" s="441"/>
      <c r="J10" s="442"/>
      <c r="K10" s="442"/>
      <c r="L10" s="443"/>
    </row>
    <row r="11" spans="1:12" ht="25.15" customHeight="1">
      <c r="A11" s="467" t="str">
        <f>IF('10-08-01'!$B10="","",'10-08-01'!$B10)</f>
        <v/>
      </c>
      <c r="B11" s="468"/>
      <c r="C11" s="438" t="str">
        <f>IF(ISNA(INDEX(Schedule!$O:$O,MATCH($A11,Schedule!T:T,0))),"",INDEX(Schedule!$O:$O,MATCH($A11,Schedule!T:T,0)))</f>
        <v/>
      </c>
      <c r="D11" s="439"/>
      <c r="E11" s="438" t="str">
        <f>IF(ISNA(INDEX(Schedule!$V:$V,MATCH($A11,Schedule!T:T,0))),"",INDEX(Schedule!$V:$V,MATCH($A11,Schedule!T:T,0)))</f>
        <v/>
      </c>
      <c r="F11" s="440"/>
      <c r="G11" s="123"/>
      <c r="H11" s="192"/>
      <c r="I11" s="452"/>
      <c r="J11" s="453"/>
      <c r="K11" s="453"/>
      <c r="L11" s="454"/>
    </row>
    <row r="12" spans="1:12" ht="25.15" customHeight="1">
      <c r="A12" s="467" t="str">
        <f>IF('10-08-01'!$B11="","",'10-08-01'!$B11)</f>
        <v/>
      </c>
      <c r="B12" s="468"/>
      <c r="C12" s="438" t="str">
        <f>IF(ISNA(INDEX(Schedule!$O:$O,MATCH($A12,Schedule!T:T,0))),"",INDEX(Schedule!$O:$O,MATCH($A12,Schedule!T:T,0)))</f>
        <v/>
      </c>
      <c r="D12" s="439"/>
      <c r="E12" s="438" t="str">
        <f>IF(ISNA(INDEX(Schedule!$V:$V,MATCH($A12,Schedule!T:T,0))),"",INDEX(Schedule!$V:$V,MATCH($A12,Schedule!T:T,0)))</f>
        <v/>
      </c>
      <c r="F12" s="440"/>
      <c r="G12" s="123"/>
      <c r="H12" s="192"/>
      <c r="I12" s="441"/>
      <c r="J12" s="442"/>
      <c r="K12" s="442"/>
      <c r="L12" s="443"/>
    </row>
    <row r="13" spans="1:12" ht="25.15" customHeight="1">
      <c r="A13" s="467" t="str">
        <f>IF('10-08-01'!$B12="","",'10-08-01'!$B12)</f>
        <v/>
      </c>
      <c r="B13" s="468"/>
      <c r="C13" s="438" t="str">
        <f>IF(ISNA(INDEX(Schedule!$O:$O,MATCH($A13,Schedule!T:T,0))),"",INDEX(Schedule!$O:$O,MATCH($A13,Schedule!T:T,0)))</f>
        <v/>
      </c>
      <c r="D13" s="439"/>
      <c r="E13" s="438" t="str">
        <f>IF(ISNA(INDEX(Schedule!$V:$V,MATCH($A13,Schedule!T:T,0))),"",INDEX(Schedule!$V:$V,MATCH($A13,Schedule!T:T,0)))</f>
        <v/>
      </c>
      <c r="F13" s="440"/>
      <c r="G13" s="123"/>
      <c r="H13" s="124"/>
      <c r="I13" s="441"/>
      <c r="J13" s="442"/>
      <c r="K13" s="442"/>
      <c r="L13" s="443"/>
    </row>
    <row r="14" spans="1:12" ht="25.15" customHeight="1">
      <c r="A14" s="467" t="str">
        <f>IF('10-08-01'!$B13="","",'10-08-01'!$B13)</f>
        <v/>
      </c>
      <c r="B14" s="468"/>
      <c r="C14" s="438" t="str">
        <f>IF(ISNA(INDEX(Schedule!$O:$O,MATCH($A14,Schedule!T:T,0))),"",INDEX(Schedule!$O:$O,MATCH($A14,Schedule!T:T,0)))</f>
        <v/>
      </c>
      <c r="D14" s="439"/>
      <c r="E14" s="438" t="str">
        <f>IF(ISNA(INDEX(Schedule!$V:$V,MATCH($A14,Schedule!T:T,0))),"",INDEX(Schedule!$V:$V,MATCH($A14,Schedule!T:T,0)))</f>
        <v/>
      </c>
      <c r="F14" s="440"/>
      <c r="G14" s="123"/>
      <c r="H14" s="192"/>
      <c r="I14" s="441"/>
      <c r="J14" s="442"/>
      <c r="K14" s="442"/>
      <c r="L14" s="443"/>
    </row>
    <row r="15" spans="1:12" ht="25.15" customHeight="1">
      <c r="A15" s="467" t="str">
        <f>IF('10-08-01'!$B14="","",'10-08-01'!$B14)</f>
        <v/>
      </c>
      <c r="B15" s="468"/>
      <c r="C15" s="438" t="str">
        <f>IF(ISNA(INDEX(Schedule!$O:$O,MATCH($A15,Schedule!T:T,0))),"",INDEX(Schedule!$O:$O,MATCH($A15,Schedule!T:T,0)))</f>
        <v/>
      </c>
      <c r="D15" s="439"/>
      <c r="E15" s="438" t="str">
        <f>IF(ISNA(INDEX(Schedule!$V:$V,MATCH($A15,Schedule!T:T,0))),"",INDEX(Schedule!$V:$V,MATCH($A15,Schedule!T:T,0)))</f>
        <v/>
      </c>
      <c r="F15" s="440"/>
      <c r="G15" s="123"/>
      <c r="H15" s="192"/>
      <c r="I15" s="441"/>
      <c r="J15" s="442"/>
      <c r="K15" s="442"/>
      <c r="L15" s="443"/>
    </row>
    <row r="16" spans="1:12" ht="25.15" customHeight="1">
      <c r="A16" s="467" t="str">
        <f>IF('10-08-01'!$B15="","",'10-08-01'!$B15)</f>
        <v/>
      </c>
      <c r="B16" s="468"/>
      <c r="C16" s="438" t="str">
        <f>IF(ISNA(INDEX(Schedule!$O:$O,MATCH($A16,Schedule!T:T,0))),"",INDEX(Schedule!$O:$O,MATCH($A16,Schedule!T:T,0)))</f>
        <v/>
      </c>
      <c r="D16" s="439"/>
      <c r="E16" s="438" t="str">
        <f>IF(ISNA(INDEX(Schedule!$V:$V,MATCH($A16,Schedule!T:T,0))),"",INDEX(Schedule!$V:$V,MATCH($A16,Schedule!T:T,0)))</f>
        <v/>
      </c>
      <c r="F16" s="440"/>
      <c r="G16" s="123"/>
      <c r="H16" s="192"/>
      <c r="I16" s="441"/>
      <c r="J16" s="442"/>
      <c r="K16" s="442"/>
      <c r="L16" s="443"/>
    </row>
    <row r="17" spans="1:12" ht="25.15" customHeight="1">
      <c r="A17" s="467" t="str">
        <f>IF('10-08-01'!$B16="","",'10-08-01'!$B16)</f>
        <v/>
      </c>
      <c r="B17" s="468"/>
      <c r="C17" s="438" t="str">
        <f>IF(ISNA(INDEX(Schedule!$O:$O,MATCH($A17,Schedule!T:T,0))),"",INDEX(Schedule!$O:$O,MATCH($A17,Schedule!T:T,0)))</f>
        <v/>
      </c>
      <c r="D17" s="439"/>
      <c r="E17" s="438" t="str">
        <f>IF(ISNA(INDEX(Schedule!$V:$V,MATCH($A17,Schedule!T:T,0))),"",INDEX(Schedule!$V:$V,MATCH($A17,Schedule!T:T,0)))</f>
        <v/>
      </c>
      <c r="F17" s="440"/>
      <c r="G17" s="123"/>
      <c r="H17" s="192"/>
      <c r="I17" s="441"/>
      <c r="J17" s="442"/>
      <c r="K17" s="442"/>
      <c r="L17" s="443"/>
    </row>
    <row r="18" spans="1:12" ht="25.15" customHeight="1">
      <c r="A18" s="467" t="str">
        <f>IF('10-08-01'!$H7="","",'10-08-01'!$H7)</f>
        <v/>
      </c>
      <c r="B18" s="468"/>
      <c r="C18" s="438" t="str">
        <f>IF(ISNA(INDEX(Schedule!$O:$O,MATCH($A18,Schedule!T:T,0))),"",INDEX(Schedule!$O:$O,MATCH($A18,Schedule!T:T,0)))</f>
        <v/>
      </c>
      <c r="D18" s="439"/>
      <c r="E18" s="438" t="str">
        <f>IF(ISNA(INDEX(Schedule!$V:$V,MATCH($A18,Schedule!T:T,0))),"",INDEX(Schedule!$V:$V,MATCH($A18,Schedule!T:T,0)))</f>
        <v/>
      </c>
      <c r="F18" s="440"/>
      <c r="G18" s="123"/>
      <c r="H18" s="192"/>
      <c r="I18" s="441"/>
      <c r="J18" s="442"/>
      <c r="K18" s="442"/>
      <c r="L18" s="443"/>
    </row>
    <row r="19" spans="1:12" ht="25.15" customHeight="1">
      <c r="A19" s="467" t="str">
        <f>IF('10-08-01'!$H8="","",'10-08-01'!$H8)</f>
        <v/>
      </c>
      <c r="B19" s="468"/>
      <c r="C19" s="438" t="str">
        <f>IF(ISNA(INDEX(Schedule!$O:$O,MATCH($A19,Schedule!T:T,0))),"",INDEX(Schedule!$O:$O,MATCH($A19,Schedule!T:T,0)))</f>
        <v/>
      </c>
      <c r="D19" s="439"/>
      <c r="E19" s="438" t="str">
        <f>IF(ISNA(INDEX(Schedule!$V:$V,MATCH($A19,Schedule!T:T,0))),"",INDEX(Schedule!$V:$V,MATCH($A19,Schedule!T:T,0)))</f>
        <v/>
      </c>
      <c r="F19" s="440"/>
      <c r="G19" s="123"/>
      <c r="H19" s="192"/>
      <c r="I19" s="441"/>
      <c r="J19" s="442"/>
      <c r="K19" s="442"/>
      <c r="L19" s="443"/>
    </row>
    <row r="20" spans="1:12" ht="25.15" customHeight="1">
      <c r="A20" s="467" t="str">
        <f>IF('10-08-01'!$H9="","",'10-08-01'!$H9)</f>
        <v/>
      </c>
      <c r="B20" s="468"/>
      <c r="C20" s="438" t="str">
        <f>IF(ISNA(INDEX(Schedule!$O:$O,MATCH($A20,Schedule!T:T,0))),"",INDEX(Schedule!$O:$O,MATCH($A20,Schedule!T:T,0)))</f>
        <v/>
      </c>
      <c r="D20" s="439"/>
      <c r="E20" s="438" t="str">
        <f>IF(ISNA(INDEX(Schedule!$V:$V,MATCH($A20,Schedule!T:T,0))),"",INDEX(Schedule!$V:$V,MATCH($A20,Schedule!T:T,0)))</f>
        <v/>
      </c>
      <c r="F20" s="440"/>
      <c r="G20" s="123"/>
      <c r="H20" s="192"/>
      <c r="I20" s="441"/>
      <c r="J20" s="442"/>
      <c r="K20" s="442"/>
      <c r="L20" s="443"/>
    </row>
    <row r="21" spans="1:12" ht="25.15" customHeight="1">
      <c r="A21" s="467" t="str">
        <f>IF('10-08-01'!$H10="","",'10-08-01'!$H10)</f>
        <v/>
      </c>
      <c r="B21" s="468"/>
      <c r="C21" s="438" t="str">
        <f>IF(ISNA(INDEX(Schedule!$O:$O,MATCH($A21,Schedule!T:T,0))),"",INDEX(Schedule!$O:$O,MATCH($A21,Schedule!T:T,0)))</f>
        <v/>
      </c>
      <c r="D21" s="439"/>
      <c r="E21" s="438" t="str">
        <f>IF(ISNA(INDEX(Schedule!$V:$V,MATCH($A21,Schedule!T:T,0))),"",INDEX(Schedule!$V:$V,MATCH($A21,Schedule!T:T,0)))</f>
        <v/>
      </c>
      <c r="F21" s="440"/>
      <c r="G21" s="123"/>
      <c r="H21" s="192"/>
      <c r="I21" s="441"/>
      <c r="J21" s="442"/>
      <c r="K21" s="442"/>
      <c r="L21" s="443"/>
    </row>
    <row r="22" spans="1:12" ht="25.15" customHeight="1">
      <c r="A22" s="467" t="str">
        <f>IF('10-08-01'!$H11="","",'10-08-01'!$H11)</f>
        <v/>
      </c>
      <c r="B22" s="468"/>
      <c r="C22" s="438" t="str">
        <f>IF(ISNA(INDEX(Schedule!$O:$O,MATCH($A22,Schedule!T:T,0))),"",INDEX(Schedule!$O:$O,MATCH($A22,Schedule!T:T,0)))</f>
        <v/>
      </c>
      <c r="D22" s="439"/>
      <c r="E22" s="438" t="str">
        <f>IF(ISNA(INDEX(Schedule!$V:$V,MATCH($A22,Schedule!T:T,0))),"",INDEX(Schedule!$V:$V,MATCH($A22,Schedule!T:T,0)))</f>
        <v/>
      </c>
      <c r="F22" s="440"/>
      <c r="G22" s="123"/>
      <c r="H22" s="192"/>
      <c r="I22" s="441"/>
      <c r="J22" s="442"/>
      <c r="K22" s="442"/>
      <c r="L22" s="443"/>
    </row>
    <row r="23" spans="1:12" ht="25.15" customHeight="1">
      <c r="A23" s="467" t="str">
        <f>IF('10-08-01'!$H12="","",'10-08-01'!$H12)</f>
        <v/>
      </c>
      <c r="B23" s="468"/>
      <c r="C23" s="438" t="str">
        <f>IF(ISNA(INDEX(Schedule!$O:$O,MATCH($A23,Schedule!T:T,0))),"",INDEX(Schedule!$O:$O,MATCH($A23,Schedule!T:T,0)))</f>
        <v/>
      </c>
      <c r="D23" s="439"/>
      <c r="E23" s="438" t="str">
        <f>IF(ISNA(INDEX(Schedule!$V:$V,MATCH($A23,Schedule!T:T,0))),"",INDEX(Schedule!$V:$V,MATCH($A23,Schedule!T:T,0)))</f>
        <v/>
      </c>
      <c r="F23" s="440"/>
      <c r="G23" s="123"/>
      <c r="H23" s="192"/>
      <c r="I23" s="441"/>
      <c r="J23" s="442"/>
      <c r="K23" s="442"/>
      <c r="L23" s="443"/>
    </row>
    <row r="24" spans="1:12" ht="25.15" customHeight="1">
      <c r="A24" s="467" t="str">
        <f>IF('10-08-01'!$H13="","",'10-08-01'!$H13)</f>
        <v/>
      </c>
      <c r="B24" s="468"/>
      <c r="C24" s="438" t="str">
        <f>IF(ISNA(INDEX(Schedule!$O:$O,MATCH($A24,Schedule!T:T,0))),"",INDEX(Schedule!$O:$O,MATCH($A24,Schedule!T:T,0)))</f>
        <v/>
      </c>
      <c r="D24" s="439"/>
      <c r="E24" s="438" t="str">
        <f>IF(ISNA(INDEX(Schedule!$V:$V,MATCH($A24,Schedule!T:T,0))),"",INDEX(Schedule!$V:$V,MATCH($A24,Schedule!T:T,0)))</f>
        <v/>
      </c>
      <c r="F24" s="440"/>
      <c r="G24" s="123"/>
      <c r="H24" s="192"/>
      <c r="I24" s="441"/>
      <c r="J24" s="442"/>
      <c r="K24" s="442"/>
      <c r="L24" s="443"/>
    </row>
    <row r="25" spans="1:12" ht="25.15" customHeight="1">
      <c r="A25" s="467" t="str">
        <f>IF('10-08-01'!$H14="","",'10-08-01'!$H14)</f>
        <v/>
      </c>
      <c r="B25" s="468"/>
      <c r="C25" s="438" t="str">
        <f>IF(ISNA(INDEX(Schedule!$O:$O,MATCH($A25,Schedule!T:T,0))),"",INDEX(Schedule!$O:$O,MATCH($A25,Schedule!T:T,0)))</f>
        <v/>
      </c>
      <c r="D25" s="439"/>
      <c r="E25" s="438" t="str">
        <f>IF(ISNA(INDEX(Schedule!$V:$V,MATCH($A25,Schedule!T:T,0))),"",INDEX(Schedule!$V:$V,MATCH($A25,Schedule!T:T,0)))</f>
        <v/>
      </c>
      <c r="F25" s="440"/>
      <c r="G25" s="123"/>
      <c r="H25" s="192"/>
      <c r="I25" s="441"/>
      <c r="J25" s="442"/>
      <c r="K25" s="442"/>
      <c r="L25" s="443"/>
    </row>
    <row r="26" spans="1:12" ht="25.15" customHeight="1">
      <c r="A26" s="467" t="str">
        <f>IF('10-08-01'!$H15="","",'10-08-01'!$H15)</f>
        <v/>
      </c>
      <c r="B26" s="468"/>
      <c r="C26" s="438" t="str">
        <f>IF(ISNA(INDEX(Schedule!$O:$O,MATCH($A26,Schedule!T:T,0))),"",INDEX(Schedule!$O:$O,MATCH($A26,Schedule!T:T,0)))</f>
        <v/>
      </c>
      <c r="D26" s="439"/>
      <c r="E26" s="438" t="str">
        <f>IF(ISNA(INDEX(Schedule!$V:$V,MATCH($A26,Schedule!T:T,0))),"",INDEX(Schedule!$V:$V,MATCH($A26,Schedule!T:T,0)))</f>
        <v/>
      </c>
      <c r="F26" s="440"/>
      <c r="G26" s="123"/>
      <c r="H26" s="192"/>
      <c r="I26" s="441"/>
      <c r="J26" s="442"/>
      <c r="K26" s="442"/>
      <c r="L26" s="443"/>
    </row>
    <row r="27" spans="1:12" ht="25.15" customHeight="1" thickBot="1">
      <c r="A27" s="436" t="str">
        <f>IF('10-08-01'!$H16="","",'10-08-01'!$H16)</f>
        <v/>
      </c>
      <c r="B27" s="437"/>
      <c r="C27" s="444" t="str">
        <f>IF(ISNA(INDEX(Schedule!$O:$O,MATCH($A27,Schedule!T:T,0))),"",INDEX(Schedule!$O:$O,MATCH($A27,Schedule!T:T,0)))</f>
        <v/>
      </c>
      <c r="D27" s="445"/>
      <c r="E27" s="444" t="str">
        <f>IF(ISNA(INDEX(Schedule!$V:$V,MATCH($A27,Schedule!T:T,0))),"",INDEX(Schedule!$V:$V,MATCH($A27,Schedule!T:T,0)))</f>
        <v/>
      </c>
      <c r="F27" s="446"/>
      <c r="G27" s="123"/>
      <c r="H27" s="193"/>
      <c r="I27" s="447"/>
      <c r="J27" s="448"/>
      <c r="K27" s="448"/>
      <c r="L27" s="449"/>
    </row>
    <row r="28" spans="1:12" ht="13.5" thickBot="1">
      <c r="A28" s="430"/>
      <c r="B28" s="431"/>
      <c r="C28" s="431"/>
      <c r="D28" s="431"/>
      <c r="E28" s="431"/>
      <c r="F28" s="431"/>
      <c r="G28" s="431"/>
      <c r="H28" s="431"/>
      <c r="I28" s="431"/>
      <c r="J28" s="431"/>
      <c r="K28" s="431"/>
      <c r="L28" s="432"/>
    </row>
    <row r="29" spans="1:12" ht="10.15" customHeight="1">
      <c r="A29" s="194"/>
      <c r="B29" s="194"/>
    </row>
    <row r="30" spans="1:12">
      <c r="A30" s="125" t="s">
        <v>12</v>
      </c>
      <c r="B30" s="126" t="s">
        <v>118</v>
      </c>
      <c r="C30" s="127"/>
      <c r="D30" s="127"/>
      <c r="E30" s="127"/>
      <c r="F30" s="127"/>
      <c r="G30" s="127"/>
      <c r="H30" s="127"/>
      <c r="I30" s="127"/>
      <c r="J30" s="127"/>
      <c r="K30" s="127"/>
      <c r="L30" s="128" t="s">
        <v>119</v>
      </c>
    </row>
    <row r="31" spans="1:12" ht="10.15" customHeight="1">
      <c r="A31" s="125"/>
      <c r="B31" s="125"/>
      <c r="C31" s="127"/>
      <c r="D31" s="127"/>
      <c r="E31" s="127"/>
      <c r="F31" s="127"/>
      <c r="G31" s="127"/>
      <c r="H31" s="127"/>
      <c r="I31" s="127"/>
      <c r="J31" s="127"/>
      <c r="K31" s="127"/>
      <c r="L31" s="128"/>
    </row>
    <row r="32" spans="1:12" ht="15">
      <c r="A32" s="433" t="s">
        <v>120</v>
      </c>
      <c r="B32" s="433"/>
      <c r="C32" s="434"/>
      <c r="D32" s="434"/>
      <c r="E32" s="434"/>
      <c r="F32" s="434"/>
      <c r="G32" s="434"/>
      <c r="H32" s="434"/>
    </row>
    <row r="33" spans="1:12">
      <c r="A33" s="194"/>
      <c r="B33" s="194"/>
      <c r="C33" s="435" t="s">
        <v>121</v>
      </c>
      <c r="D33" s="435"/>
      <c r="E33" s="435"/>
      <c r="F33" s="435"/>
      <c r="G33" s="435"/>
      <c r="H33" s="435"/>
    </row>
    <row r="34" spans="1:12">
      <c r="A34" s="129" t="s">
        <v>122</v>
      </c>
      <c r="B34" s="194"/>
    </row>
    <row r="35" spans="1:12" s="159" customFormat="1" ht="59.25">
      <c r="A35" s="465" t="s">
        <v>18</v>
      </c>
      <c r="B35" s="465"/>
      <c r="C35" s="465"/>
      <c r="D35" s="191"/>
      <c r="E35" s="191"/>
      <c r="F35" s="191"/>
      <c r="G35" s="191"/>
      <c r="H35" s="191"/>
      <c r="I35" s="191"/>
      <c r="J35" s="191"/>
      <c r="K35" s="191"/>
      <c r="L35" s="191"/>
    </row>
    <row r="36" spans="1:12" s="159" customFormat="1" ht="25.15" customHeight="1">
      <c r="A36" s="466" t="s">
        <v>43</v>
      </c>
      <c r="B36" s="466"/>
      <c r="C36" s="466"/>
      <c r="D36" s="466"/>
      <c r="E36" s="466"/>
      <c r="F36" s="466"/>
      <c r="G36" s="466"/>
      <c r="H36" s="466"/>
      <c r="I36" s="466"/>
      <c r="J36" s="466"/>
      <c r="K36" s="466"/>
      <c r="L36" s="466"/>
    </row>
    <row r="37" spans="1:12" s="159" customFormat="1">
      <c r="A37" s="117"/>
      <c r="B37" s="194"/>
      <c r="C37" s="191"/>
      <c r="D37" s="191"/>
      <c r="E37" s="191"/>
      <c r="F37" s="191"/>
      <c r="G37" s="191"/>
      <c r="H37" s="191"/>
      <c r="I37" s="191"/>
      <c r="J37" s="191"/>
      <c r="K37" s="191"/>
      <c r="L37" s="191"/>
    </row>
    <row r="38" spans="1:12" s="159" customFormat="1" ht="22.15" customHeight="1">
      <c r="A38" s="194"/>
      <c r="B38" s="194"/>
      <c r="C38" s="191"/>
      <c r="D38" s="191"/>
      <c r="E38" s="191"/>
      <c r="F38" s="455" t="s">
        <v>109</v>
      </c>
      <c r="G38" s="455"/>
      <c r="H38" s="156" t="str">
        <f>H4</f>
        <v>E12345</v>
      </c>
      <c r="I38" s="83"/>
      <c r="J38" s="191"/>
      <c r="K38" s="191"/>
      <c r="L38" s="191"/>
    </row>
    <row r="39" spans="1:12" s="159" customFormat="1" ht="15.75" thickBot="1">
      <c r="A39" s="118"/>
      <c r="B39" s="119"/>
      <c r="C39" s="191"/>
      <c r="D39" s="191"/>
      <c r="E39" s="191"/>
      <c r="F39" s="191"/>
      <c r="G39" s="191"/>
      <c r="H39" s="191"/>
      <c r="I39" s="191"/>
      <c r="J39" s="191"/>
      <c r="K39" s="191"/>
      <c r="L39" s="191"/>
    </row>
    <row r="40" spans="1:12" s="159" customFormat="1" ht="18.75">
      <c r="A40" s="456" t="s">
        <v>110</v>
      </c>
      <c r="B40" s="457"/>
      <c r="C40" s="457"/>
      <c r="D40" s="457"/>
      <c r="E40" s="457"/>
      <c r="F40" s="458"/>
      <c r="G40" s="456" t="s">
        <v>111</v>
      </c>
      <c r="H40" s="457"/>
      <c r="I40" s="457"/>
      <c r="J40" s="457"/>
      <c r="K40" s="457"/>
      <c r="L40" s="458"/>
    </row>
    <row r="41" spans="1:12" s="159" customFormat="1" ht="48" customHeight="1">
      <c r="A41" s="459" t="s">
        <v>112</v>
      </c>
      <c r="B41" s="460"/>
      <c r="C41" s="461" t="s">
        <v>113</v>
      </c>
      <c r="D41" s="461"/>
      <c r="E41" s="461" t="s">
        <v>114</v>
      </c>
      <c r="F41" s="462"/>
      <c r="G41" s="120" t="s">
        <v>115</v>
      </c>
      <c r="H41" s="121" t="s">
        <v>116</v>
      </c>
      <c r="I41" s="463" t="s">
        <v>117</v>
      </c>
      <c r="J41" s="463"/>
      <c r="K41" s="463"/>
      <c r="L41" s="464"/>
    </row>
    <row r="42" spans="1:12" s="159" customFormat="1" ht="25.15" customHeight="1" thickBot="1">
      <c r="A42" s="436" t="str">
        <f>IF('10-08-01'!$B57="","",'10-08-01'!$B57)</f>
        <v/>
      </c>
      <c r="B42" s="437"/>
      <c r="C42" s="438" t="str">
        <f>IF(ISNA(INDEX(Schedule!$O:$O,MATCH($A42,Schedule!T:T,0))),"",INDEX(Schedule!$O:$O,MATCH($A42,Schedule!T:T,0)))</f>
        <v/>
      </c>
      <c r="D42" s="439"/>
      <c r="E42" s="438" t="str">
        <f>IF(ISNA(INDEX(Schedule!$V:$V,MATCH($A42,Schedule!T:T,0))),"",INDEX(Schedule!$V:$V,MATCH($A42,Schedule!T:T,0)))</f>
        <v/>
      </c>
      <c r="F42" s="440"/>
      <c r="G42" s="122"/>
      <c r="H42" s="192"/>
      <c r="I42" s="441"/>
      <c r="J42" s="442"/>
      <c r="K42" s="442"/>
      <c r="L42" s="443"/>
    </row>
    <row r="43" spans="1:12" s="159" customFormat="1" ht="25.15" customHeight="1" thickBot="1">
      <c r="A43" s="436" t="str">
        <f>IF('10-08-01'!$B58="","",'10-08-01'!$B58)</f>
        <v/>
      </c>
      <c r="B43" s="437"/>
      <c r="C43" s="438" t="str">
        <f>IF(ISNA(INDEX(Schedule!$O:$O,MATCH($A43,Schedule!T:T,0))),"",INDEX(Schedule!$O:$O,MATCH($A43,Schedule!T:T,0)))</f>
        <v/>
      </c>
      <c r="D43" s="439"/>
      <c r="E43" s="438" t="str">
        <f>IF(ISNA(INDEX(Schedule!$V:$V,MATCH($A43,Schedule!T:T,0))),"",INDEX(Schedule!$V:$V,MATCH($A43,Schedule!T:T,0)))</f>
        <v/>
      </c>
      <c r="F43" s="440"/>
      <c r="G43" s="123"/>
      <c r="H43" s="192"/>
      <c r="I43" s="441"/>
      <c r="J43" s="442"/>
      <c r="K43" s="442"/>
      <c r="L43" s="443"/>
    </row>
    <row r="44" spans="1:12" s="159" customFormat="1" ht="25.15" customHeight="1" thickBot="1">
      <c r="A44" s="436" t="str">
        <f>IF('10-08-01'!$B59="","",'10-08-01'!$B59)</f>
        <v/>
      </c>
      <c r="B44" s="437"/>
      <c r="C44" s="438" t="str">
        <f>IF(ISNA(INDEX(Schedule!$O:$O,MATCH($A44,Schedule!T:T,0))),"",INDEX(Schedule!$O:$O,MATCH($A44,Schedule!T:T,0)))</f>
        <v/>
      </c>
      <c r="D44" s="439"/>
      <c r="E44" s="438" t="str">
        <f>IF(ISNA(INDEX(Schedule!$V:$V,MATCH($A44,Schedule!T:T,0))),"",INDEX(Schedule!$V:$V,MATCH($A44,Schedule!T:T,0)))</f>
        <v/>
      </c>
      <c r="F44" s="440"/>
      <c r="G44" s="123"/>
      <c r="H44" s="192"/>
      <c r="I44" s="441"/>
      <c r="J44" s="442"/>
      <c r="K44" s="442"/>
      <c r="L44" s="443"/>
    </row>
    <row r="45" spans="1:12" s="159" customFormat="1" ht="25.15" customHeight="1" thickBot="1">
      <c r="A45" s="436" t="str">
        <f>IF('10-08-01'!$B60="","",'10-08-01'!$B60)</f>
        <v/>
      </c>
      <c r="B45" s="437"/>
      <c r="C45" s="438" t="str">
        <f>IF(ISNA(INDEX(Schedule!$O:$O,MATCH($A45,Schedule!T:T,0))),"",INDEX(Schedule!$O:$O,MATCH($A45,Schedule!T:T,0)))</f>
        <v/>
      </c>
      <c r="D45" s="439"/>
      <c r="E45" s="438" t="str">
        <f>IF(ISNA(INDEX(Schedule!$V:$V,MATCH($A45,Schedule!T:T,0))),"",INDEX(Schedule!$V:$V,MATCH($A45,Schedule!T:T,0)))</f>
        <v/>
      </c>
      <c r="F45" s="440"/>
      <c r="G45" s="123"/>
      <c r="H45" s="192"/>
      <c r="I45" s="452"/>
      <c r="J45" s="453"/>
      <c r="K45" s="453"/>
      <c r="L45" s="454"/>
    </row>
    <row r="46" spans="1:12" s="159" customFormat="1" ht="25.15" customHeight="1" thickBot="1">
      <c r="A46" s="436" t="str">
        <f>IF('10-08-01'!$B61="","",'10-08-01'!$B61)</f>
        <v/>
      </c>
      <c r="B46" s="437"/>
      <c r="C46" s="438" t="str">
        <f>IF(ISNA(INDEX(Schedule!$O:$O,MATCH($A46,Schedule!T:T,0))),"",INDEX(Schedule!$O:$O,MATCH($A46,Schedule!T:T,0)))</f>
        <v/>
      </c>
      <c r="D46" s="439"/>
      <c r="E46" s="438" t="str">
        <f>IF(ISNA(INDEX(Schedule!$V:$V,MATCH($A46,Schedule!T:T,0))),"",INDEX(Schedule!$V:$V,MATCH($A46,Schedule!T:T,0)))</f>
        <v/>
      </c>
      <c r="F46" s="440"/>
      <c r="G46" s="123"/>
      <c r="H46" s="192"/>
      <c r="I46" s="441"/>
      <c r="J46" s="442"/>
      <c r="K46" s="442"/>
      <c r="L46" s="443"/>
    </row>
    <row r="47" spans="1:12" s="159" customFormat="1" ht="25.15" customHeight="1" thickBot="1">
      <c r="A47" s="436" t="str">
        <f>IF('10-08-01'!$B62="","",'10-08-01'!$B62)</f>
        <v/>
      </c>
      <c r="B47" s="437"/>
      <c r="C47" s="438" t="str">
        <f>IF(ISNA(INDEX(Schedule!$O:$O,MATCH($A47,Schedule!T:T,0))),"",INDEX(Schedule!$O:$O,MATCH($A47,Schedule!T:T,0)))</f>
        <v/>
      </c>
      <c r="D47" s="439"/>
      <c r="E47" s="438" t="str">
        <f>IF(ISNA(INDEX(Schedule!$V:$V,MATCH($A47,Schedule!T:T,0))),"",INDEX(Schedule!$V:$V,MATCH($A47,Schedule!T:T,0)))</f>
        <v/>
      </c>
      <c r="F47" s="440"/>
      <c r="G47" s="123"/>
      <c r="H47" s="124"/>
      <c r="I47" s="441"/>
      <c r="J47" s="442"/>
      <c r="K47" s="442"/>
      <c r="L47" s="443"/>
    </row>
    <row r="48" spans="1:12" s="159" customFormat="1" ht="25.15" customHeight="1" thickBot="1">
      <c r="A48" s="436" t="str">
        <f>IF('10-08-01'!$B63="","",'10-08-01'!$B63)</f>
        <v/>
      </c>
      <c r="B48" s="437"/>
      <c r="C48" s="438" t="str">
        <f>IF(ISNA(INDEX(Schedule!$O:$O,MATCH($A48,Schedule!T:T,0))),"",INDEX(Schedule!$O:$O,MATCH($A48,Schedule!T:T,0)))</f>
        <v/>
      </c>
      <c r="D48" s="439"/>
      <c r="E48" s="438" t="str">
        <f>IF(ISNA(INDEX(Schedule!$V:$V,MATCH($A48,Schedule!T:T,0))),"",INDEX(Schedule!$V:$V,MATCH($A48,Schedule!T:T,0)))</f>
        <v/>
      </c>
      <c r="F48" s="440"/>
      <c r="G48" s="123"/>
      <c r="H48" s="192"/>
      <c r="I48" s="441"/>
      <c r="J48" s="442"/>
      <c r="K48" s="442"/>
      <c r="L48" s="443"/>
    </row>
    <row r="49" spans="1:12" s="159" customFormat="1" ht="25.15" customHeight="1" thickBot="1">
      <c r="A49" s="436" t="str">
        <f>IF('10-08-01'!$B64="","",'10-08-01'!$B64)</f>
        <v/>
      </c>
      <c r="B49" s="437"/>
      <c r="C49" s="438" t="str">
        <f>IF(ISNA(INDEX(Schedule!$O:$O,MATCH($A49,Schedule!T:T,0))),"",INDEX(Schedule!$O:$O,MATCH($A49,Schedule!T:T,0)))</f>
        <v/>
      </c>
      <c r="D49" s="439"/>
      <c r="E49" s="438" t="str">
        <f>IF(ISNA(INDEX(Schedule!$V:$V,MATCH($A49,Schedule!T:T,0))),"",INDEX(Schedule!$V:$V,MATCH($A49,Schedule!T:T,0)))</f>
        <v/>
      </c>
      <c r="F49" s="440"/>
      <c r="G49" s="123"/>
      <c r="H49" s="192"/>
      <c r="I49" s="441"/>
      <c r="J49" s="442"/>
      <c r="K49" s="442"/>
      <c r="L49" s="443"/>
    </row>
    <row r="50" spans="1:12" s="159" customFormat="1" ht="25.15" customHeight="1" thickBot="1">
      <c r="A50" s="436" t="str">
        <f>IF('10-08-01'!$B65="","",'10-08-01'!$B65)</f>
        <v/>
      </c>
      <c r="B50" s="437"/>
      <c r="C50" s="438" t="str">
        <f>IF(ISNA(INDEX(Schedule!$O:$O,MATCH($A50,Schedule!T:T,0))),"",INDEX(Schedule!$O:$O,MATCH($A50,Schedule!T:T,0)))</f>
        <v/>
      </c>
      <c r="D50" s="439"/>
      <c r="E50" s="438" t="str">
        <f>IF(ISNA(INDEX(Schedule!$V:$V,MATCH($A50,Schedule!T:T,0))),"",INDEX(Schedule!$V:$V,MATCH($A50,Schedule!T:T,0)))</f>
        <v/>
      </c>
      <c r="F50" s="440"/>
      <c r="G50" s="123"/>
      <c r="H50" s="192"/>
      <c r="I50" s="441"/>
      <c r="J50" s="442"/>
      <c r="K50" s="442"/>
      <c r="L50" s="443"/>
    </row>
    <row r="51" spans="1:12" s="159" customFormat="1" ht="25.15" customHeight="1" thickBot="1">
      <c r="A51" s="436" t="str">
        <f>IF('10-08-01'!$B66="","",'10-08-01'!$B66)</f>
        <v/>
      </c>
      <c r="B51" s="437"/>
      <c r="C51" s="438" t="str">
        <f>IF(ISNA(INDEX(Schedule!$O:$O,MATCH($A51,Schedule!T:T,0))),"",INDEX(Schedule!$O:$O,MATCH($A51,Schedule!T:T,0)))</f>
        <v/>
      </c>
      <c r="D51" s="439"/>
      <c r="E51" s="438" t="str">
        <f>IF(ISNA(INDEX(Schedule!$V:$V,MATCH($A51,Schedule!T:T,0))),"",INDEX(Schedule!$V:$V,MATCH($A51,Schedule!T:T,0)))</f>
        <v/>
      </c>
      <c r="F51" s="440"/>
      <c r="G51" s="123"/>
      <c r="H51" s="192"/>
      <c r="I51" s="441"/>
      <c r="J51" s="442"/>
      <c r="K51" s="442"/>
      <c r="L51" s="443"/>
    </row>
    <row r="52" spans="1:12" s="159" customFormat="1" ht="25.15" customHeight="1" thickBot="1">
      <c r="A52" s="436" t="str">
        <f>IF('10-08-01'!$H57="","",'10-08-01'!$H57)</f>
        <v/>
      </c>
      <c r="B52" s="437"/>
      <c r="C52" s="438" t="str">
        <f>IF(ISNA(INDEX(Schedule!$O:$O,MATCH($A52,Schedule!T:T,0))),"",INDEX(Schedule!$O:$O,MATCH($A52,Schedule!T:T,0)))</f>
        <v/>
      </c>
      <c r="D52" s="439"/>
      <c r="E52" s="438" t="str">
        <f>IF(ISNA(INDEX(Schedule!$V:$V,MATCH($A52,Schedule!T:T,0))),"",INDEX(Schedule!$V:$V,MATCH($A52,Schedule!T:T,0)))</f>
        <v/>
      </c>
      <c r="F52" s="440"/>
      <c r="G52" s="123"/>
      <c r="H52" s="192"/>
      <c r="I52" s="441"/>
      <c r="J52" s="442"/>
      <c r="K52" s="442"/>
      <c r="L52" s="443"/>
    </row>
    <row r="53" spans="1:12" s="159" customFormat="1" ht="25.15" customHeight="1" thickBot="1">
      <c r="A53" s="436" t="str">
        <f>IF('10-08-01'!$H58="","",'10-08-01'!$H58)</f>
        <v/>
      </c>
      <c r="B53" s="437"/>
      <c r="C53" s="438" t="str">
        <f>IF(ISNA(INDEX(Schedule!$O:$O,MATCH($A53,Schedule!T:T,0))),"",INDEX(Schedule!$O:$O,MATCH($A53,Schedule!T:T,0)))</f>
        <v/>
      </c>
      <c r="D53" s="439"/>
      <c r="E53" s="438" t="str">
        <f>IF(ISNA(INDEX(Schedule!$V:$V,MATCH($A53,Schedule!T:T,0))),"",INDEX(Schedule!$V:$V,MATCH($A53,Schedule!T:T,0)))</f>
        <v/>
      </c>
      <c r="F53" s="440"/>
      <c r="G53" s="123"/>
      <c r="H53" s="192"/>
      <c r="I53" s="441"/>
      <c r="J53" s="442"/>
      <c r="K53" s="442"/>
      <c r="L53" s="443"/>
    </row>
    <row r="54" spans="1:12" s="159" customFormat="1" ht="25.15" customHeight="1" thickBot="1">
      <c r="A54" s="436" t="str">
        <f>IF('10-08-01'!$H59="","",'10-08-01'!$H59)</f>
        <v/>
      </c>
      <c r="B54" s="437"/>
      <c r="C54" s="438" t="str">
        <f>IF(ISNA(INDEX(Schedule!$O:$O,MATCH($A54,Schedule!T:T,0))),"",INDEX(Schedule!$O:$O,MATCH($A54,Schedule!T:T,0)))</f>
        <v/>
      </c>
      <c r="D54" s="439"/>
      <c r="E54" s="438" t="str">
        <f>IF(ISNA(INDEX(Schedule!$V:$V,MATCH($A54,Schedule!T:T,0))),"",INDEX(Schedule!$V:$V,MATCH($A54,Schedule!T:T,0)))</f>
        <v/>
      </c>
      <c r="F54" s="440"/>
      <c r="G54" s="123"/>
      <c r="H54" s="192"/>
      <c r="I54" s="441"/>
      <c r="J54" s="442"/>
      <c r="K54" s="442"/>
      <c r="L54" s="443"/>
    </row>
    <row r="55" spans="1:12" s="159" customFormat="1" ht="25.15" customHeight="1" thickBot="1">
      <c r="A55" s="436" t="str">
        <f>IF('10-08-01'!$H60="","",'10-08-01'!$H60)</f>
        <v/>
      </c>
      <c r="B55" s="437"/>
      <c r="C55" s="438" t="str">
        <f>IF(ISNA(INDEX(Schedule!$O:$O,MATCH($A55,Schedule!T:T,0))),"",INDEX(Schedule!$O:$O,MATCH($A55,Schedule!T:T,0)))</f>
        <v/>
      </c>
      <c r="D55" s="439"/>
      <c r="E55" s="438" t="str">
        <f>IF(ISNA(INDEX(Schedule!$V:$V,MATCH($A55,Schedule!T:T,0))),"",INDEX(Schedule!$V:$V,MATCH($A55,Schedule!T:T,0)))</f>
        <v/>
      </c>
      <c r="F55" s="440"/>
      <c r="G55" s="123"/>
      <c r="H55" s="192"/>
      <c r="I55" s="441"/>
      <c r="J55" s="442"/>
      <c r="K55" s="442"/>
      <c r="L55" s="443"/>
    </row>
    <row r="56" spans="1:12" s="159" customFormat="1" ht="25.15" customHeight="1" thickBot="1">
      <c r="A56" s="436" t="str">
        <f>IF('10-08-01'!$H61="","",'10-08-01'!$H61)</f>
        <v/>
      </c>
      <c r="B56" s="437"/>
      <c r="C56" s="438" t="str">
        <f>IF(ISNA(INDEX(Schedule!$O:$O,MATCH($A56,Schedule!T:T,0))),"",INDEX(Schedule!$O:$O,MATCH($A56,Schedule!T:T,0)))</f>
        <v/>
      </c>
      <c r="D56" s="439"/>
      <c r="E56" s="438" t="str">
        <f>IF(ISNA(INDEX(Schedule!$V:$V,MATCH($A56,Schedule!T:T,0))),"",INDEX(Schedule!$V:$V,MATCH($A56,Schedule!T:T,0)))</f>
        <v/>
      </c>
      <c r="F56" s="440"/>
      <c r="G56" s="123"/>
      <c r="H56" s="192"/>
      <c r="I56" s="441"/>
      <c r="J56" s="442"/>
      <c r="K56" s="442"/>
      <c r="L56" s="443"/>
    </row>
    <row r="57" spans="1:12" s="159" customFormat="1" ht="25.15" customHeight="1" thickBot="1">
      <c r="A57" s="436" t="str">
        <f>IF('10-08-01'!$H62="","",'10-08-01'!$H62)</f>
        <v/>
      </c>
      <c r="B57" s="437"/>
      <c r="C57" s="438" t="str">
        <f>IF(ISNA(INDEX(Schedule!$O:$O,MATCH($A57,Schedule!T:T,0))),"",INDEX(Schedule!$O:$O,MATCH($A57,Schedule!T:T,0)))</f>
        <v/>
      </c>
      <c r="D57" s="439"/>
      <c r="E57" s="438" t="str">
        <f>IF(ISNA(INDEX(Schedule!$V:$V,MATCH($A57,Schedule!T:T,0))),"",INDEX(Schedule!$V:$V,MATCH($A57,Schedule!T:T,0)))</f>
        <v/>
      </c>
      <c r="F57" s="440"/>
      <c r="G57" s="123"/>
      <c r="H57" s="192"/>
      <c r="I57" s="441"/>
      <c r="J57" s="442"/>
      <c r="K57" s="442"/>
      <c r="L57" s="443"/>
    </row>
    <row r="58" spans="1:12" s="159" customFormat="1" ht="25.15" customHeight="1" thickBot="1">
      <c r="A58" s="436" t="str">
        <f>IF('10-08-01'!$H63="","",'10-08-01'!$H63)</f>
        <v/>
      </c>
      <c r="B58" s="437"/>
      <c r="C58" s="438" t="str">
        <f>IF(ISNA(INDEX(Schedule!$O:$O,MATCH($A58,Schedule!T:T,0))),"",INDEX(Schedule!$O:$O,MATCH($A58,Schedule!T:T,0)))</f>
        <v/>
      </c>
      <c r="D58" s="439"/>
      <c r="E58" s="438" t="str">
        <f>IF(ISNA(INDEX(Schedule!$V:$V,MATCH($A58,Schedule!T:T,0))),"",INDEX(Schedule!$V:$V,MATCH($A58,Schedule!T:T,0)))</f>
        <v/>
      </c>
      <c r="F58" s="440"/>
      <c r="G58" s="123"/>
      <c r="H58" s="192"/>
      <c r="I58" s="441"/>
      <c r="J58" s="442"/>
      <c r="K58" s="442"/>
      <c r="L58" s="443"/>
    </row>
    <row r="59" spans="1:12" s="159" customFormat="1" ht="25.15" customHeight="1" thickBot="1">
      <c r="A59" s="436" t="str">
        <f>IF('10-08-01'!$H64="","",'10-08-01'!$H64)</f>
        <v/>
      </c>
      <c r="B59" s="437"/>
      <c r="C59" s="438" t="str">
        <f>IF(ISNA(INDEX(Schedule!$O:$O,MATCH($A59,Schedule!T:T,0))),"",INDEX(Schedule!$O:$O,MATCH($A59,Schedule!T:T,0)))</f>
        <v/>
      </c>
      <c r="D59" s="439"/>
      <c r="E59" s="438" t="str">
        <f>IF(ISNA(INDEX(Schedule!$V:$V,MATCH($A59,Schedule!T:T,0))),"",INDEX(Schedule!$V:$V,MATCH($A59,Schedule!T:T,0)))</f>
        <v/>
      </c>
      <c r="F59" s="440"/>
      <c r="G59" s="123"/>
      <c r="H59" s="192"/>
      <c r="I59" s="441"/>
      <c r="J59" s="442"/>
      <c r="K59" s="442"/>
      <c r="L59" s="443"/>
    </row>
    <row r="60" spans="1:12" s="159" customFormat="1" ht="25.15" customHeight="1" thickBot="1">
      <c r="A60" s="436" t="str">
        <f>IF('10-08-01'!$H65="","",'10-08-01'!$H65)</f>
        <v/>
      </c>
      <c r="B60" s="437"/>
      <c r="C60" s="438" t="str">
        <f>IF(ISNA(INDEX(Schedule!$O:$O,MATCH($A60,Schedule!T:T,0))),"",INDEX(Schedule!$O:$O,MATCH($A60,Schedule!T:T,0)))</f>
        <v/>
      </c>
      <c r="D60" s="439"/>
      <c r="E60" s="438" t="str">
        <f>IF(ISNA(INDEX(Schedule!$V:$V,MATCH($A60,Schedule!T:T,0))),"",INDEX(Schedule!$V:$V,MATCH($A60,Schedule!T:T,0)))</f>
        <v/>
      </c>
      <c r="F60" s="440"/>
      <c r="G60" s="123"/>
      <c r="H60" s="192"/>
      <c r="I60" s="441"/>
      <c r="J60" s="442"/>
      <c r="K60" s="442"/>
      <c r="L60" s="443"/>
    </row>
    <row r="61" spans="1:12" s="159" customFormat="1" ht="25.15" customHeight="1" thickBot="1">
      <c r="A61" s="436" t="str">
        <f>IF('10-08-01'!$H66="","",'10-08-01'!$H66)</f>
        <v/>
      </c>
      <c r="B61" s="437"/>
      <c r="C61" s="444" t="str">
        <f>IF(ISNA(INDEX(Schedule!$O:$O,MATCH($A61,Schedule!T:T,0))),"",INDEX(Schedule!$O:$O,MATCH($A61,Schedule!T:T,0)))</f>
        <v/>
      </c>
      <c r="D61" s="445"/>
      <c r="E61" s="444" t="str">
        <f>IF(ISNA(INDEX(Schedule!$V:$V,MATCH($A61,Schedule!T:T,0))),"",INDEX(Schedule!$V:$V,MATCH($A61,Schedule!T:T,0)))</f>
        <v/>
      </c>
      <c r="F61" s="446"/>
      <c r="G61" s="123"/>
      <c r="H61" s="193"/>
      <c r="I61" s="447"/>
      <c r="J61" s="448"/>
      <c r="K61" s="448"/>
      <c r="L61" s="449"/>
    </row>
    <row r="62" spans="1:12" s="159" customFormat="1" ht="13.5" thickBot="1">
      <c r="A62" s="430"/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2"/>
    </row>
    <row r="63" spans="1:12" s="159" customFormat="1" ht="10.15" customHeight="1">
      <c r="A63" s="194"/>
      <c r="B63" s="194"/>
      <c r="C63" s="191"/>
      <c r="D63" s="191"/>
      <c r="E63" s="191"/>
      <c r="F63" s="191"/>
      <c r="G63" s="191"/>
      <c r="H63" s="191"/>
      <c r="I63" s="191"/>
      <c r="J63" s="191"/>
      <c r="K63" s="191"/>
      <c r="L63" s="191"/>
    </row>
    <row r="64" spans="1:12" s="159" customFormat="1">
      <c r="A64" s="125" t="s">
        <v>12</v>
      </c>
      <c r="B64" s="126" t="s">
        <v>118</v>
      </c>
      <c r="C64" s="127"/>
      <c r="D64" s="127"/>
      <c r="E64" s="127"/>
      <c r="F64" s="127"/>
      <c r="G64" s="127"/>
      <c r="H64" s="127"/>
      <c r="I64" s="127"/>
      <c r="J64" s="127"/>
      <c r="K64" s="127"/>
      <c r="L64" s="128" t="s">
        <v>119</v>
      </c>
    </row>
    <row r="65" spans="1:12" s="159" customFormat="1" ht="10.15" customHeight="1">
      <c r="A65" s="125"/>
      <c r="B65" s="125"/>
      <c r="C65" s="127"/>
      <c r="D65" s="127"/>
      <c r="E65" s="127"/>
      <c r="F65" s="127"/>
      <c r="G65" s="127"/>
      <c r="H65" s="127"/>
      <c r="I65" s="127"/>
      <c r="J65" s="127"/>
      <c r="K65" s="127"/>
      <c r="L65" s="128"/>
    </row>
    <row r="66" spans="1:12" s="159" customFormat="1" ht="15">
      <c r="A66" s="433" t="s">
        <v>120</v>
      </c>
      <c r="B66" s="433"/>
      <c r="C66" s="434"/>
      <c r="D66" s="434"/>
      <c r="E66" s="434"/>
      <c r="F66" s="434"/>
      <c r="G66" s="434"/>
      <c r="H66" s="434"/>
      <c r="I66" s="191"/>
      <c r="J66" s="191"/>
      <c r="K66" s="191"/>
      <c r="L66" s="191"/>
    </row>
    <row r="67" spans="1:12" s="159" customFormat="1">
      <c r="A67" s="194"/>
      <c r="B67" s="194"/>
      <c r="C67" s="435" t="s">
        <v>121</v>
      </c>
      <c r="D67" s="435"/>
      <c r="E67" s="435"/>
      <c r="F67" s="435"/>
      <c r="G67" s="435"/>
      <c r="H67" s="435"/>
      <c r="I67" s="191"/>
      <c r="J67" s="191"/>
      <c r="K67" s="191"/>
      <c r="L67" s="191"/>
    </row>
    <row r="68" spans="1:12" s="159" customFormat="1">
      <c r="A68" s="129" t="s">
        <v>122</v>
      </c>
      <c r="B68" s="194"/>
      <c r="C68" s="191"/>
      <c r="D68" s="191"/>
      <c r="E68" s="191"/>
      <c r="F68" s="191"/>
      <c r="G68" s="191"/>
      <c r="H68" s="191"/>
      <c r="I68" s="191"/>
      <c r="J68" s="191"/>
      <c r="K68" s="191"/>
      <c r="L68" s="191"/>
    </row>
    <row r="69" spans="1:12" s="159" customFormat="1" ht="59.25">
      <c r="A69" s="465" t="s">
        <v>18</v>
      </c>
      <c r="B69" s="465"/>
      <c r="C69" s="465"/>
      <c r="D69" s="191"/>
      <c r="E69" s="191"/>
      <c r="F69" s="191"/>
      <c r="G69" s="191"/>
      <c r="H69" s="191"/>
      <c r="I69" s="191"/>
      <c r="J69" s="191"/>
      <c r="K69" s="191"/>
      <c r="L69" s="191"/>
    </row>
    <row r="70" spans="1:12" s="159" customFormat="1" ht="25.15" customHeight="1">
      <c r="A70" s="466" t="s">
        <v>43</v>
      </c>
      <c r="B70" s="466"/>
      <c r="C70" s="466"/>
      <c r="D70" s="466"/>
      <c r="E70" s="466"/>
      <c r="F70" s="466"/>
      <c r="G70" s="466"/>
      <c r="H70" s="466"/>
      <c r="I70" s="466"/>
      <c r="J70" s="466"/>
      <c r="K70" s="466"/>
      <c r="L70" s="466"/>
    </row>
    <row r="71" spans="1:12" s="159" customFormat="1">
      <c r="A71" s="117"/>
      <c r="B71" s="194"/>
      <c r="C71" s="191"/>
      <c r="D71" s="191"/>
      <c r="E71" s="191"/>
      <c r="F71" s="191"/>
      <c r="G71" s="191"/>
      <c r="H71" s="191"/>
      <c r="I71" s="191"/>
      <c r="J71" s="191"/>
      <c r="K71" s="191"/>
      <c r="L71" s="191"/>
    </row>
    <row r="72" spans="1:12" s="159" customFormat="1" ht="22.15" customHeight="1">
      <c r="A72" s="194"/>
      <c r="B72" s="194"/>
      <c r="C72" s="191"/>
      <c r="D72" s="191"/>
      <c r="E72" s="191"/>
      <c r="F72" s="455" t="s">
        <v>109</v>
      </c>
      <c r="G72" s="455"/>
      <c r="H72" s="156" t="str">
        <f>H38</f>
        <v>E12345</v>
      </c>
      <c r="I72" s="83"/>
      <c r="J72" s="191"/>
      <c r="K72" s="191"/>
      <c r="L72" s="191"/>
    </row>
    <row r="73" spans="1:12" s="159" customFormat="1" ht="15.75" thickBot="1">
      <c r="A73" s="118"/>
      <c r="B73" s="119"/>
      <c r="C73" s="191"/>
      <c r="D73" s="191"/>
      <c r="E73" s="191"/>
      <c r="F73" s="191"/>
      <c r="G73" s="191"/>
      <c r="H73" s="191"/>
      <c r="I73" s="191"/>
      <c r="J73" s="191"/>
      <c r="K73" s="191"/>
      <c r="L73" s="191"/>
    </row>
    <row r="74" spans="1:12" s="159" customFormat="1" ht="18.75">
      <c r="A74" s="456" t="s">
        <v>110</v>
      </c>
      <c r="B74" s="457"/>
      <c r="C74" s="457"/>
      <c r="D74" s="457"/>
      <c r="E74" s="457"/>
      <c r="F74" s="458"/>
      <c r="G74" s="456" t="s">
        <v>111</v>
      </c>
      <c r="H74" s="457"/>
      <c r="I74" s="457"/>
      <c r="J74" s="457"/>
      <c r="K74" s="457"/>
      <c r="L74" s="458"/>
    </row>
    <row r="75" spans="1:12" s="159" customFormat="1" ht="48" customHeight="1">
      <c r="A75" s="459" t="s">
        <v>112</v>
      </c>
      <c r="B75" s="460"/>
      <c r="C75" s="461" t="s">
        <v>113</v>
      </c>
      <c r="D75" s="461"/>
      <c r="E75" s="461" t="s">
        <v>114</v>
      </c>
      <c r="F75" s="462"/>
      <c r="G75" s="120" t="s">
        <v>115</v>
      </c>
      <c r="H75" s="121" t="s">
        <v>116</v>
      </c>
      <c r="I75" s="463" t="s">
        <v>117</v>
      </c>
      <c r="J75" s="463"/>
      <c r="K75" s="463"/>
      <c r="L75" s="464"/>
    </row>
    <row r="76" spans="1:12" s="159" customFormat="1" ht="25.15" customHeight="1" thickBot="1">
      <c r="A76" s="436" t="str">
        <f>IF('10-08-01'!$B107="","",'10-08-01'!$B107)</f>
        <v/>
      </c>
      <c r="B76" s="437"/>
      <c r="C76" s="438" t="str">
        <f>IF(ISNA(INDEX(Schedule!$O:$O,MATCH($A76,Schedule!T:T,0))),"",INDEX(Schedule!$O:$O,MATCH($A76,Schedule!T:T,0)))</f>
        <v/>
      </c>
      <c r="D76" s="439"/>
      <c r="E76" s="438" t="str">
        <f>IF(ISNA(INDEX(Schedule!$V:$V,MATCH($A76,Schedule!T:T,0))),"",INDEX(Schedule!$V:$V,MATCH($A76,Schedule!T:T,0)))</f>
        <v/>
      </c>
      <c r="F76" s="440"/>
      <c r="G76" s="122"/>
      <c r="H76" s="192"/>
      <c r="I76" s="441"/>
      <c r="J76" s="442"/>
      <c r="K76" s="442"/>
      <c r="L76" s="443"/>
    </row>
    <row r="77" spans="1:12" s="159" customFormat="1" ht="25.15" customHeight="1" thickBot="1">
      <c r="A77" s="436" t="str">
        <f>IF('10-08-01'!$B108="","",'10-08-01'!$B108)</f>
        <v/>
      </c>
      <c r="B77" s="437"/>
      <c r="C77" s="438" t="str">
        <f>IF(ISNA(INDEX(Schedule!$O:$O,MATCH($A77,Schedule!T:T,0))),"",INDEX(Schedule!$O:$O,MATCH($A77,Schedule!T:T,0)))</f>
        <v/>
      </c>
      <c r="D77" s="439"/>
      <c r="E77" s="438" t="str">
        <f>IF(ISNA(INDEX(Schedule!$V:$V,MATCH($A77,Schedule!T:T,0))),"",INDEX(Schedule!$V:$V,MATCH($A77,Schedule!T:T,0)))</f>
        <v/>
      </c>
      <c r="F77" s="440"/>
      <c r="G77" s="123"/>
      <c r="H77" s="192"/>
      <c r="I77" s="441"/>
      <c r="J77" s="442"/>
      <c r="K77" s="442"/>
      <c r="L77" s="443"/>
    </row>
    <row r="78" spans="1:12" s="159" customFormat="1" ht="25.15" customHeight="1" thickBot="1">
      <c r="A78" s="436" t="str">
        <f>IF('10-08-01'!$B109="","",'10-08-01'!$B109)</f>
        <v/>
      </c>
      <c r="B78" s="437"/>
      <c r="C78" s="438" t="str">
        <f>IF(ISNA(INDEX(Schedule!$O:$O,MATCH($A78,Schedule!T:T,0))),"",INDEX(Schedule!$O:$O,MATCH($A78,Schedule!T:T,0)))</f>
        <v/>
      </c>
      <c r="D78" s="439"/>
      <c r="E78" s="438" t="str">
        <f>IF(ISNA(INDEX(Schedule!$V:$V,MATCH($A78,Schedule!T:T,0))),"",INDEX(Schedule!$V:$V,MATCH($A78,Schedule!T:T,0)))</f>
        <v/>
      </c>
      <c r="F78" s="440"/>
      <c r="G78" s="123"/>
      <c r="H78" s="192"/>
      <c r="I78" s="441"/>
      <c r="J78" s="442"/>
      <c r="K78" s="442"/>
      <c r="L78" s="443"/>
    </row>
    <row r="79" spans="1:12" s="159" customFormat="1" ht="25.15" customHeight="1" thickBot="1">
      <c r="A79" s="436" t="str">
        <f>IF('10-08-01'!$B110="","",'10-08-01'!$B110)</f>
        <v/>
      </c>
      <c r="B79" s="437"/>
      <c r="C79" s="438" t="str">
        <f>IF(ISNA(INDEX(Schedule!$O:$O,MATCH($A79,Schedule!T:T,0))),"",INDEX(Schedule!$O:$O,MATCH($A79,Schedule!T:T,0)))</f>
        <v/>
      </c>
      <c r="D79" s="439"/>
      <c r="E79" s="438" t="str">
        <f>IF(ISNA(INDEX(Schedule!$V:$V,MATCH($A79,Schedule!T:T,0))),"",INDEX(Schedule!$V:$V,MATCH($A79,Schedule!T:T,0)))</f>
        <v/>
      </c>
      <c r="F79" s="440"/>
      <c r="G79" s="123"/>
      <c r="H79" s="192"/>
      <c r="I79" s="452"/>
      <c r="J79" s="453"/>
      <c r="K79" s="453"/>
      <c r="L79" s="454"/>
    </row>
    <row r="80" spans="1:12" s="159" customFormat="1" ht="25.15" customHeight="1" thickBot="1">
      <c r="A80" s="436" t="str">
        <f>IF('10-08-01'!$B111="","",'10-08-01'!$B111)</f>
        <v/>
      </c>
      <c r="B80" s="437"/>
      <c r="C80" s="438" t="str">
        <f>IF(ISNA(INDEX(Schedule!$O:$O,MATCH($A80,Schedule!T:T,0))),"",INDEX(Schedule!$O:$O,MATCH($A80,Schedule!T:T,0)))</f>
        <v/>
      </c>
      <c r="D80" s="439"/>
      <c r="E80" s="438" t="str">
        <f>IF(ISNA(INDEX(Schedule!$V:$V,MATCH($A80,Schedule!T:T,0))),"",INDEX(Schedule!$V:$V,MATCH($A80,Schedule!T:T,0)))</f>
        <v/>
      </c>
      <c r="F80" s="440"/>
      <c r="G80" s="123"/>
      <c r="H80" s="192"/>
      <c r="I80" s="441"/>
      <c r="J80" s="442"/>
      <c r="K80" s="442"/>
      <c r="L80" s="443"/>
    </row>
    <row r="81" spans="1:12" s="159" customFormat="1" ht="25.15" customHeight="1" thickBot="1">
      <c r="A81" s="436" t="str">
        <f>IF('10-08-01'!$B112="","",'10-08-01'!$B112)</f>
        <v/>
      </c>
      <c r="B81" s="437"/>
      <c r="C81" s="438" t="str">
        <f>IF(ISNA(INDEX(Schedule!$O:$O,MATCH($A81,Schedule!T:T,0))),"",INDEX(Schedule!$O:$O,MATCH($A81,Schedule!T:T,0)))</f>
        <v/>
      </c>
      <c r="D81" s="439"/>
      <c r="E81" s="438" t="str">
        <f>IF(ISNA(INDEX(Schedule!$V:$V,MATCH($A81,Schedule!T:T,0))),"",INDEX(Schedule!$V:$V,MATCH($A81,Schedule!T:T,0)))</f>
        <v/>
      </c>
      <c r="F81" s="440"/>
      <c r="G81" s="123"/>
      <c r="H81" s="124"/>
      <c r="I81" s="441"/>
      <c r="J81" s="442"/>
      <c r="K81" s="442"/>
      <c r="L81" s="443"/>
    </row>
    <row r="82" spans="1:12" s="159" customFormat="1" ht="25.15" customHeight="1" thickBot="1">
      <c r="A82" s="436" t="str">
        <f>IF('10-08-01'!$B113="","",'10-08-01'!$B113)</f>
        <v/>
      </c>
      <c r="B82" s="437"/>
      <c r="C82" s="438" t="str">
        <f>IF(ISNA(INDEX(Schedule!$O:$O,MATCH($A82,Schedule!T:T,0))),"",INDEX(Schedule!$O:$O,MATCH($A82,Schedule!T:T,0)))</f>
        <v/>
      </c>
      <c r="D82" s="439"/>
      <c r="E82" s="438" t="str">
        <f>IF(ISNA(INDEX(Schedule!$V:$V,MATCH($A82,Schedule!T:T,0))),"",INDEX(Schedule!$V:$V,MATCH($A82,Schedule!T:T,0)))</f>
        <v/>
      </c>
      <c r="F82" s="440"/>
      <c r="G82" s="123"/>
      <c r="H82" s="192"/>
      <c r="I82" s="441"/>
      <c r="J82" s="442"/>
      <c r="K82" s="442"/>
      <c r="L82" s="443"/>
    </row>
    <row r="83" spans="1:12" s="159" customFormat="1" ht="25.15" customHeight="1" thickBot="1">
      <c r="A83" s="436" t="str">
        <f>IF('10-08-01'!$B114="","",'10-08-01'!$B114)</f>
        <v/>
      </c>
      <c r="B83" s="437"/>
      <c r="C83" s="438" t="str">
        <f>IF(ISNA(INDEX(Schedule!$O:$O,MATCH($A83,Schedule!T:T,0))),"",INDEX(Schedule!$O:$O,MATCH($A83,Schedule!T:T,0)))</f>
        <v/>
      </c>
      <c r="D83" s="439"/>
      <c r="E83" s="438" t="str">
        <f>IF(ISNA(INDEX(Schedule!$V:$V,MATCH($A83,Schedule!T:T,0))),"",INDEX(Schedule!$V:$V,MATCH($A83,Schedule!T:T,0)))</f>
        <v/>
      </c>
      <c r="F83" s="440"/>
      <c r="G83" s="123"/>
      <c r="H83" s="192"/>
      <c r="I83" s="441"/>
      <c r="J83" s="442"/>
      <c r="K83" s="442"/>
      <c r="L83" s="443"/>
    </row>
    <row r="84" spans="1:12" s="159" customFormat="1" ht="25.15" customHeight="1" thickBot="1">
      <c r="A84" s="450" t="str">
        <f>IF('10-08-01'!$B115="","",'10-08-01'!$B115)</f>
        <v/>
      </c>
      <c r="B84" s="451"/>
      <c r="C84" s="438" t="str">
        <f>IF(ISNA(INDEX(Schedule!$O:$O,MATCH($A84,Schedule!T:T,0))),"",INDEX(Schedule!$O:$O,MATCH($A84,Schedule!T:T,0)))</f>
        <v/>
      </c>
      <c r="D84" s="439"/>
      <c r="E84" s="438" t="str">
        <f>IF(ISNA(INDEX(Schedule!$V:$V,MATCH($A84,Schedule!T:T,0))),"",INDEX(Schedule!$V:$V,MATCH($A84,Schedule!T:T,0)))</f>
        <v/>
      </c>
      <c r="F84" s="440"/>
      <c r="G84" s="123"/>
      <c r="H84" s="192"/>
      <c r="I84" s="441"/>
      <c r="J84" s="442"/>
      <c r="K84" s="442"/>
      <c r="L84" s="443"/>
    </row>
    <row r="85" spans="1:12" s="159" customFormat="1" ht="25.15" customHeight="1" thickBot="1">
      <c r="A85" s="450" t="str">
        <f>IF('10-08-01'!$B116="","",'10-08-01'!$B116)</f>
        <v/>
      </c>
      <c r="B85" s="451"/>
      <c r="C85" s="438" t="str">
        <f>IF(ISNA(INDEX(Schedule!$O:$O,MATCH($A85,Schedule!T:T,0))),"",INDEX(Schedule!$O:$O,MATCH($A85,Schedule!T:T,0)))</f>
        <v/>
      </c>
      <c r="D85" s="439"/>
      <c r="E85" s="438" t="str">
        <f>IF(ISNA(INDEX(Schedule!$V:$V,MATCH($A85,Schedule!T:T,0))),"",INDEX(Schedule!$V:$V,MATCH($A85,Schedule!T:T,0)))</f>
        <v/>
      </c>
      <c r="F85" s="440"/>
      <c r="G85" s="123"/>
      <c r="H85" s="192"/>
      <c r="I85" s="441"/>
      <c r="J85" s="442"/>
      <c r="K85" s="442"/>
      <c r="L85" s="443"/>
    </row>
    <row r="86" spans="1:12" s="159" customFormat="1" ht="25.15" customHeight="1" thickBot="1">
      <c r="A86" s="450"/>
      <c r="B86" s="451"/>
      <c r="C86" s="438"/>
      <c r="D86" s="439"/>
      <c r="E86" s="438"/>
      <c r="F86" s="440"/>
      <c r="G86" s="123"/>
      <c r="H86" s="192"/>
      <c r="I86" s="441"/>
      <c r="J86" s="442"/>
      <c r="K86" s="442"/>
      <c r="L86" s="443"/>
    </row>
    <row r="87" spans="1:12" s="159" customFormat="1" ht="25.15" customHeight="1" thickBot="1">
      <c r="A87" s="450"/>
      <c r="B87" s="451"/>
      <c r="C87" s="438"/>
      <c r="D87" s="439"/>
      <c r="E87" s="438"/>
      <c r="F87" s="440"/>
      <c r="G87" s="123"/>
      <c r="H87" s="192"/>
      <c r="I87" s="441"/>
      <c r="J87" s="442"/>
      <c r="K87" s="442"/>
      <c r="L87" s="443"/>
    </row>
    <row r="88" spans="1:12" s="159" customFormat="1" ht="25.15" customHeight="1" thickBot="1">
      <c r="A88" s="450"/>
      <c r="B88" s="451"/>
      <c r="C88" s="438"/>
      <c r="D88" s="439"/>
      <c r="E88" s="438"/>
      <c r="F88" s="440"/>
      <c r="G88" s="123"/>
      <c r="H88" s="192"/>
      <c r="I88" s="441"/>
      <c r="J88" s="442"/>
      <c r="K88" s="442"/>
      <c r="L88" s="443"/>
    </row>
    <row r="89" spans="1:12" s="159" customFormat="1" ht="25.15" customHeight="1" thickBot="1">
      <c r="A89" s="450"/>
      <c r="B89" s="451"/>
      <c r="C89" s="438"/>
      <c r="D89" s="439"/>
      <c r="E89" s="438"/>
      <c r="F89" s="440"/>
      <c r="G89" s="123"/>
      <c r="H89" s="192"/>
      <c r="I89" s="441"/>
      <c r="J89" s="442"/>
      <c r="K89" s="442"/>
      <c r="L89" s="443"/>
    </row>
    <row r="90" spans="1:12" s="159" customFormat="1" ht="25.15" customHeight="1" thickBot="1">
      <c r="A90" s="450"/>
      <c r="B90" s="451"/>
      <c r="C90" s="438"/>
      <c r="D90" s="439"/>
      <c r="E90" s="438"/>
      <c r="F90" s="440"/>
      <c r="G90" s="123"/>
      <c r="H90" s="192"/>
      <c r="I90" s="441"/>
      <c r="J90" s="442"/>
      <c r="K90" s="442"/>
      <c r="L90" s="443"/>
    </row>
    <row r="91" spans="1:12" s="159" customFormat="1" ht="25.15" customHeight="1" thickBot="1">
      <c r="A91" s="450"/>
      <c r="B91" s="451"/>
      <c r="C91" s="438"/>
      <c r="D91" s="439"/>
      <c r="E91" s="438"/>
      <c r="F91" s="440"/>
      <c r="G91" s="123"/>
      <c r="H91" s="192"/>
      <c r="I91" s="441"/>
      <c r="J91" s="442"/>
      <c r="K91" s="442"/>
      <c r="L91" s="443"/>
    </row>
    <row r="92" spans="1:12" s="159" customFormat="1" ht="25.15" customHeight="1" thickBot="1">
      <c r="A92" s="436"/>
      <c r="B92" s="437"/>
      <c r="C92" s="438"/>
      <c r="D92" s="439"/>
      <c r="E92" s="438"/>
      <c r="F92" s="440"/>
      <c r="G92" s="123"/>
      <c r="H92" s="192"/>
      <c r="I92" s="441"/>
      <c r="J92" s="442"/>
      <c r="K92" s="442"/>
      <c r="L92" s="443"/>
    </row>
    <row r="93" spans="1:12" s="159" customFormat="1" ht="25.15" customHeight="1" thickBot="1">
      <c r="A93" s="436"/>
      <c r="B93" s="437"/>
      <c r="C93" s="438"/>
      <c r="D93" s="439"/>
      <c r="E93" s="438"/>
      <c r="F93" s="440"/>
      <c r="G93" s="123"/>
      <c r="H93" s="192"/>
      <c r="I93" s="441"/>
      <c r="J93" s="442"/>
      <c r="K93" s="442"/>
      <c r="L93" s="443"/>
    </row>
    <row r="94" spans="1:12" s="159" customFormat="1" ht="25.15" customHeight="1" thickBot="1">
      <c r="A94" s="436"/>
      <c r="B94" s="437"/>
      <c r="C94" s="438"/>
      <c r="D94" s="439"/>
      <c r="E94" s="438"/>
      <c r="F94" s="440"/>
      <c r="G94" s="123"/>
      <c r="H94" s="192"/>
      <c r="I94" s="441"/>
      <c r="J94" s="442"/>
      <c r="K94" s="442"/>
      <c r="L94" s="443"/>
    </row>
    <row r="95" spans="1:12" s="159" customFormat="1" ht="25.15" customHeight="1" thickBot="1">
      <c r="A95" s="436"/>
      <c r="B95" s="437"/>
      <c r="C95" s="444"/>
      <c r="D95" s="445"/>
      <c r="E95" s="444"/>
      <c r="F95" s="446"/>
      <c r="G95" s="123"/>
      <c r="H95" s="193"/>
      <c r="I95" s="447"/>
      <c r="J95" s="448"/>
      <c r="K95" s="448"/>
      <c r="L95" s="449"/>
    </row>
    <row r="96" spans="1:12" s="159" customFormat="1" ht="13.5" thickBot="1">
      <c r="A96" s="430"/>
      <c r="B96" s="431"/>
      <c r="C96" s="431"/>
      <c r="D96" s="431"/>
      <c r="E96" s="431"/>
      <c r="F96" s="431"/>
      <c r="G96" s="431"/>
      <c r="H96" s="431"/>
      <c r="I96" s="431"/>
      <c r="J96" s="431"/>
      <c r="K96" s="431"/>
      <c r="L96" s="432"/>
    </row>
    <row r="97" spans="1:12" s="159" customFormat="1" ht="10.15" customHeight="1">
      <c r="A97" s="194"/>
      <c r="B97" s="194"/>
      <c r="C97" s="191"/>
      <c r="D97" s="191"/>
      <c r="E97" s="191"/>
      <c r="F97" s="191"/>
      <c r="G97" s="191"/>
      <c r="H97" s="191"/>
      <c r="I97" s="191"/>
      <c r="J97" s="191"/>
      <c r="K97" s="191"/>
      <c r="L97" s="191"/>
    </row>
    <row r="98" spans="1:12" s="159" customFormat="1">
      <c r="A98" s="125" t="s">
        <v>12</v>
      </c>
      <c r="B98" s="126" t="s">
        <v>118</v>
      </c>
      <c r="C98" s="127"/>
      <c r="D98" s="127"/>
      <c r="E98" s="127"/>
      <c r="F98" s="127"/>
      <c r="G98" s="127"/>
      <c r="H98" s="127"/>
      <c r="I98" s="127"/>
      <c r="J98" s="127"/>
      <c r="K98" s="127"/>
      <c r="L98" s="128" t="s">
        <v>119</v>
      </c>
    </row>
    <row r="99" spans="1:12" s="159" customFormat="1" ht="10.15" customHeight="1">
      <c r="A99" s="125"/>
      <c r="B99" s="125"/>
      <c r="C99" s="127"/>
      <c r="D99" s="127"/>
      <c r="E99" s="127"/>
      <c r="F99" s="127"/>
      <c r="G99" s="127"/>
      <c r="H99" s="127"/>
      <c r="I99" s="127"/>
      <c r="J99" s="127"/>
      <c r="K99" s="127"/>
      <c r="L99" s="128"/>
    </row>
    <row r="100" spans="1:12" s="159" customFormat="1" ht="15">
      <c r="A100" s="433" t="s">
        <v>120</v>
      </c>
      <c r="B100" s="433"/>
      <c r="C100" s="434"/>
      <c r="D100" s="434"/>
      <c r="E100" s="434"/>
      <c r="F100" s="434"/>
      <c r="G100" s="434"/>
      <c r="H100" s="434"/>
      <c r="I100" s="191"/>
      <c r="J100" s="191"/>
      <c r="K100" s="191"/>
      <c r="L100" s="191"/>
    </row>
    <row r="101" spans="1:12" s="159" customFormat="1">
      <c r="A101" s="194"/>
      <c r="B101" s="194"/>
      <c r="C101" s="435" t="s">
        <v>121</v>
      </c>
      <c r="D101" s="435"/>
      <c r="E101" s="435"/>
      <c r="F101" s="435"/>
      <c r="G101" s="435"/>
      <c r="H101" s="435"/>
      <c r="I101" s="191"/>
      <c r="J101" s="191"/>
      <c r="K101" s="191"/>
      <c r="L101" s="191"/>
    </row>
    <row r="102" spans="1:12" s="159" customFormat="1">
      <c r="A102" s="129" t="s">
        <v>122</v>
      </c>
      <c r="B102" s="194"/>
      <c r="C102" s="191"/>
      <c r="D102" s="191"/>
      <c r="E102" s="191"/>
      <c r="F102" s="191"/>
      <c r="G102" s="191"/>
      <c r="H102" s="191"/>
      <c r="I102" s="191"/>
      <c r="J102" s="191"/>
      <c r="K102" s="191"/>
      <c r="L102" s="191"/>
    </row>
  </sheetData>
  <mergeCells count="279">
    <mergeCell ref="A7:B7"/>
    <mergeCell ref="C7:D7"/>
    <mergeCell ref="E7:F7"/>
    <mergeCell ref="I7:L7"/>
    <mergeCell ref="A1:C1"/>
    <mergeCell ref="A2:L2"/>
    <mergeCell ref="F4:G4"/>
    <mergeCell ref="A6:F6"/>
    <mergeCell ref="G6:L6"/>
    <mergeCell ref="A10:B10"/>
    <mergeCell ref="C10:D10"/>
    <mergeCell ref="E10:F10"/>
    <mergeCell ref="I10:L10"/>
    <mergeCell ref="A11:B11"/>
    <mergeCell ref="C11:D11"/>
    <mergeCell ref="E11:F11"/>
    <mergeCell ref="I11:L11"/>
    <mergeCell ref="A8:B8"/>
    <mergeCell ref="C8:D8"/>
    <mergeCell ref="E8:F8"/>
    <mergeCell ref="I8:L8"/>
    <mergeCell ref="A9:B9"/>
    <mergeCell ref="C9:D9"/>
    <mergeCell ref="E9:F9"/>
    <mergeCell ref="I9:L9"/>
    <mergeCell ref="A14:B14"/>
    <mergeCell ref="C14:D14"/>
    <mergeCell ref="E14:F14"/>
    <mergeCell ref="I14:L14"/>
    <mergeCell ref="A15:B15"/>
    <mergeCell ref="C15:D15"/>
    <mergeCell ref="E15:F15"/>
    <mergeCell ref="I15:L15"/>
    <mergeCell ref="A12:B12"/>
    <mergeCell ref="C12:D12"/>
    <mergeCell ref="E12:F12"/>
    <mergeCell ref="I12:L12"/>
    <mergeCell ref="A13:B13"/>
    <mergeCell ref="C13:D13"/>
    <mergeCell ref="E13:F13"/>
    <mergeCell ref="I13:L13"/>
    <mergeCell ref="A18:B18"/>
    <mergeCell ref="C18:D18"/>
    <mergeCell ref="E18:F18"/>
    <mergeCell ref="I18:L18"/>
    <mergeCell ref="A19:B19"/>
    <mergeCell ref="C19:D19"/>
    <mergeCell ref="E19:F19"/>
    <mergeCell ref="I19:L19"/>
    <mergeCell ref="A16:B16"/>
    <mergeCell ref="C16:D16"/>
    <mergeCell ref="E16:F16"/>
    <mergeCell ref="I16:L16"/>
    <mergeCell ref="A17:B17"/>
    <mergeCell ref="C17:D17"/>
    <mergeCell ref="E17:F17"/>
    <mergeCell ref="I17:L17"/>
    <mergeCell ref="A22:B22"/>
    <mergeCell ref="C22:D22"/>
    <mergeCell ref="E22:F22"/>
    <mergeCell ref="I22:L22"/>
    <mergeCell ref="A23:B23"/>
    <mergeCell ref="C23:D23"/>
    <mergeCell ref="E23:F23"/>
    <mergeCell ref="I23:L23"/>
    <mergeCell ref="A20:B20"/>
    <mergeCell ref="C20:D20"/>
    <mergeCell ref="E20:F20"/>
    <mergeCell ref="I20:L20"/>
    <mergeCell ref="A21:B21"/>
    <mergeCell ref="C21:D21"/>
    <mergeCell ref="E21:F21"/>
    <mergeCell ref="I21:L21"/>
    <mergeCell ref="A26:B26"/>
    <mergeCell ref="C26:D26"/>
    <mergeCell ref="E26:F26"/>
    <mergeCell ref="I26:L26"/>
    <mergeCell ref="A27:B27"/>
    <mergeCell ref="C27:D27"/>
    <mergeCell ref="E27:F27"/>
    <mergeCell ref="I27:L27"/>
    <mergeCell ref="A24:B24"/>
    <mergeCell ref="C24:D24"/>
    <mergeCell ref="E24:F24"/>
    <mergeCell ref="I24:L24"/>
    <mergeCell ref="A25:B25"/>
    <mergeCell ref="C25:D25"/>
    <mergeCell ref="E25:F25"/>
    <mergeCell ref="I25:L25"/>
    <mergeCell ref="A35:C35"/>
    <mergeCell ref="A36:L36"/>
    <mergeCell ref="F38:G38"/>
    <mergeCell ref="A40:F40"/>
    <mergeCell ref="G40:L40"/>
    <mergeCell ref="A28:L28"/>
    <mergeCell ref="A32:B32"/>
    <mergeCell ref="C32:H32"/>
    <mergeCell ref="C33:H33"/>
    <mergeCell ref="A43:B43"/>
    <mergeCell ref="C43:D43"/>
    <mergeCell ref="E43:F43"/>
    <mergeCell ref="I43:L43"/>
    <mergeCell ref="A44:B44"/>
    <mergeCell ref="C44:D44"/>
    <mergeCell ref="E44:F44"/>
    <mergeCell ref="I44:L44"/>
    <mergeCell ref="A41:B41"/>
    <mergeCell ref="C41:D41"/>
    <mergeCell ref="E41:F41"/>
    <mergeCell ref="I41:L41"/>
    <mergeCell ref="A42:B42"/>
    <mergeCell ref="C42:D42"/>
    <mergeCell ref="E42:F42"/>
    <mergeCell ref="I42:L42"/>
    <mergeCell ref="A47:B47"/>
    <mergeCell ref="C47:D47"/>
    <mergeCell ref="E47:F47"/>
    <mergeCell ref="I47:L47"/>
    <mergeCell ref="A48:B48"/>
    <mergeCell ref="C48:D48"/>
    <mergeCell ref="E48:F48"/>
    <mergeCell ref="I48:L48"/>
    <mergeCell ref="A45:B45"/>
    <mergeCell ref="C45:D45"/>
    <mergeCell ref="E45:F45"/>
    <mergeCell ref="I45:L45"/>
    <mergeCell ref="A46:B46"/>
    <mergeCell ref="C46:D46"/>
    <mergeCell ref="E46:F46"/>
    <mergeCell ref="I46:L46"/>
    <mergeCell ref="A51:B51"/>
    <mergeCell ref="C51:D51"/>
    <mergeCell ref="E51:F51"/>
    <mergeCell ref="I51:L51"/>
    <mergeCell ref="A52:B52"/>
    <mergeCell ref="C52:D52"/>
    <mergeCell ref="E52:F52"/>
    <mergeCell ref="I52:L52"/>
    <mergeCell ref="A49:B49"/>
    <mergeCell ref="C49:D49"/>
    <mergeCell ref="E49:F49"/>
    <mergeCell ref="I49:L49"/>
    <mergeCell ref="A50:B50"/>
    <mergeCell ref="C50:D50"/>
    <mergeCell ref="E50:F50"/>
    <mergeCell ref="I50:L50"/>
    <mergeCell ref="A55:B55"/>
    <mergeCell ref="C55:D55"/>
    <mergeCell ref="E55:F55"/>
    <mergeCell ref="I55:L55"/>
    <mergeCell ref="A56:B56"/>
    <mergeCell ref="C56:D56"/>
    <mergeCell ref="E56:F56"/>
    <mergeCell ref="I56:L56"/>
    <mergeCell ref="A53:B53"/>
    <mergeCell ref="C53:D53"/>
    <mergeCell ref="E53:F53"/>
    <mergeCell ref="I53:L53"/>
    <mergeCell ref="A54:B54"/>
    <mergeCell ref="C54:D54"/>
    <mergeCell ref="E54:F54"/>
    <mergeCell ref="I54:L54"/>
    <mergeCell ref="A59:B59"/>
    <mergeCell ref="C59:D59"/>
    <mergeCell ref="E59:F59"/>
    <mergeCell ref="I59:L59"/>
    <mergeCell ref="A60:B60"/>
    <mergeCell ref="C60:D60"/>
    <mergeCell ref="E60:F60"/>
    <mergeCell ref="I60:L60"/>
    <mergeCell ref="A57:B57"/>
    <mergeCell ref="C57:D57"/>
    <mergeCell ref="E57:F57"/>
    <mergeCell ref="I57:L57"/>
    <mergeCell ref="A58:B58"/>
    <mergeCell ref="C58:D58"/>
    <mergeCell ref="E58:F58"/>
    <mergeCell ref="I58:L58"/>
    <mergeCell ref="A66:B66"/>
    <mergeCell ref="C66:H66"/>
    <mergeCell ref="C67:H67"/>
    <mergeCell ref="A69:C69"/>
    <mergeCell ref="A70:L70"/>
    <mergeCell ref="A61:B61"/>
    <mergeCell ref="C61:D61"/>
    <mergeCell ref="E61:F61"/>
    <mergeCell ref="I61:L61"/>
    <mergeCell ref="A62:L62"/>
    <mergeCell ref="A76:B76"/>
    <mergeCell ref="C76:D76"/>
    <mergeCell ref="E76:F76"/>
    <mergeCell ref="I76:L76"/>
    <mergeCell ref="A77:B77"/>
    <mergeCell ref="C77:D77"/>
    <mergeCell ref="E77:F77"/>
    <mergeCell ref="I77:L77"/>
    <mergeCell ref="F72:G72"/>
    <mergeCell ref="A74:F74"/>
    <mergeCell ref="G74:L74"/>
    <mergeCell ref="A75:B75"/>
    <mergeCell ref="C75:D75"/>
    <mergeCell ref="E75:F75"/>
    <mergeCell ref="I75:L75"/>
    <mergeCell ref="A80:B80"/>
    <mergeCell ref="C80:D80"/>
    <mergeCell ref="E80:F80"/>
    <mergeCell ref="I80:L80"/>
    <mergeCell ref="A81:B81"/>
    <mergeCell ref="C81:D81"/>
    <mergeCell ref="E81:F81"/>
    <mergeCell ref="I81:L81"/>
    <mergeCell ref="A78:B78"/>
    <mergeCell ref="C78:D78"/>
    <mergeCell ref="E78:F78"/>
    <mergeCell ref="I78:L78"/>
    <mergeCell ref="A79:B79"/>
    <mergeCell ref="C79:D79"/>
    <mergeCell ref="E79:F79"/>
    <mergeCell ref="I79:L79"/>
    <mergeCell ref="A84:B84"/>
    <mergeCell ref="C84:D84"/>
    <mergeCell ref="E84:F84"/>
    <mergeCell ref="I84:L84"/>
    <mergeCell ref="A85:B85"/>
    <mergeCell ref="C85:D85"/>
    <mergeCell ref="E85:F85"/>
    <mergeCell ref="I85:L85"/>
    <mergeCell ref="A82:B82"/>
    <mergeCell ref="C82:D82"/>
    <mergeCell ref="E82:F82"/>
    <mergeCell ref="I82:L82"/>
    <mergeCell ref="A83:B83"/>
    <mergeCell ref="C83:D83"/>
    <mergeCell ref="E83:F83"/>
    <mergeCell ref="I83:L83"/>
    <mergeCell ref="A88:B88"/>
    <mergeCell ref="C88:D88"/>
    <mergeCell ref="E88:F88"/>
    <mergeCell ref="I88:L88"/>
    <mergeCell ref="A89:B89"/>
    <mergeCell ref="C89:D89"/>
    <mergeCell ref="E89:F89"/>
    <mergeCell ref="I89:L89"/>
    <mergeCell ref="A86:B86"/>
    <mergeCell ref="C86:D86"/>
    <mergeCell ref="E86:F86"/>
    <mergeCell ref="I86:L86"/>
    <mergeCell ref="A87:B87"/>
    <mergeCell ref="C87:D87"/>
    <mergeCell ref="E87:F87"/>
    <mergeCell ref="I87:L87"/>
    <mergeCell ref="A92:B92"/>
    <mergeCell ref="C92:D92"/>
    <mergeCell ref="E92:F92"/>
    <mergeCell ref="I92:L92"/>
    <mergeCell ref="A93:B93"/>
    <mergeCell ref="C93:D93"/>
    <mergeCell ref="E93:F93"/>
    <mergeCell ref="I93:L93"/>
    <mergeCell ref="A90:B90"/>
    <mergeCell ref="C90:D90"/>
    <mergeCell ref="E90:F90"/>
    <mergeCell ref="I90:L90"/>
    <mergeCell ref="A91:B91"/>
    <mergeCell ref="C91:D91"/>
    <mergeCell ref="E91:F91"/>
    <mergeCell ref="I91:L91"/>
    <mergeCell ref="A96:L96"/>
    <mergeCell ref="A100:B100"/>
    <mergeCell ref="C100:H100"/>
    <mergeCell ref="C101:H101"/>
    <mergeCell ref="A94:B94"/>
    <mergeCell ref="C94:D94"/>
    <mergeCell ref="E94:F94"/>
    <mergeCell ref="I94:L94"/>
    <mergeCell ref="A95:B95"/>
    <mergeCell ref="C95:D95"/>
    <mergeCell ref="E95:F95"/>
    <mergeCell ref="I95:L95"/>
  </mergeCells>
  <printOptions horizontalCentered="1"/>
  <pageMargins left="0.7" right="0.7" top="0.25" bottom="0.25" header="0" footer="0"/>
  <pageSetup scale="96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Z187"/>
  <sheetViews>
    <sheetView workbookViewId="0">
      <selection sqref="A1:XFD1048576"/>
    </sheetView>
  </sheetViews>
  <sheetFormatPr defaultRowHeight="12.75"/>
  <cols>
    <col min="1" max="1" width="9.625" bestFit="1" customWidth="1"/>
    <col min="2" max="2" width="12.5" style="135" bestFit="1" customWidth="1"/>
    <col min="3" max="3" width="6" bestFit="1" customWidth="1"/>
    <col min="4" max="4" width="6.5" bestFit="1" customWidth="1"/>
    <col min="5" max="5" width="5.75" bestFit="1" customWidth="1"/>
    <col min="6" max="6" width="9.5" bestFit="1" customWidth="1"/>
    <col min="7" max="7" width="5.875" bestFit="1" customWidth="1"/>
    <col min="9" max="9" width="8.375" bestFit="1" customWidth="1"/>
    <col min="10" max="10" width="9.875" style="135" bestFit="1" customWidth="1"/>
    <col min="11" max="11" width="14.875" style="135" bestFit="1" customWidth="1"/>
    <col min="12" max="12" width="8.375" bestFit="1" customWidth="1"/>
    <col min="13" max="13" width="12.75" style="135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375" bestFit="1" customWidth="1"/>
    <col min="20" max="20" width="7.875" bestFit="1" customWidth="1"/>
    <col min="21" max="21" width="2.875" bestFit="1" customWidth="1"/>
    <col min="22" max="22" width="5.875" bestFit="1" customWidth="1"/>
    <col min="23" max="23" width="25.5" bestFit="1" customWidth="1"/>
    <col min="24" max="24" width="9.875" bestFit="1" customWidth="1"/>
    <col min="25" max="25" width="3.375" bestFit="1" customWidth="1"/>
    <col min="26" max="26" width="11.875" bestFit="1" customWidth="1"/>
  </cols>
  <sheetData>
    <row r="1" spans="1:26">
      <c r="A1" t="s">
        <v>133</v>
      </c>
      <c r="B1" s="135" t="s">
        <v>134</v>
      </c>
      <c r="C1" t="s">
        <v>135</v>
      </c>
      <c r="D1" t="s">
        <v>136</v>
      </c>
      <c r="E1" t="s">
        <v>137</v>
      </c>
      <c r="F1" t="s">
        <v>138</v>
      </c>
      <c r="G1" t="s">
        <v>139</v>
      </c>
      <c r="H1" t="s">
        <v>140</v>
      </c>
      <c r="I1" t="s">
        <v>141</v>
      </c>
      <c r="J1" s="135" t="s">
        <v>142</v>
      </c>
      <c r="K1" s="135" t="s">
        <v>143</v>
      </c>
      <c r="M1" s="135" t="s">
        <v>144</v>
      </c>
      <c r="O1" t="s">
        <v>145</v>
      </c>
      <c r="P1" t="s">
        <v>146</v>
      </c>
      <c r="Q1" t="s">
        <v>147</v>
      </c>
      <c r="S1" t="s">
        <v>148</v>
      </c>
      <c r="U1" t="s">
        <v>149</v>
      </c>
      <c r="V1" t="s">
        <v>150</v>
      </c>
      <c r="W1" t="s">
        <v>151</v>
      </c>
      <c r="X1" t="s">
        <v>146</v>
      </c>
      <c r="Y1" t="s">
        <v>152</v>
      </c>
    </row>
    <row r="2" spans="1:26">
      <c r="A2" t="s">
        <v>217</v>
      </c>
      <c r="B2">
        <v>43803</v>
      </c>
      <c r="C2" t="s">
        <v>153</v>
      </c>
      <c r="D2" t="s">
        <v>153</v>
      </c>
      <c r="E2" t="s">
        <v>153</v>
      </c>
      <c r="F2" t="s">
        <v>153</v>
      </c>
      <c r="G2" t="s">
        <v>153</v>
      </c>
      <c r="H2" t="s">
        <v>153</v>
      </c>
      <c r="J2">
        <v>43803</v>
      </c>
      <c r="K2">
        <v>43804</v>
      </c>
      <c r="L2" t="s">
        <v>155</v>
      </c>
      <c r="M2">
        <v>43808</v>
      </c>
      <c r="N2">
        <v>0.32974537037037038</v>
      </c>
      <c r="O2">
        <v>781</v>
      </c>
      <c r="P2" t="s">
        <v>103</v>
      </c>
      <c r="Q2" t="s">
        <v>196</v>
      </c>
      <c r="R2">
        <v>12</v>
      </c>
      <c r="S2" t="s">
        <v>218</v>
      </c>
      <c r="T2">
        <v>1920963</v>
      </c>
      <c r="U2">
        <v>13</v>
      </c>
      <c r="V2">
        <v>10</v>
      </c>
      <c r="X2">
        <v>43829</v>
      </c>
      <c r="Y2">
        <v>3</v>
      </c>
      <c r="Z2">
        <v>1.7361111111111112E-2</v>
      </c>
    </row>
    <row r="3" spans="1:26">
      <c r="A3" t="s">
        <v>219</v>
      </c>
      <c r="B3">
        <v>43803</v>
      </c>
      <c r="C3" t="s">
        <v>153</v>
      </c>
      <c r="D3" t="s">
        <v>153</v>
      </c>
      <c r="E3" t="s">
        <v>153</v>
      </c>
      <c r="F3" t="s">
        <v>153</v>
      </c>
      <c r="G3" t="s">
        <v>153</v>
      </c>
      <c r="J3">
        <v>43803</v>
      </c>
      <c r="K3">
        <v>43804</v>
      </c>
      <c r="L3" t="s">
        <v>155</v>
      </c>
      <c r="M3">
        <v>43808</v>
      </c>
      <c r="N3">
        <v>0.34090277777777778</v>
      </c>
      <c r="O3">
        <v>744</v>
      </c>
      <c r="P3" t="s">
        <v>103</v>
      </c>
      <c r="Q3" t="s">
        <v>162</v>
      </c>
      <c r="R3">
        <v>7.5</v>
      </c>
      <c r="S3" t="s">
        <v>220</v>
      </c>
      <c r="T3">
        <v>1920962</v>
      </c>
      <c r="U3">
        <v>3</v>
      </c>
      <c r="V3">
        <v>21</v>
      </c>
      <c r="X3">
        <v>43837</v>
      </c>
      <c r="Y3">
        <v>5</v>
      </c>
      <c r="Z3">
        <v>0.1640625</v>
      </c>
    </row>
    <row r="4" spans="1:26">
      <c r="A4" t="s">
        <v>221</v>
      </c>
      <c r="B4">
        <v>43790</v>
      </c>
      <c r="C4" t="s">
        <v>153</v>
      </c>
      <c r="D4" t="s">
        <v>153</v>
      </c>
      <c r="E4" t="s">
        <v>153</v>
      </c>
      <c r="F4" t="s">
        <v>153</v>
      </c>
      <c r="G4" t="s">
        <v>153</v>
      </c>
      <c r="H4" t="s">
        <v>153</v>
      </c>
      <c r="J4">
        <v>43808</v>
      </c>
      <c r="K4">
        <v>43809</v>
      </c>
      <c r="L4" t="s">
        <v>154</v>
      </c>
      <c r="M4">
        <v>43810</v>
      </c>
      <c r="N4">
        <v>0.5768402777777778</v>
      </c>
      <c r="O4">
        <v>298</v>
      </c>
      <c r="P4" t="s">
        <v>104</v>
      </c>
      <c r="Q4" t="s">
        <v>164</v>
      </c>
      <c r="R4">
        <v>11</v>
      </c>
      <c r="S4" t="s">
        <v>165</v>
      </c>
      <c r="T4">
        <v>1920940</v>
      </c>
      <c r="U4">
        <v>13</v>
      </c>
      <c r="V4">
        <v>348</v>
      </c>
      <c r="W4" t="s">
        <v>205</v>
      </c>
      <c r="X4">
        <v>43826</v>
      </c>
      <c r="Y4">
        <v>2</v>
      </c>
      <c r="Z4">
        <v>1.3384615384615384</v>
      </c>
    </row>
    <row r="5" spans="1:26">
      <c r="A5" t="s">
        <v>222</v>
      </c>
      <c r="B5">
        <v>43801</v>
      </c>
      <c r="C5" t="s">
        <v>153</v>
      </c>
      <c r="D5" t="s">
        <v>153</v>
      </c>
      <c r="E5" t="s">
        <v>153</v>
      </c>
      <c r="F5" t="s">
        <v>153</v>
      </c>
      <c r="G5" t="s">
        <v>153</v>
      </c>
      <c r="H5" t="s">
        <v>153</v>
      </c>
      <c r="I5" t="s">
        <v>153</v>
      </c>
      <c r="J5">
        <v>43802</v>
      </c>
      <c r="K5">
        <v>43803</v>
      </c>
      <c r="L5" t="s">
        <v>155</v>
      </c>
      <c r="M5">
        <v>43808</v>
      </c>
      <c r="N5">
        <v>0.27364583333333331</v>
      </c>
      <c r="O5">
        <v>9372</v>
      </c>
      <c r="P5" t="s">
        <v>107</v>
      </c>
      <c r="Q5" t="s">
        <v>223</v>
      </c>
      <c r="R5">
        <v>0</v>
      </c>
      <c r="S5" t="s">
        <v>224</v>
      </c>
      <c r="T5">
        <v>1931310</v>
      </c>
      <c r="U5">
        <v>13</v>
      </c>
      <c r="V5">
        <v>25</v>
      </c>
      <c r="W5" t="s">
        <v>225</v>
      </c>
      <c r="X5">
        <v>43770</v>
      </c>
      <c r="Y5">
        <v>7</v>
      </c>
      <c r="Z5">
        <v>0.55555555555555558</v>
      </c>
    </row>
    <row r="6" spans="1:26">
      <c r="A6" t="s">
        <v>226</v>
      </c>
      <c r="B6">
        <v>43761</v>
      </c>
      <c r="C6" t="s">
        <v>153</v>
      </c>
      <c r="D6" t="s">
        <v>153</v>
      </c>
      <c r="E6" t="s">
        <v>153</v>
      </c>
      <c r="F6" t="s">
        <v>153</v>
      </c>
      <c r="G6" t="s">
        <v>153</v>
      </c>
      <c r="H6">
        <v>31</v>
      </c>
      <c r="I6" t="s">
        <v>227</v>
      </c>
      <c r="J6">
        <v>43802</v>
      </c>
      <c r="K6">
        <v>43803</v>
      </c>
      <c r="L6" t="s">
        <v>155</v>
      </c>
      <c r="M6">
        <v>43808</v>
      </c>
      <c r="N6">
        <v>0.31270833333333331</v>
      </c>
      <c r="O6" t="s">
        <v>228</v>
      </c>
      <c r="P6" t="s">
        <v>107</v>
      </c>
      <c r="Q6" t="s">
        <v>229</v>
      </c>
      <c r="R6">
        <v>0</v>
      </c>
      <c r="S6" t="s">
        <v>230</v>
      </c>
      <c r="T6">
        <v>1931294</v>
      </c>
      <c r="U6">
        <v>13</v>
      </c>
      <c r="V6">
        <v>30</v>
      </c>
      <c r="W6" t="s">
        <v>231</v>
      </c>
      <c r="X6">
        <v>43769</v>
      </c>
      <c r="Y6">
        <v>11</v>
      </c>
      <c r="Z6">
        <v>0.625</v>
      </c>
    </row>
    <row r="7" spans="1:26">
      <c r="A7" t="s">
        <v>232</v>
      </c>
      <c r="B7" s="135">
        <v>43801</v>
      </c>
      <c r="C7" t="s">
        <v>153</v>
      </c>
      <c r="D7" t="s">
        <v>153</v>
      </c>
      <c r="E7" t="s">
        <v>153</v>
      </c>
      <c r="F7" t="s">
        <v>153</v>
      </c>
      <c r="G7" t="s">
        <v>153</v>
      </c>
      <c r="H7">
        <v>93</v>
      </c>
      <c r="I7" t="s">
        <v>233</v>
      </c>
      <c r="J7" s="135">
        <v>43802</v>
      </c>
      <c r="K7" s="135">
        <v>43803</v>
      </c>
      <c r="L7" t="s">
        <v>154</v>
      </c>
      <c r="M7" s="135">
        <v>43808</v>
      </c>
      <c r="N7">
        <v>0.50481481481481483</v>
      </c>
      <c r="O7" t="s">
        <v>234</v>
      </c>
      <c r="P7" t="s">
        <v>107</v>
      </c>
      <c r="Q7" t="s">
        <v>200</v>
      </c>
      <c r="R7">
        <v>0</v>
      </c>
      <c r="S7" t="s">
        <v>235</v>
      </c>
      <c r="T7">
        <v>1931343</v>
      </c>
      <c r="U7">
        <v>3</v>
      </c>
      <c r="V7">
        <v>46</v>
      </c>
      <c r="W7" t="s">
        <v>236</v>
      </c>
      <c r="X7">
        <v>43776</v>
      </c>
      <c r="Y7">
        <v>11</v>
      </c>
      <c r="Z7">
        <v>1.0222222222222221</v>
      </c>
    </row>
    <row r="8" spans="1:26">
      <c r="A8" t="s">
        <v>237</v>
      </c>
      <c r="B8" s="135">
        <v>43801</v>
      </c>
      <c r="C8" t="s">
        <v>153</v>
      </c>
      <c r="D8" t="s">
        <v>153</v>
      </c>
      <c r="E8" t="s">
        <v>153</v>
      </c>
      <c r="F8" t="s">
        <v>153</v>
      </c>
      <c r="G8" t="s">
        <v>153</v>
      </c>
      <c r="J8" s="135">
        <v>43802</v>
      </c>
      <c r="K8" s="135">
        <v>43803</v>
      </c>
      <c r="L8" t="s">
        <v>154</v>
      </c>
      <c r="M8" s="135">
        <v>43808</v>
      </c>
      <c r="N8">
        <v>0.59752314814814811</v>
      </c>
      <c r="O8" t="s">
        <v>238</v>
      </c>
      <c r="P8" t="s">
        <v>107</v>
      </c>
      <c r="Q8" t="s">
        <v>192</v>
      </c>
      <c r="R8">
        <v>0</v>
      </c>
      <c r="S8" t="s">
        <v>239</v>
      </c>
      <c r="T8">
        <v>1931264</v>
      </c>
      <c r="U8">
        <v>3</v>
      </c>
      <c r="V8">
        <v>50</v>
      </c>
      <c r="W8" t="s">
        <v>240</v>
      </c>
      <c r="X8">
        <v>43766</v>
      </c>
      <c r="Y8">
        <v>9</v>
      </c>
      <c r="Z8">
        <v>1.1111111111111112</v>
      </c>
    </row>
    <row r="9" spans="1:26">
      <c r="A9" t="s">
        <v>241</v>
      </c>
      <c r="B9" s="135">
        <v>43802</v>
      </c>
      <c r="C9" t="s">
        <v>153</v>
      </c>
      <c r="D9" t="s">
        <v>153</v>
      </c>
      <c r="E9" t="s">
        <v>153</v>
      </c>
      <c r="F9" t="s">
        <v>153</v>
      </c>
      <c r="G9" t="s">
        <v>153</v>
      </c>
      <c r="J9" s="135">
        <v>43802</v>
      </c>
      <c r="K9" s="135">
        <v>43803</v>
      </c>
      <c r="L9" t="s">
        <v>154</v>
      </c>
      <c r="M9" s="135">
        <v>43808</v>
      </c>
      <c r="N9">
        <v>0.82148148148148137</v>
      </c>
      <c r="O9" t="s">
        <v>242</v>
      </c>
      <c r="P9" t="s">
        <v>107</v>
      </c>
      <c r="Q9" t="s">
        <v>202</v>
      </c>
      <c r="R9">
        <v>0</v>
      </c>
      <c r="S9" t="s">
        <v>243</v>
      </c>
      <c r="T9">
        <v>1931220</v>
      </c>
      <c r="U9">
        <v>3</v>
      </c>
      <c r="V9">
        <v>15</v>
      </c>
      <c r="W9" t="s">
        <v>244</v>
      </c>
      <c r="X9">
        <v>43754</v>
      </c>
      <c r="Y9">
        <v>9</v>
      </c>
      <c r="Z9">
        <v>0.33333333333333331</v>
      </c>
    </row>
    <row r="10" spans="1:26">
      <c r="A10" t="s">
        <v>245</v>
      </c>
      <c r="B10" s="135">
        <v>43801</v>
      </c>
      <c r="C10" t="s">
        <v>153</v>
      </c>
      <c r="D10" t="s">
        <v>153</v>
      </c>
      <c r="E10" t="s">
        <v>153</v>
      </c>
      <c r="F10" t="s">
        <v>153</v>
      </c>
      <c r="G10" t="s">
        <v>153</v>
      </c>
      <c r="J10" s="135">
        <v>43802</v>
      </c>
      <c r="K10" s="135">
        <v>43803</v>
      </c>
      <c r="L10" t="s">
        <v>154</v>
      </c>
      <c r="M10" s="135">
        <v>43808</v>
      </c>
      <c r="N10">
        <v>0.86575231481481474</v>
      </c>
      <c r="O10">
        <v>5535</v>
      </c>
      <c r="P10" t="s">
        <v>107</v>
      </c>
      <c r="Q10" t="s">
        <v>168</v>
      </c>
      <c r="R10">
        <v>0</v>
      </c>
      <c r="S10" t="s">
        <v>169</v>
      </c>
      <c r="T10">
        <v>1931355</v>
      </c>
      <c r="U10">
        <v>3</v>
      </c>
      <c r="V10">
        <v>20</v>
      </c>
      <c r="W10" t="s">
        <v>225</v>
      </c>
      <c r="X10">
        <v>43780</v>
      </c>
      <c r="Y10">
        <v>13</v>
      </c>
      <c r="Z10">
        <v>0.41666666666666669</v>
      </c>
    </row>
    <row r="11" spans="1:26">
      <c r="A11" t="s">
        <v>246</v>
      </c>
      <c r="B11" s="135">
        <v>43801</v>
      </c>
      <c r="C11" t="s">
        <v>153</v>
      </c>
      <c r="D11" t="s">
        <v>153</v>
      </c>
      <c r="E11" t="s">
        <v>153</v>
      </c>
      <c r="F11" t="s">
        <v>153</v>
      </c>
      <c r="G11" t="s">
        <v>153</v>
      </c>
      <c r="J11" s="135">
        <v>43802</v>
      </c>
      <c r="K11" s="135">
        <v>43803</v>
      </c>
      <c r="L11" t="s">
        <v>155</v>
      </c>
      <c r="M11" s="135">
        <v>43808</v>
      </c>
      <c r="N11">
        <v>0.89974537037037028</v>
      </c>
      <c r="O11" t="s">
        <v>247</v>
      </c>
      <c r="P11" t="s">
        <v>107</v>
      </c>
      <c r="Q11" t="s">
        <v>193</v>
      </c>
      <c r="R11">
        <v>0</v>
      </c>
      <c r="S11" t="s">
        <v>248</v>
      </c>
      <c r="T11">
        <v>1931373</v>
      </c>
      <c r="U11">
        <v>3</v>
      </c>
      <c r="V11">
        <v>20</v>
      </c>
      <c r="W11" t="s">
        <v>225</v>
      </c>
      <c r="X11">
        <v>43782</v>
      </c>
      <c r="Y11">
        <v>11</v>
      </c>
      <c r="Z11">
        <v>0.31746031746031744</v>
      </c>
    </row>
    <row r="12" spans="1:26">
      <c r="A12" t="s">
        <v>249</v>
      </c>
      <c r="B12" s="135">
        <v>43802</v>
      </c>
      <c r="C12" t="s">
        <v>153</v>
      </c>
      <c r="D12" t="s">
        <v>153</v>
      </c>
      <c r="E12" t="s">
        <v>153</v>
      </c>
      <c r="F12" t="s">
        <v>153</v>
      </c>
      <c r="G12" t="s">
        <v>153</v>
      </c>
      <c r="J12" s="135">
        <v>43803</v>
      </c>
      <c r="K12" s="135">
        <v>43804</v>
      </c>
      <c r="L12" t="s">
        <v>155</v>
      </c>
      <c r="M12" s="135">
        <v>43809</v>
      </c>
      <c r="N12">
        <v>0.2774537037037037</v>
      </c>
      <c r="O12">
        <v>9882</v>
      </c>
      <c r="P12" t="s">
        <v>107</v>
      </c>
      <c r="Q12" t="s">
        <v>250</v>
      </c>
      <c r="R12">
        <v>0</v>
      </c>
      <c r="S12" t="s">
        <v>251</v>
      </c>
      <c r="T12">
        <v>1931390</v>
      </c>
      <c r="U12">
        <v>3</v>
      </c>
      <c r="V12">
        <v>20</v>
      </c>
      <c r="X12">
        <v>43787</v>
      </c>
      <c r="Y12">
        <v>10</v>
      </c>
      <c r="Z12">
        <v>0.3125</v>
      </c>
    </row>
    <row r="13" spans="1:26">
      <c r="A13" t="s">
        <v>252</v>
      </c>
      <c r="B13" s="135">
        <v>43802</v>
      </c>
      <c r="C13" t="s">
        <v>153</v>
      </c>
      <c r="D13" t="s">
        <v>153</v>
      </c>
      <c r="E13" t="s">
        <v>153</v>
      </c>
      <c r="F13" t="s">
        <v>153</v>
      </c>
      <c r="G13" t="s">
        <v>153</v>
      </c>
      <c r="J13" s="135">
        <v>43803</v>
      </c>
      <c r="K13" s="135">
        <v>43804</v>
      </c>
      <c r="L13" t="s">
        <v>155</v>
      </c>
      <c r="M13" s="135">
        <v>43809</v>
      </c>
      <c r="N13">
        <v>0.31391203703703702</v>
      </c>
      <c r="O13" t="s">
        <v>253</v>
      </c>
      <c r="P13" t="s">
        <v>107</v>
      </c>
      <c r="Q13" t="s">
        <v>179</v>
      </c>
      <c r="R13">
        <v>0</v>
      </c>
      <c r="S13" t="s">
        <v>254</v>
      </c>
      <c r="T13">
        <v>1931387</v>
      </c>
      <c r="U13">
        <v>3</v>
      </c>
      <c r="V13">
        <v>10</v>
      </c>
      <c r="X13">
        <v>43787</v>
      </c>
      <c r="Y13">
        <v>10</v>
      </c>
      <c r="Z13">
        <v>0.1388888888888889</v>
      </c>
    </row>
    <row r="14" spans="1:26">
      <c r="A14" t="s">
        <v>255</v>
      </c>
      <c r="B14" s="135">
        <v>43802</v>
      </c>
      <c r="C14" t="s">
        <v>153</v>
      </c>
      <c r="D14" t="s">
        <v>153</v>
      </c>
      <c r="E14" t="s">
        <v>153</v>
      </c>
      <c r="F14" t="s">
        <v>153</v>
      </c>
      <c r="G14" t="s">
        <v>153</v>
      </c>
      <c r="J14" s="135">
        <v>43803</v>
      </c>
      <c r="K14" s="135">
        <v>43804</v>
      </c>
      <c r="L14" t="s">
        <v>155</v>
      </c>
      <c r="M14" s="135">
        <v>43809</v>
      </c>
      <c r="N14">
        <v>0.3472453703703704</v>
      </c>
      <c r="O14">
        <v>1003</v>
      </c>
      <c r="P14" t="s">
        <v>107</v>
      </c>
      <c r="Q14" t="s">
        <v>168</v>
      </c>
      <c r="R14">
        <v>0</v>
      </c>
      <c r="S14" t="s">
        <v>256</v>
      </c>
      <c r="T14">
        <v>1931398</v>
      </c>
      <c r="U14">
        <v>3</v>
      </c>
      <c r="V14">
        <v>10</v>
      </c>
      <c r="X14">
        <v>43787</v>
      </c>
      <c r="Y14">
        <v>13</v>
      </c>
      <c r="Z14">
        <v>0.20833333333333334</v>
      </c>
    </row>
    <row r="15" spans="1:26">
      <c r="A15" t="s">
        <v>257</v>
      </c>
      <c r="B15" s="135">
        <v>43802</v>
      </c>
      <c r="C15" t="s">
        <v>153</v>
      </c>
      <c r="D15" t="s">
        <v>153</v>
      </c>
      <c r="E15" t="s">
        <v>153</v>
      </c>
      <c r="F15" t="s">
        <v>153</v>
      </c>
      <c r="G15" t="s">
        <v>153</v>
      </c>
      <c r="J15" s="135">
        <v>43803</v>
      </c>
      <c r="K15" s="135">
        <v>43804</v>
      </c>
      <c r="L15" t="s">
        <v>155</v>
      </c>
      <c r="M15" s="135">
        <v>43809</v>
      </c>
      <c r="N15">
        <v>0.37589120370370371</v>
      </c>
      <c r="O15">
        <v>3661</v>
      </c>
      <c r="P15" t="s">
        <v>107</v>
      </c>
      <c r="Q15" t="s">
        <v>258</v>
      </c>
      <c r="R15">
        <v>0</v>
      </c>
      <c r="S15" t="s">
        <v>259</v>
      </c>
      <c r="T15">
        <v>1931399</v>
      </c>
      <c r="U15">
        <v>3</v>
      </c>
      <c r="V15">
        <v>15</v>
      </c>
      <c r="X15">
        <v>43787</v>
      </c>
      <c r="Y15">
        <v>12</v>
      </c>
      <c r="Z15">
        <v>0.3125</v>
      </c>
    </row>
    <row r="16" spans="1:26">
      <c r="A16" t="s">
        <v>260</v>
      </c>
      <c r="B16" s="135">
        <v>43802</v>
      </c>
      <c r="C16" t="s">
        <v>153</v>
      </c>
      <c r="D16" t="s">
        <v>153</v>
      </c>
      <c r="E16" t="s">
        <v>153</v>
      </c>
      <c r="F16" t="s">
        <v>153</v>
      </c>
      <c r="G16" t="s">
        <v>153</v>
      </c>
      <c r="J16" s="135">
        <v>43803</v>
      </c>
      <c r="K16" s="135">
        <v>43804</v>
      </c>
      <c r="L16" t="s">
        <v>155</v>
      </c>
      <c r="M16" s="135">
        <v>43809</v>
      </c>
      <c r="N16">
        <v>0.40659722222222222</v>
      </c>
      <c r="O16">
        <v>1003</v>
      </c>
      <c r="P16" t="s">
        <v>107</v>
      </c>
      <c r="Q16" t="s">
        <v>168</v>
      </c>
      <c r="R16">
        <v>0</v>
      </c>
      <c r="S16" t="s">
        <v>256</v>
      </c>
      <c r="T16">
        <v>1931427</v>
      </c>
      <c r="U16">
        <v>3</v>
      </c>
      <c r="V16">
        <v>10</v>
      </c>
      <c r="X16">
        <v>43791</v>
      </c>
      <c r="Y16">
        <v>13</v>
      </c>
      <c r="Z16">
        <v>0.20833333333333334</v>
      </c>
    </row>
    <row r="17" spans="1:26">
      <c r="A17" t="s">
        <v>261</v>
      </c>
      <c r="B17" s="135">
        <v>43802</v>
      </c>
      <c r="C17" t="s">
        <v>153</v>
      </c>
      <c r="D17" t="s">
        <v>153</v>
      </c>
      <c r="E17" t="s">
        <v>153</v>
      </c>
      <c r="F17" t="s">
        <v>153</v>
      </c>
      <c r="G17" t="s">
        <v>153</v>
      </c>
      <c r="J17" s="135">
        <v>43803</v>
      </c>
      <c r="K17" s="135">
        <v>43804</v>
      </c>
      <c r="L17" t="s">
        <v>155</v>
      </c>
      <c r="M17" s="135">
        <v>43809</v>
      </c>
      <c r="N17">
        <v>0.43524305555555554</v>
      </c>
      <c r="O17">
        <v>5535</v>
      </c>
      <c r="P17" t="s">
        <v>107</v>
      </c>
      <c r="Q17" t="s">
        <v>168</v>
      </c>
      <c r="R17">
        <v>0</v>
      </c>
      <c r="S17" t="s">
        <v>169</v>
      </c>
      <c r="T17">
        <v>1931428</v>
      </c>
      <c r="U17">
        <v>3</v>
      </c>
      <c r="V17">
        <v>30</v>
      </c>
      <c r="X17">
        <v>43791</v>
      </c>
      <c r="Y17">
        <v>13</v>
      </c>
      <c r="Z17">
        <v>0.625</v>
      </c>
    </row>
    <row r="18" spans="1:26">
      <c r="A18" t="s">
        <v>262</v>
      </c>
      <c r="B18" s="135">
        <v>43802</v>
      </c>
      <c r="C18" t="s">
        <v>153</v>
      </c>
      <c r="D18" t="s">
        <v>153</v>
      </c>
      <c r="E18" t="s">
        <v>153</v>
      </c>
      <c r="F18" t="s">
        <v>153</v>
      </c>
      <c r="G18" t="s">
        <v>153</v>
      </c>
      <c r="J18" s="135">
        <v>43803</v>
      </c>
      <c r="K18" s="135">
        <v>43804</v>
      </c>
      <c r="L18" t="s">
        <v>154</v>
      </c>
      <c r="M18" s="135">
        <v>43809</v>
      </c>
      <c r="N18">
        <v>0.4758101851851852</v>
      </c>
      <c r="O18">
        <v>3665</v>
      </c>
      <c r="P18" t="s">
        <v>107</v>
      </c>
      <c r="Q18" t="s">
        <v>263</v>
      </c>
      <c r="R18">
        <v>0</v>
      </c>
      <c r="S18" t="s">
        <v>184</v>
      </c>
      <c r="T18">
        <v>1931413</v>
      </c>
      <c r="U18">
        <v>13</v>
      </c>
      <c r="V18">
        <v>25</v>
      </c>
      <c r="X18">
        <v>43789</v>
      </c>
      <c r="Y18">
        <v>9</v>
      </c>
      <c r="Z18">
        <v>1.0416666666666667</v>
      </c>
    </row>
    <row r="19" spans="1:26">
      <c r="A19" t="s">
        <v>264</v>
      </c>
      <c r="B19" s="135">
        <v>43794</v>
      </c>
      <c r="C19" t="s">
        <v>153</v>
      </c>
      <c r="D19" t="s">
        <v>153</v>
      </c>
      <c r="E19" t="s">
        <v>153</v>
      </c>
      <c r="F19" t="s">
        <v>153</v>
      </c>
      <c r="G19" t="s">
        <v>153</v>
      </c>
      <c r="J19" s="135">
        <v>43803</v>
      </c>
      <c r="K19" s="135">
        <v>43804</v>
      </c>
      <c r="L19" t="s">
        <v>154</v>
      </c>
      <c r="M19" s="135">
        <v>43809</v>
      </c>
      <c r="N19">
        <v>0.85966435185185175</v>
      </c>
      <c r="O19" t="s">
        <v>265</v>
      </c>
      <c r="P19" t="s">
        <v>107</v>
      </c>
      <c r="Q19" t="s">
        <v>156</v>
      </c>
      <c r="R19">
        <v>0</v>
      </c>
      <c r="S19" t="s">
        <v>266</v>
      </c>
      <c r="T19">
        <v>1931438</v>
      </c>
      <c r="U19">
        <v>3</v>
      </c>
      <c r="V19">
        <v>10</v>
      </c>
      <c r="X19">
        <v>43795</v>
      </c>
      <c r="Y19">
        <v>9</v>
      </c>
      <c r="Z19">
        <v>0.20833333333333334</v>
      </c>
    </row>
    <row r="20" spans="1:26">
      <c r="A20" t="s">
        <v>267</v>
      </c>
      <c r="B20" s="135">
        <v>43802</v>
      </c>
      <c r="C20" t="s">
        <v>153</v>
      </c>
      <c r="D20" t="s">
        <v>153</v>
      </c>
      <c r="E20" t="s">
        <v>153</v>
      </c>
      <c r="F20" t="s">
        <v>153</v>
      </c>
      <c r="G20" t="s">
        <v>153</v>
      </c>
      <c r="J20" s="135">
        <v>43803</v>
      </c>
      <c r="K20" s="135">
        <v>43804</v>
      </c>
      <c r="L20" t="s">
        <v>155</v>
      </c>
      <c r="M20" s="135">
        <v>43809</v>
      </c>
      <c r="N20">
        <v>0.88708333333333333</v>
      </c>
      <c r="O20" t="s">
        <v>268</v>
      </c>
      <c r="P20" t="s">
        <v>107</v>
      </c>
      <c r="Q20" t="s">
        <v>201</v>
      </c>
      <c r="R20">
        <v>0</v>
      </c>
      <c r="S20" t="s">
        <v>269</v>
      </c>
      <c r="T20">
        <v>1931443</v>
      </c>
      <c r="U20">
        <v>3</v>
      </c>
      <c r="V20">
        <v>50</v>
      </c>
      <c r="X20">
        <v>43795</v>
      </c>
      <c r="Y20">
        <v>9</v>
      </c>
      <c r="Z20">
        <v>0.79365079365079361</v>
      </c>
    </row>
    <row r="21" spans="1:26">
      <c r="A21" t="s">
        <v>270</v>
      </c>
      <c r="B21" s="135">
        <v>43802</v>
      </c>
      <c r="C21" t="s">
        <v>153</v>
      </c>
      <c r="D21" t="s">
        <v>153</v>
      </c>
      <c r="E21" t="s">
        <v>153</v>
      </c>
      <c r="F21" t="s">
        <v>153</v>
      </c>
      <c r="G21" t="s">
        <v>153</v>
      </c>
      <c r="J21" s="135">
        <v>43804</v>
      </c>
      <c r="K21" s="135">
        <v>43808</v>
      </c>
      <c r="L21" t="s">
        <v>154</v>
      </c>
      <c r="M21" s="135">
        <v>43810</v>
      </c>
      <c r="N21">
        <v>0.67615740740740737</v>
      </c>
      <c r="O21">
        <v>386</v>
      </c>
      <c r="P21" t="s">
        <v>107</v>
      </c>
      <c r="Q21" t="s">
        <v>170</v>
      </c>
      <c r="R21">
        <v>0</v>
      </c>
      <c r="S21" t="s">
        <v>206</v>
      </c>
      <c r="T21">
        <v>1931464</v>
      </c>
      <c r="U21">
        <v>3</v>
      </c>
      <c r="V21">
        <v>50</v>
      </c>
      <c r="X21">
        <v>43796</v>
      </c>
      <c r="Y21">
        <v>8</v>
      </c>
      <c r="Z21">
        <v>0.69444444444444442</v>
      </c>
    </row>
    <row r="22" spans="1:26">
      <c r="A22" t="s">
        <v>271</v>
      </c>
      <c r="B22" s="135">
        <v>43794</v>
      </c>
      <c r="C22" t="s">
        <v>153</v>
      </c>
      <c r="D22" t="s">
        <v>153</v>
      </c>
      <c r="E22" t="s">
        <v>153</v>
      </c>
      <c r="F22" t="s">
        <v>153</v>
      </c>
      <c r="G22" t="s">
        <v>153</v>
      </c>
      <c r="J22" s="135">
        <v>43804</v>
      </c>
      <c r="K22" s="135">
        <v>43808</v>
      </c>
      <c r="L22" t="s">
        <v>154</v>
      </c>
      <c r="M22" s="135">
        <v>43810</v>
      </c>
      <c r="N22">
        <v>0.73605324074074074</v>
      </c>
      <c r="O22" t="s">
        <v>272</v>
      </c>
      <c r="P22" t="s">
        <v>107</v>
      </c>
      <c r="Q22" t="s">
        <v>273</v>
      </c>
      <c r="R22">
        <v>0</v>
      </c>
      <c r="S22" t="s">
        <v>274</v>
      </c>
      <c r="T22">
        <v>1931454</v>
      </c>
      <c r="U22">
        <v>3</v>
      </c>
      <c r="V22">
        <v>25</v>
      </c>
      <c r="X22">
        <v>43798</v>
      </c>
      <c r="Y22">
        <v>9</v>
      </c>
      <c r="Z22">
        <v>0.55555555555555558</v>
      </c>
    </row>
    <row r="23" spans="1:26">
      <c r="A23" t="s">
        <v>275</v>
      </c>
      <c r="B23" s="135">
        <v>43803</v>
      </c>
      <c r="C23" t="s">
        <v>153</v>
      </c>
      <c r="D23" t="s">
        <v>153</v>
      </c>
      <c r="E23" t="s">
        <v>153</v>
      </c>
      <c r="F23" t="s">
        <v>153</v>
      </c>
      <c r="G23" t="s">
        <v>153</v>
      </c>
      <c r="H23" t="s">
        <v>276</v>
      </c>
      <c r="I23" t="s">
        <v>277</v>
      </c>
      <c r="J23" s="135">
        <v>43804</v>
      </c>
      <c r="K23" s="135">
        <v>43808</v>
      </c>
      <c r="L23" t="s">
        <v>154</v>
      </c>
      <c r="M23" s="135">
        <v>43810</v>
      </c>
      <c r="N23">
        <v>0.81834490740740751</v>
      </c>
      <c r="O23">
        <v>2115</v>
      </c>
      <c r="P23" t="s">
        <v>107</v>
      </c>
      <c r="Q23" t="s">
        <v>278</v>
      </c>
      <c r="R23">
        <v>0</v>
      </c>
      <c r="S23" t="s">
        <v>279</v>
      </c>
      <c r="T23">
        <v>1931452</v>
      </c>
      <c r="U23">
        <v>3</v>
      </c>
      <c r="V23">
        <v>60</v>
      </c>
      <c r="X23">
        <v>43798</v>
      </c>
      <c r="Y23">
        <v>9</v>
      </c>
      <c r="Z23">
        <v>0.83333333333333337</v>
      </c>
    </row>
    <row r="24" spans="1:26">
      <c r="A24" t="s">
        <v>280</v>
      </c>
      <c r="B24" s="135">
        <v>43794</v>
      </c>
      <c r="C24" t="s">
        <v>153</v>
      </c>
      <c r="D24" t="s">
        <v>153</v>
      </c>
      <c r="E24" t="s">
        <v>153</v>
      </c>
      <c r="F24" t="s">
        <v>153</v>
      </c>
      <c r="G24" t="s">
        <v>153</v>
      </c>
      <c r="J24" s="135">
        <v>43808</v>
      </c>
      <c r="K24" s="135">
        <v>43809</v>
      </c>
      <c r="L24" t="s">
        <v>154</v>
      </c>
      <c r="M24" s="135">
        <v>43811</v>
      </c>
      <c r="N24">
        <v>0.82928240740740744</v>
      </c>
      <c r="O24">
        <v>7249</v>
      </c>
      <c r="P24" t="s">
        <v>107</v>
      </c>
      <c r="Q24" t="s">
        <v>281</v>
      </c>
      <c r="R24">
        <v>0</v>
      </c>
      <c r="S24" t="s">
        <v>282</v>
      </c>
      <c r="T24">
        <v>1931460</v>
      </c>
      <c r="U24">
        <v>3</v>
      </c>
      <c r="V24">
        <v>46</v>
      </c>
      <c r="X24">
        <v>43801</v>
      </c>
      <c r="Y24">
        <v>8</v>
      </c>
      <c r="Z24">
        <v>0.8214285714285714</v>
      </c>
    </row>
    <row r="25" spans="1:26">
      <c r="A25" t="s">
        <v>283</v>
      </c>
      <c r="B25" s="135">
        <v>43794</v>
      </c>
      <c r="C25" t="s">
        <v>153</v>
      </c>
      <c r="D25" t="s">
        <v>153</v>
      </c>
      <c r="E25" t="s">
        <v>153</v>
      </c>
      <c r="F25" t="s">
        <v>153</v>
      </c>
      <c r="G25" t="s">
        <v>153</v>
      </c>
      <c r="J25" s="135">
        <v>43809</v>
      </c>
      <c r="K25" s="135">
        <v>43810</v>
      </c>
      <c r="L25" t="s">
        <v>155</v>
      </c>
      <c r="M25" s="135">
        <v>43813</v>
      </c>
      <c r="N25">
        <v>0.39392361111111113</v>
      </c>
      <c r="O25">
        <v>8489</v>
      </c>
      <c r="P25" t="s">
        <v>107</v>
      </c>
      <c r="Q25" t="s">
        <v>172</v>
      </c>
      <c r="R25">
        <v>0</v>
      </c>
      <c r="S25" t="s">
        <v>173</v>
      </c>
      <c r="T25">
        <v>1931494</v>
      </c>
      <c r="U25">
        <v>3</v>
      </c>
      <c r="V25">
        <v>20</v>
      </c>
      <c r="X25">
        <v>43808</v>
      </c>
      <c r="Y25">
        <v>9</v>
      </c>
      <c r="Z25">
        <v>0.44444444444444442</v>
      </c>
    </row>
    <row r="26" spans="1:26">
      <c r="A26" t="s">
        <v>284</v>
      </c>
      <c r="B26" s="135">
        <v>43794</v>
      </c>
      <c r="C26" t="s">
        <v>153</v>
      </c>
      <c r="D26" t="s">
        <v>153</v>
      </c>
      <c r="E26" t="s">
        <v>153</v>
      </c>
      <c r="F26" t="s">
        <v>153</v>
      </c>
      <c r="G26" t="s">
        <v>153</v>
      </c>
      <c r="J26" s="135">
        <v>43809</v>
      </c>
      <c r="K26" s="135">
        <v>43810</v>
      </c>
      <c r="L26" t="s">
        <v>155</v>
      </c>
      <c r="M26" s="135">
        <v>43813</v>
      </c>
      <c r="N26">
        <v>0.4303819444444445</v>
      </c>
      <c r="O26" t="s">
        <v>285</v>
      </c>
      <c r="P26" t="s">
        <v>107</v>
      </c>
      <c r="Q26" t="s">
        <v>183</v>
      </c>
      <c r="R26">
        <v>0</v>
      </c>
      <c r="S26" t="s">
        <v>286</v>
      </c>
      <c r="T26">
        <v>1931491</v>
      </c>
      <c r="U26">
        <v>3</v>
      </c>
      <c r="V26">
        <v>30</v>
      </c>
      <c r="X26">
        <v>43808</v>
      </c>
      <c r="Y26">
        <v>10</v>
      </c>
      <c r="Z26">
        <v>0.625</v>
      </c>
    </row>
    <row r="27" spans="1:26">
      <c r="A27" t="s">
        <v>287</v>
      </c>
      <c r="B27" s="135">
        <v>43788</v>
      </c>
      <c r="C27" t="s">
        <v>153</v>
      </c>
      <c r="D27" t="s">
        <v>153</v>
      </c>
      <c r="E27" t="s">
        <v>153</v>
      </c>
      <c r="F27" t="s">
        <v>153</v>
      </c>
      <c r="G27" t="s">
        <v>153</v>
      </c>
      <c r="H27">
        <v>799</v>
      </c>
      <c r="I27" t="s">
        <v>288</v>
      </c>
      <c r="J27" s="135">
        <v>43809</v>
      </c>
      <c r="K27" s="135">
        <v>43810</v>
      </c>
      <c r="L27" t="s">
        <v>154</v>
      </c>
      <c r="M27" s="135">
        <v>43815</v>
      </c>
      <c r="N27">
        <v>0.34997685185185184</v>
      </c>
      <c r="O27" t="s">
        <v>289</v>
      </c>
      <c r="P27" t="s">
        <v>188</v>
      </c>
      <c r="Q27" t="s">
        <v>290</v>
      </c>
      <c r="S27" t="s">
        <v>291</v>
      </c>
      <c r="T27" t="s">
        <v>292</v>
      </c>
      <c r="U27" t="s">
        <v>176</v>
      </c>
      <c r="V27">
        <v>3000</v>
      </c>
      <c r="W27" t="s">
        <v>293</v>
      </c>
      <c r="X27">
        <v>43815.79855324074</v>
      </c>
      <c r="Y27">
        <v>7</v>
      </c>
    </row>
    <row r="28" spans="1:26">
      <c r="A28" t="s">
        <v>294</v>
      </c>
      <c r="B28" s="135">
        <v>43803</v>
      </c>
      <c r="C28" t="s">
        <v>153</v>
      </c>
      <c r="D28" t="s">
        <v>153</v>
      </c>
      <c r="E28" t="s">
        <v>153</v>
      </c>
      <c r="F28" t="s">
        <v>153</v>
      </c>
      <c r="G28" t="s">
        <v>153</v>
      </c>
      <c r="J28" s="135">
        <v>43802</v>
      </c>
      <c r="K28" s="135">
        <v>43803</v>
      </c>
      <c r="L28" t="s">
        <v>154</v>
      </c>
      <c r="M28" s="135">
        <v>43808</v>
      </c>
      <c r="N28">
        <v>0.31153935185185183</v>
      </c>
      <c r="O28">
        <v>1443</v>
      </c>
      <c r="P28" t="s">
        <v>106</v>
      </c>
      <c r="Q28" t="s">
        <v>190</v>
      </c>
      <c r="R28">
        <v>8.5</v>
      </c>
      <c r="S28" t="s">
        <v>204</v>
      </c>
      <c r="T28">
        <v>1910429</v>
      </c>
      <c r="U28">
        <v>3</v>
      </c>
      <c r="V28">
        <v>83</v>
      </c>
      <c r="X28">
        <v>43819</v>
      </c>
      <c r="Y28">
        <v>7</v>
      </c>
      <c r="Z28">
        <v>1.7291666666666667</v>
      </c>
    </row>
    <row r="29" spans="1:26">
      <c r="A29" t="s">
        <v>174</v>
      </c>
      <c r="B29" s="135">
        <v>43804</v>
      </c>
      <c r="C29" t="s">
        <v>153</v>
      </c>
      <c r="D29" t="s">
        <v>153</v>
      </c>
      <c r="E29" t="s">
        <v>153</v>
      </c>
      <c r="F29" t="s">
        <v>153</v>
      </c>
      <c r="G29" t="s">
        <v>153</v>
      </c>
      <c r="J29" s="135">
        <v>43804</v>
      </c>
      <c r="K29" s="135">
        <v>43808</v>
      </c>
      <c r="L29" t="s">
        <v>155</v>
      </c>
      <c r="M29" s="135">
        <v>43809</v>
      </c>
      <c r="N29">
        <v>0.35417824074074072</v>
      </c>
      <c r="O29">
        <v>71021</v>
      </c>
      <c r="P29" t="s">
        <v>106</v>
      </c>
      <c r="Q29" t="s">
        <v>175</v>
      </c>
      <c r="R29">
        <v>7</v>
      </c>
      <c r="S29" t="s">
        <v>207</v>
      </c>
      <c r="T29">
        <v>1950096</v>
      </c>
      <c r="U29" t="s">
        <v>176</v>
      </c>
      <c r="V29">
        <v>10000</v>
      </c>
      <c r="X29">
        <v>43823</v>
      </c>
      <c r="Y29">
        <v>2</v>
      </c>
      <c r="Z29">
        <v>2.2222222222222223</v>
      </c>
    </row>
    <row r="30" spans="1:26">
      <c r="A30" t="s">
        <v>191</v>
      </c>
      <c r="B30" s="135">
        <v>43803</v>
      </c>
      <c r="C30" t="s">
        <v>153</v>
      </c>
      <c r="D30" t="s">
        <v>153</v>
      </c>
      <c r="E30" t="s">
        <v>153</v>
      </c>
      <c r="F30" t="s">
        <v>153</v>
      </c>
      <c r="G30" t="s">
        <v>153</v>
      </c>
      <c r="J30" s="135">
        <v>43803</v>
      </c>
      <c r="K30" s="135">
        <v>43804</v>
      </c>
      <c r="L30" t="s">
        <v>155</v>
      </c>
      <c r="M30" s="135">
        <v>43808</v>
      </c>
      <c r="N30">
        <v>0.27436342592592594</v>
      </c>
      <c r="O30">
        <v>698</v>
      </c>
      <c r="P30" t="s">
        <v>108</v>
      </c>
      <c r="Q30" t="s">
        <v>295</v>
      </c>
      <c r="R30">
        <v>0</v>
      </c>
      <c r="S30" t="s">
        <v>296</v>
      </c>
      <c r="T30">
        <v>1940086</v>
      </c>
      <c r="U30">
        <v>1</v>
      </c>
      <c r="V30">
        <v>100</v>
      </c>
      <c r="W30" t="s">
        <v>297</v>
      </c>
      <c r="X30">
        <v>43815</v>
      </c>
      <c r="Y30">
        <v>3</v>
      </c>
      <c r="Z30">
        <v>4.125</v>
      </c>
    </row>
    <row r="31" spans="1:26">
      <c r="A31" t="s">
        <v>298</v>
      </c>
      <c r="B31">
        <v>43810</v>
      </c>
      <c r="C31" t="s">
        <v>153</v>
      </c>
      <c r="D31" t="s">
        <v>153</v>
      </c>
      <c r="E31" t="s">
        <v>153</v>
      </c>
      <c r="F31" t="s">
        <v>153</v>
      </c>
      <c r="G31" t="s">
        <v>153</v>
      </c>
      <c r="J31">
        <v>43811</v>
      </c>
      <c r="K31">
        <v>43815</v>
      </c>
      <c r="L31" t="s">
        <v>154</v>
      </c>
      <c r="M31">
        <v>43816</v>
      </c>
      <c r="N31">
        <v>0.52685185185185179</v>
      </c>
      <c r="O31">
        <v>7830</v>
      </c>
      <c r="P31" t="s">
        <v>103</v>
      </c>
      <c r="Q31" t="s">
        <v>162</v>
      </c>
      <c r="R31">
        <v>0</v>
      </c>
      <c r="S31" t="s">
        <v>163</v>
      </c>
      <c r="T31">
        <v>1920957</v>
      </c>
      <c r="U31">
        <v>13</v>
      </c>
      <c r="V31">
        <v>90</v>
      </c>
      <c r="W31" t="s">
        <v>299</v>
      </c>
      <c r="X31">
        <v>43816</v>
      </c>
      <c r="Y31">
        <v>5</v>
      </c>
      <c r="Z31">
        <v>0.5027932960893855</v>
      </c>
    </row>
    <row r="32" spans="1:26">
      <c r="A32" t="s">
        <v>300</v>
      </c>
      <c r="B32">
        <v>43810</v>
      </c>
      <c r="C32" t="s">
        <v>153</v>
      </c>
      <c r="D32" t="s">
        <v>153</v>
      </c>
      <c r="E32" t="s">
        <v>153</v>
      </c>
      <c r="F32" t="s">
        <v>153</v>
      </c>
      <c r="G32" t="s">
        <v>153</v>
      </c>
      <c r="H32" t="s">
        <v>153</v>
      </c>
      <c r="I32" t="s">
        <v>153</v>
      </c>
      <c r="J32">
        <v>43810</v>
      </c>
      <c r="K32">
        <v>43811</v>
      </c>
      <c r="L32" t="s">
        <v>155</v>
      </c>
      <c r="M32">
        <v>43815</v>
      </c>
      <c r="N32">
        <v>0.27619212962962963</v>
      </c>
      <c r="O32">
        <v>1634</v>
      </c>
      <c r="P32" t="s">
        <v>104</v>
      </c>
      <c r="Q32" t="s">
        <v>301</v>
      </c>
      <c r="R32">
        <v>8</v>
      </c>
      <c r="S32" t="s">
        <v>302</v>
      </c>
      <c r="T32">
        <v>1920980</v>
      </c>
      <c r="U32">
        <v>13</v>
      </c>
      <c r="V32">
        <v>14</v>
      </c>
      <c r="X32">
        <v>43805</v>
      </c>
      <c r="Y32">
        <v>3</v>
      </c>
      <c r="Z32">
        <v>7.2916666666666671E-2</v>
      </c>
    </row>
    <row r="33" spans="1:26">
      <c r="A33" t="s">
        <v>303</v>
      </c>
      <c r="B33">
        <v>43810</v>
      </c>
      <c r="C33" t="s">
        <v>153</v>
      </c>
      <c r="D33" t="s">
        <v>153</v>
      </c>
      <c r="E33" t="s">
        <v>153</v>
      </c>
      <c r="F33" t="s">
        <v>153</v>
      </c>
      <c r="G33" t="s">
        <v>153</v>
      </c>
      <c r="H33" t="s">
        <v>153</v>
      </c>
      <c r="I33" t="s">
        <v>153</v>
      </c>
      <c r="J33">
        <v>43810</v>
      </c>
      <c r="K33">
        <v>43811</v>
      </c>
      <c r="L33" t="s">
        <v>155</v>
      </c>
      <c r="M33">
        <v>43815</v>
      </c>
      <c r="N33">
        <v>0.29077546296296297</v>
      </c>
      <c r="O33">
        <v>1644</v>
      </c>
      <c r="P33" t="s">
        <v>104</v>
      </c>
      <c r="Q33" t="s">
        <v>301</v>
      </c>
      <c r="R33">
        <v>8</v>
      </c>
      <c r="S33" t="s">
        <v>304</v>
      </c>
      <c r="T33">
        <v>1920981</v>
      </c>
      <c r="U33">
        <v>13</v>
      </c>
      <c r="V33">
        <v>240</v>
      </c>
      <c r="X33">
        <v>43805</v>
      </c>
      <c r="Y33">
        <v>3</v>
      </c>
      <c r="Z33">
        <v>1.25</v>
      </c>
    </row>
    <row r="34" spans="1:26">
      <c r="A34" t="s">
        <v>305</v>
      </c>
      <c r="B34">
        <v>43809</v>
      </c>
      <c r="C34" t="s">
        <v>153</v>
      </c>
      <c r="D34" t="s">
        <v>153</v>
      </c>
      <c r="E34" t="s">
        <v>153</v>
      </c>
      <c r="F34" t="s">
        <v>153</v>
      </c>
      <c r="G34" t="s">
        <v>153</v>
      </c>
      <c r="H34" t="s">
        <v>153</v>
      </c>
      <c r="I34" t="s">
        <v>153</v>
      </c>
      <c r="J34">
        <v>43810</v>
      </c>
      <c r="K34">
        <v>43811</v>
      </c>
      <c r="L34" t="s">
        <v>155</v>
      </c>
      <c r="M34">
        <v>43815</v>
      </c>
      <c r="N34">
        <v>0.27538194444444447</v>
      </c>
      <c r="O34">
        <v>5822</v>
      </c>
      <c r="P34" t="s">
        <v>105</v>
      </c>
      <c r="Q34" t="s">
        <v>166</v>
      </c>
      <c r="R34">
        <v>11.5</v>
      </c>
      <c r="S34" t="s">
        <v>177</v>
      </c>
      <c r="T34">
        <v>1920924</v>
      </c>
      <c r="U34">
        <v>3</v>
      </c>
      <c r="V34">
        <v>187</v>
      </c>
      <c r="X34">
        <v>43826</v>
      </c>
      <c r="Y34">
        <v>6</v>
      </c>
      <c r="Z34">
        <v>0.8657407407407407</v>
      </c>
    </row>
    <row r="35" spans="1:26">
      <c r="A35" t="s">
        <v>306</v>
      </c>
      <c r="B35">
        <v>43810</v>
      </c>
      <c r="C35" t="s">
        <v>153</v>
      </c>
      <c r="D35" t="s">
        <v>153</v>
      </c>
      <c r="E35" t="s">
        <v>153</v>
      </c>
      <c r="F35" t="s">
        <v>153</v>
      </c>
      <c r="G35" t="s">
        <v>153</v>
      </c>
      <c r="H35" t="s">
        <v>153</v>
      </c>
      <c r="I35" t="s">
        <v>153</v>
      </c>
      <c r="J35">
        <v>43810</v>
      </c>
      <c r="K35">
        <v>43811</v>
      </c>
      <c r="L35" t="s">
        <v>155</v>
      </c>
      <c r="M35">
        <v>43815</v>
      </c>
      <c r="N35">
        <v>0.43953703703703706</v>
      </c>
      <c r="O35">
        <v>729</v>
      </c>
      <c r="P35" t="s">
        <v>105</v>
      </c>
      <c r="Q35" t="s">
        <v>166</v>
      </c>
      <c r="R35">
        <v>11.5</v>
      </c>
      <c r="S35" t="s">
        <v>167</v>
      </c>
      <c r="T35">
        <v>1920973</v>
      </c>
      <c r="U35">
        <v>3</v>
      </c>
      <c r="V35">
        <v>50</v>
      </c>
      <c r="X35">
        <v>43803</v>
      </c>
      <c r="Y35">
        <v>6</v>
      </c>
      <c r="Z35">
        <v>0.23148148148148148</v>
      </c>
    </row>
    <row r="36" spans="1:26">
      <c r="A36" t="s">
        <v>307</v>
      </c>
      <c r="B36">
        <v>43810</v>
      </c>
      <c r="C36" t="s">
        <v>153</v>
      </c>
      <c r="D36" t="s">
        <v>153</v>
      </c>
      <c r="E36" t="s">
        <v>153</v>
      </c>
      <c r="F36" t="s">
        <v>153</v>
      </c>
      <c r="G36" t="s">
        <v>153</v>
      </c>
      <c r="H36" t="s">
        <v>153</v>
      </c>
      <c r="J36">
        <v>43810</v>
      </c>
      <c r="K36">
        <v>43811</v>
      </c>
      <c r="L36" t="s">
        <v>155</v>
      </c>
      <c r="M36">
        <v>43815</v>
      </c>
      <c r="N36">
        <v>0.49311342592592594</v>
      </c>
      <c r="O36">
        <v>726</v>
      </c>
      <c r="P36" t="s">
        <v>105</v>
      </c>
      <c r="Q36" t="s">
        <v>166</v>
      </c>
      <c r="R36">
        <v>11.5</v>
      </c>
      <c r="S36" t="s">
        <v>167</v>
      </c>
      <c r="T36">
        <v>1920976</v>
      </c>
      <c r="U36">
        <v>3</v>
      </c>
      <c r="V36">
        <v>648</v>
      </c>
      <c r="X36">
        <v>43824</v>
      </c>
      <c r="Y36">
        <v>6</v>
      </c>
      <c r="Z36">
        <v>3</v>
      </c>
    </row>
    <row r="37" spans="1:26">
      <c r="A37" t="s">
        <v>308</v>
      </c>
      <c r="B37">
        <v>43804</v>
      </c>
      <c r="C37" t="s">
        <v>153</v>
      </c>
      <c r="D37" t="s">
        <v>153</v>
      </c>
      <c r="E37" t="s">
        <v>153</v>
      </c>
      <c r="F37" t="s">
        <v>153</v>
      </c>
      <c r="G37" t="s">
        <v>153</v>
      </c>
      <c r="H37" t="s">
        <v>153</v>
      </c>
      <c r="I37" t="s">
        <v>153</v>
      </c>
      <c r="J37">
        <v>43809</v>
      </c>
      <c r="K37">
        <v>43810</v>
      </c>
      <c r="L37" t="s">
        <v>155</v>
      </c>
      <c r="M37">
        <v>43815</v>
      </c>
      <c r="N37">
        <v>0.27480324074074075</v>
      </c>
      <c r="O37">
        <v>5823</v>
      </c>
      <c r="P37" t="s">
        <v>107</v>
      </c>
      <c r="Q37" t="s">
        <v>183</v>
      </c>
      <c r="R37">
        <v>0</v>
      </c>
      <c r="S37" t="s">
        <v>187</v>
      </c>
      <c r="T37">
        <v>1931433</v>
      </c>
      <c r="U37">
        <v>13</v>
      </c>
      <c r="V37">
        <v>45</v>
      </c>
      <c r="X37">
        <v>43850</v>
      </c>
      <c r="Y37">
        <v>10</v>
      </c>
      <c r="Z37">
        <v>1</v>
      </c>
    </row>
    <row r="38" spans="1:26">
      <c r="A38" t="s">
        <v>309</v>
      </c>
      <c r="B38">
        <v>43809</v>
      </c>
      <c r="C38" t="s">
        <v>153</v>
      </c>
      <c r="D38" t="s">
        <v>153</v>
      </c>
      <c r="E38" t="s">
        <v>153</v>
      </c>
      <c r="F38" t="s">
        <v>153</v>
      </c>
      <c r="G38" t="s">
        <v>153</v>
      </c>
      <c r="H38" t="s">
        <v>153</v>
      </c>
      <c r="I38" t="s">
        <v>153</v>
      </c>
      <c r="J38">
        <v>43809</v>
      </c>
      <c r="K38">
        <v>43810</v>
      </c>
      <c r="L38" t="s">
        <v>155</v>
      </c>
      <c r="M38">
        <v>43815</v>
      </c>
      <c r="N38">
        <v>0.34511574074074075</v>
      </c>
      <c r="O38" t="s">
        <v>310</v>
      </c>
      <c r="P38" t="s">
        <v>107</v>
      </c>
      <c r="Q38" t="s">
        <v>180</v>
      </c>
      <c r="R38">
        <v>0</v>
      </c>
      <c r="S38" t="s">
        <v>311</v>
      </c>
      <c r="T38">
        <v>1931484</v>
      </c>
      <c r="U38">
        <v>3</v>
      </c>
      <c r="V38">
        <v>45</v>
      </c>
      <c r="W38" t="s">
        <v>312</v>
      </c>
      <c r="X38">
        <v>43805</v>
      </c>
      <c r="Y38">
        <v>11</v>
      </c>
      <c r="Z38">
        <v>1</v>
      </c>
    </row>
    <row r="39" spans="1:26">
      <c r="A39" t="s">
        <v>313</v>
      </c>
      <c r="B39">
        <v>43803</v>
      </c>
      <c r="C39" t="s">
        <v>153</v>
      </c>
      <c r="D39" t="s">
        <v>153</v>
      </c>
      <c r="E39" t="s">
        <v>153</v>
      </c>
      <c r="F39" t="s">
        <v>153</v>
      </c>
      <c r="G39" t="s">
        <v>153</v>
      </c>
      <c r="H39" t="s">
        <v>153</v>
      </c>
      <c r="J39">
        <v>43809</v>
      </c>
      <c r="K39">
        <v>43810</v>
      </c>
      <c r="L39" t="s">
        <v>155</v>
      </c>
      <c r="M39">
        <v>43815</v>
      </c>
      <c r="N39">
        <v>0.43626157407407407</v>
      </c>
      <c r="O39" t="s">
        <v>314</v>
      </c>
      <c r="P39" t="s">
        <v>107</v>
      </c>
      <c r="Q39" t="s">
        <v>315</v>
      </c>
      <c r="R39">
        <v>0</v>
      </c>
      <c r="S39" t="s">
        <v>316</v>
      </c>
      <c r="T39">
        <v>1931537</v>
      </c>
      <c r="U39">
        <v>13</v>
      </c>
      <c r="V39">
        <v>10</v>
      </c>
      <c r="W39" t="s">
        <v>317</v>
      </c>
      <c r="X39">
        <v>43817</v>
      </c>
      <c r="Y39">
        <v>17</v>
      </c>
      <c r="Z39">
        <v>0.41666666666666669</v>
      </c>
    </row>
    <row r="40" spans="1:26">
      <c r="A40" t="s">
        <v>318</v>
      </c>
      <c r="B40">
        <v>43809</v>
      </c>
      <c r="C40" t="s">
        <v>153</v>
      </c>
      <c r="D40" t="s">
        <v>153</v>
      </c>
      <c r="E40" t="s">
        <v>153</v>
      </c>
      <c r="F40" t="s">
        <v>153</v>
      </c>
      <c r="G40" t="s">
        <v>153</v>
      </c>
      <c r="J40">
        <v>43809</v>
      </c>
      <c r="K40">
        <v>43810</v>
      </c>
      <c r="L40" t="s">
        <v>154</v>
      </c>
      <c r="M40">
        <v>43815</v>
      </c>
      <c r="N40">
        <v>0.46884259259259259</v>
      </c>
      <c r="O40" t="s">
        <v>314</v>
      </c>
      <c r="P40" t="s">
        <v>107</v>
      </c>
      <c r="Q40" t="s">
        <v>315</v>
      </c>
      <c r="R40">
        <v>0</v>
      </c>
      <c r="S40" t="s">
        <v>316</v>
      </c>
      <c r="T40">
        <v>1931391</v>
      </c>
      <c r="U40">
        <v>13</v>
      </c>
      <c r="V40">
        <v>10</v>
      </c>
      <c r="W40" t="s">
        <v>319</v>
      </c>
      <c r="X40">
        <v>43787</v>
      </c>
      <c r="Y40">
        <v>17</v>
      </c>
      <c r="Z40">
        <v>0.41666666666666669</v>
      </c>
    </row>
    <row r="41" spans="1:26">
      <c r="A41" t="s">
        <v>320</v>
      </c>
      <c r="B41">
        <v>43804</v>
      </c>
      <c r="C41" t="s">
        <v>153</v>
      </c>
      <c r="D41" t="s">
        <v>153</v>
      </c>
      <c r="E41" t="s">
        <v>153</v>
      </c>
      <c r="F41" t="s">
        <v>153</v>
      </c>
      <c r="G41" t="s">
        <v>153</v>
      </c>
      <c r="H41" t="s">
        <v>153</v>
      </c>
      <c r="I41" t="s">
        <v>153</v>
      </c>
      <c r="J41">
        <v>43809</v>
      </c>
      <c r="K41">
        <v>43810</v>
      </c>
      <c r="L41" t="s">
        <v>154</v>
      </c>
      <c r="M41">
        <v>43815</v>
      </c>
      <c r="N41">
        <v>0.50142361111111111</v>
      </c>
      <c r="O41">
        <v>749</v>
      </c>
      <c r="P41" t="s">
        <v>107</v>
      </c>
      <c r="Q41" t="s">
        <v>183</v>
      </c>
      <c r="R41">
        <v>0</v>
      </c>
      <c r="S41" t="s">
        <v>321</v>
      </c>
      <c r="T41">
        <v>1931381</v>
      </c>
      <c r="U41">
        <v>13</v>
      </c>
      <c r="V41">
        <v>135</v>
      </c>
      <c r="X41">
        <v>43844</v>
      </c>
      <c r="Y41">
        <v>10</v>
      </c>
      <c r="Z41">
        <v>3</v>
      </c>
    </row>
    <row r="42" spans="1:26">
      <c r="A42" t="s">
        <v>322</v>
      </c>
      <c r="B42">
        <v>43804</v>
      </c>
      <c r="C42" t="s">
        <v>153</v>
      </c>
      <c r="D42" t="s">
        <v>153</v>
      </c>
      <c r="E42" t="s">
        <v>153</v>
      </c>
      <c r="F42" t="s">
        <v>153</v>
      </c>
      <c r="G42" t="s">
        <v>153</v>
      </c>
      <c r="J42">
        <v>43809</v>
      </c>
      <c r="K42">
        <v>43810</v>
      </c>
      <c r="L42" t="s">
        <v>154</v>
      </c>
      <c r="M42">
        <v>43815</v>
      </c>
      <c r="N42">
        <v>0.77486111111111111</v>
      </c>
      <c r="O42" t="s">
        <v>323</v>
      </c>
      <c r="P42" t="s">
        <v>107</v>
      </c>
      <c r="Q42" t="s">
        <v>324</v>
      </c>
      <c r="R42">
        <v>0</v>
      </c>
      <c r="S42" t="s">
        <v>325</v>
      </c>
      <c r="T42">
        <v>1931418</v>
      </c>
      <c r="U42">
        <v>3</v>
      </c>
      <c r="V42">
        <v>12</v>
      </c>
      <c r="W42" t="s">
        <v>198</v>
      </c>
      <c r="X42">
        <v>43791</v>
      </c>
      <c r="Y42">
        <v>12</v>
      </c>
      <c r="Z42">
        <v>0.25</v>
      </c>
    </row>
    <row r="43" spans="1:26">
      <c r="A43" t="s">
        <v>326</v>
      </c>
      <c r="B43">
        <v>43810</v>
      </c>
      <c r="C43" t="s">
        <v>153</v>
      </c>
      <c r="D43" t="s">
        <v>153</v>
      </c>
      <c r="E43" t="s">
        <v>153</v>
      </c>
      <c r="F43" t="s">
        <v>153</v>
      </c>
      <c r="G43" t="s">
        <v>153</v>
      </c>
      <c r="J43">
        <v>43809</v>
      </c>
      <c r="K43">
        <v>43810</v>
      </c>
      <c r="L43" t="s">
        <v>154</v>
      </c>
      <c r="M43">
        <v>43815</v>
      </c>
      <c r="N43">
        <v>0.80506944444444439</v>
      </c>
      <c r="O43" t="s">
        <v>323</v>
      </c>
      <c r="P43" t="s">
        <v>107</v>
      </c>
      <c r="Q43" t="s">
        <v>324</v>
      </c>
      <c r="R43">
        <v>0</v>
      </c>
      <c r="S43" t="s">
        <v>325</v>
      </c>
      <c r="T43">
        <v>1931557</v>
      </c>
      <c r="U43">
        <v>3</v>
      </c>
      <c r="V43">
        <v>11</v>
      </c>
      <c r="W43" t="s">
        <v>198</v>
      </c>
      <c r="X43">
        <v>43833</v>
      </c>
      <c r="Y43">
        <v>12</v>
      </c>
      <c r="Z43">
        <v>0.22916666666666666</v>
      </c>
    </row>
    <row r="44" spans="1:26">
      <c r="A44" t="s">
        <v>326</v>
      </c>
      <c r="B44">
        <v>43810</v>
      </c>
      <c r="C44" t="s">
        <v>153</v>
      </c>
      <c r="D44" t="s">
        <v>153</v>
      </c>
      <c r="E44" t="s">
        <v>153</v>
      </c>
      <c r="F44" t="s">
        <v>153</v>
      </c>
      <c r="G44" t="s">
        <v>153</v>
      </c>
      <c r="J44">
        <v>43809</v>
      </c>
      <c r="K44">
        <v>43810</v>
      </c>
      <c r="L44" t="s">
        <v>154</v>
      </c>
      <c r="M44">
        <v>43815</v>
      </c>
      <c r="N44">
        <v>0.83450231481481485</v>
      </c>
      <c r="O44" t="s">
        <v>323</v>
      </c>
      <c r="P44" t="s">
        <v>107</v>
      </c>
      <c r="Q44" t="s">
        <v>324</v>
      </c>
      <c r="R44">
        <v>0</v>
      </c>
      <c r="S44" t="s">
        <v>325</v>
      </c>
      <c r="T44">
        <v>1931558</v>
      </c>
      <c r="U44">
        <v>3</v>
      </c>
      <c r="V44">
        <v>2</v>
      </c>
      <c r="W44" t="s">
        <v>198</v>
      </c>
      <c r="X44">
        <v>43833</v>
      </c>
      <c r="Y44">
        <v>12</v>
      </c>
      <c r="Z44">
        <v>4.1666666666666664E-2</v>
      </c>
    </row>
    <row r="45" spans="1:26">
      <c r="A45" t="s">
        <v>327</v>
      </c>
      <c r="B45">
        <v>43804</v>
      </c>
      <c r="C45" t="s">
        <v>153</v>
      </c>
      <c r="D45" t="s">
        <v>153</v>
      </c>
      <c r="E45" t="s">
        <v>153</v>
      </c>
      <c r="F45" t="s">
        <v>153</v>
      </c>
      <c r="G45" t="s">
        <v>153</v>
      </c>
      <c r="H45" t="s">
        <v>153</v>
      </c>
      <c r="I45" t="s">
        <v>153</v>
      </c>
      <c r="J45">
        <v>43809</v>
      </c>
      <c r="K45">
        <v>43810</v>
      </c>
      <c r="L45" t="s">
        <v>154</v>
      </c>
      <c r="M45">
        <v>43815</v>
      </c>
      <c r="N45">
        <v>0.85689814814814813</v>
      </c>
      <c r="O45">
        <v>1065</v>
      </c>
      <c r="P45" t="s">
        <v>107</v>
      </c>
      <c r="Q45" t="s">
        <v>202</v>
      </c>
      <c r="R45">
        <v>0</v>
      </c>
      <c r="S45" t="s">
        <v>328</v>
      </c>
      <c r="T45">
        <v>1931446</v>
      </c>
      <c r="U45">
        <v>3</v>
      </c>
      <c r="V45">
        <v>30</v>
      </c>
      <c r="X45">
        <v>43797</v>
      </c>
      <c r="Y45">
        <v>9</v>
      </c>
      <c r="Z45">
        <v>0.3125</v>
      </c>
    </row>
    <row r="46" spans="1:26">
      <c r="A46" t="s">
        <v>329</v>
      </c>
      <c r="B46">
        <v>43804</v>
      </c>
      <c r="C46" t="s">
        <v>153</v>
      </c>
      <c r="D46" t="s">
        <v>153</v>
      </c>
      <c r="E46" t="s">
        <v>153</v>
      </c>
      <c r="F46" t="s">
        <v>153</v>
      </c>
      <c r="G46" t="s">
        <v>153</v>
      </c>
      <c r="H46" t="s">
        <v>153</v>
      </c>
      <c r="I46" t="s">
        <v>153</v>
      </c>
      <c r="J46">
        <v>43809</v>
      </c>
      <c r="K46">
        <v>43810</v>
      </c>
      <c r="L46" t="s">
        <v>155</v>
      </c>
      <c r="M46">
        <v>43815</v>
      </c>
      <c r="N46">
        <v>0.9011689814814815</v>
      </c>
      <c r="O46">
        <v>6407</v>
      </c>
      <c r="P46" t="s">
        <v>107</v>
      </c>
      <c r="Q46" t="s">
        <v>330</v>
      </c>
      <c r="R46">
        <v>0</v>
      </c>
      <c r="S46" t="s">
        <v>331</v>
      </c>
      <c r="T46">
        <v>1931470</v>
      </c>
      <c r="U46">
        <v>3</v>
      </c>
      <c r="V46">
        <v>12</v>
      </c>
      <c r="W46" t="s">
        <v>198</v>
      </c>
      <c r="X46">
        <v>43802</v>
      </c>
      <c r="Y46">
        <v>11</v>
      </c>
      <c r="Z46">
        <v>0.26666666666666666</v>
      </c>
    </row>
    <row r="47" spans="1:26">
      <c r="A47" t="s">
        <v>332</v>
      </c>
      <c r="B47">
        <v>43804</v>
      </c>
      <c r="C47" t="s">
        <v>153</v>
      </c>
      <c r="D47" t="s">
        <v>153</v>
      </c>
      <c r="E47" t="s">
        <v>153</v>
      </c>
      <c r="F47" t="s">
        <v>153</v>
      </c>
      <c r="G47" t="s">
        <v>153</v>
      </c>
      <c r="H47" t="s">
        <v>153</v>
      </c>
      <c r="I47" t="s">
        <v>153</v>
      </c>
      <c r="J47">
        <v>43809</v>
      </c>
      <c r="K47">
        <v>43810</v>
      </c>
      <c r="L47" t="s">
        <v>155</v>
      </c>
      <c r="M47">
        <v>43815</v>
      </c>
      <c r="N47">
        <v>0.9474189814814814</v>
      </c>
      <c r="O47">
        <v>6791</v>
      </c>
      <c r="P47" t="s">
        <v>107</v>
      </c>
      <c r="Q47" t="s">
        <v>333</v>
      </c>
      <c r="R47">
        <v>0</v>
      </c>
      <c r="S47" t="s">
        <v>334</v>
      </c>
      <c r="T47">
        <v>1931480</v>
      </c>
      <c r="U47">
        <v>3</v>
      </c>
      <c r="V47">
        <v>10</v>
      </c>
      <c r="W47" t="s">
        <v>335</v>
      </c>
      <c r="X47">
        <v>43805</v>
      </c>
      <c r="Y47">
        <v>12</v>
      </c>
      <c r="Z47">
        <v>0.22222222222222221</v>
      </c>
    </row>
    <row r="48" spans="1:26">
      <c r="A48" t="s">
        <v>336</v>
      </c>
      <c r="B48">
        <v>43804</v>
      </c>
      <c r="C48" t="s">
        <v>153</v>
      </c>
      <c r="D48" t="s">
        <v>153</v>
      </c>
      <c r="E48" t="s">
        <v>153</v>
      </c>
      <c r="F48" t="s">
        <v>153</v>
      </c>
      <c r="G48" t="s">
        <v>153</v>
      </c>
      <c r="H48" t="s">
        <v>153</v>
      </c>
      <c r="I48" t="s">
        <v>153</v>
      </c>
      <c r="J48">
        <v>43810</v>
      </c>
      <c r="K48">
        <v>43811</v>
      </c>
      <c r="L48" t="s">
        <v>155</v>
      </c>
      <c r="M48">
        <v>43816</v>
      </c>
      <c r="N48">
        <v>0.28283564814814816</v>
      </c>
      <c r="O48" t="s">
        <v>337</v>
      </c>
      <c r="P48" t="s">
        <v>107</v>
      </c>
      <c r="Q48" t="s">
        <v>182</v>
      </c>
      <c r="R48">
        <v>0</v>
      </c>
      <c r="S48" t="s">
        <v>338</v>
      </c>
      <c r="T48">
        <v>1931486</v>
      </c>
      <c r="U48">
        <v>3</v>
      </c>
      <c r="V48">
        <v>17</v>
      </c>
      <c r="X48">
        <v>43808</v>
      </c>
      <c r="Y48">
        <v>11</v>
      </c>
      <c r="Z48">
        <v>0.26984126984126983</v>
      </c>
    </row>
    <row r="49" spans="1:26">
      <c r="A49" t="s">
        <v>339</v>
      </c>
      <c r="B49">
        <v>43804</v>
      </c>
      <c r="C49" t="s">
        <v>153</v>
      </c>
      <c r="D49" t="s">
        <v>153</v>
      </c>
      <c r="E49" t="s">
        <v>153</v>
      </c>
      <c r="F49" t="s">
        <v>153</v>
      </c>
      <c r="G49" t="s">
        <v>153</v>
      </c>
      <c r="H49" t="s">
        <v>153</v>
      </c>
      <c r="J49">
        <v>43810</v>
      </c>
      <c r="K49">
        <v>43811</v>
      </c>
      <c r="L49" t="s">
        <v>155</v>
      </c>
      <c r="M49">
        <v>43816</v>
      </c>
      <c r="N49">
        <v>0.32491898148148146</v>
      </c>
      <c r="O49" t="s">
        <v>340</v>
      </c>
      <c r="P49" t="s">
        <v>107</v>
      </c>
      <c r="Q49" t="s">
        <v>341</v>
      </c>
      <c r="R49">
        <v>0</v>
      </c>
      <c r="S49" t="s">
        <v>342</v>
      </c>
      <c r="T49">
        <v>1931488</v>
      </c>
      <c r="U49">
        <v>3</v>
      </c>
      <c r="V49">
        <v>10</v>
      </c>
      <c r="X49">
        <v>43808</v>
      </c>
      <c r="Y49">
        <v>10</v>
      </c>
      <c r="Z49">
        <v>0.22222222222222221</v>
      </c>
    </row>
    <row r="50" spans="1:26">
      <c r="A50" t="s">
        <v>343</v>
      </c>
      <c r="B50">
        <v>43804</v>
      </c>
      <c r="C50" t="s">
        <v>153</v>
      </c>
      <c r="D50" t="s">
        <v>153</v>
      </c>
      <c r="E50" t="s">
        <v>153</v>
      </c>
      <c r="F50" t="s">
        <v>153</v>
      </c>
      <c r="G50" t="s">
        <v>153</v>
      </c>
      <c r="J50">
        <v>43810</v>
      </c>
      <c r="K50">
        <v>43811</v>
      </c>
      <c r="L50" t="s">
        <v>155</v>
      </c>
      <c r="M50">
        <v>43816</v>
      </c>
      <c r="N50">
        <v>0.36137731481481478</v>
      </c>
      <c r="O50">
        <v>3898</v>
      </c>
      <c r="P50" t="s">
        <v>107</v>
      </c>
      <c r="Q50" t="s">
        <v>203</v>
      </c>
      <c r="R50">
        <v>0</v>
      </c>
      <c r="S50" t="s">
        <v>344</v>
      </c>
      <c r="T50">
        <v>1931476</v>
      </c>
      <c r="U50">
        <v>3</v>
      </c>
      <c r="V50">
        <v>10</v>
      </c>
      <c r="X50">
        <v>43803</v>
      </c>
      <c r="Y50">
        <v>10</v>
      </c>
      <c r="Z50">
        <v>0.15873015873015872</v>
      </c>
    </row>
    <row r="51" spans="1:26">
      <c r="A51" t="s">
        <v>345</v>
      </c>
      <c r="B51">
        <v>43811</v>
      </c>
      <c r="C51" t="s">
        <v>153</v>
      </c>
      <c r="D51" t="s">
        <v>153</v>
      </c>
      <c r="E51" t="s">
        <v>153</v>
      </c>
      <c r="F51" t="s">
        <v>153</v>
      </c>
      <c r="G51" t="s">
        <v>153</v>
      </c>
      <c r="H51" t="s">
        <v>153</v>
      </c>
      <c r="I51" t="s">
        <v>153</v>
      </c>
      <c r="J51">
        <v>43810</v>
      </c>
      <c r="K51">
        <v>43811</v>
      </c>
      <c r="L51" t="s">
        <v>155</v>
      </c>
      <c r="M51">
        <v>43816</v>
      </c>
      <c r="N51">
        <v>0.39783564814814815</v>
      </c>
      <c r="O51" t="s">
        <v>346</v>
      </c>
      <c r="P51" t="s">
        <v>107</v>
      </c>
      <c r="Q51" t="s">
        <v>182</v>
      </c>
      <c r="R51">
        <v>0</v>
      </c>
      <c r="S51" t="s">
        <v>347</v>
      </c>
      <c r="T51">
        <v>1931474</v>
      </c>
      <c r="U51">
        <v>3</v>
      </c>
      <c r="V51">
        <v>190</v>
      </c>
      <c r="X51">
        <v>43803</v>
      </c>
      <c r="Y51">
        <v>11</v>
      </c>
      <c r="Z51">
        <v>4.2222222222222223</v>
      </c>
    </row>
    <row r="52" spans="1:26">
      <c r="A52" t="s">
        <v>348</v>
      </c>
      <c r="B52">
        <v>43809</v>
      </c>
      <c r="C52" t="s">
        <v>153</v>
      </c>
      <c r="D52" t="s">
        <v>153</v>
      </c>
      <c r="E52" t="s">
        <v>153</v>
      </c>
      <c r="F52" t="s">
        <v>153</v>
      </c>
      <c r="G52" t="s">
        <v>153</v>
      </c>
      <c r="J52">
        <v>43810</v>
      </c>
      <c r="K52">
        <v>43811</v>
      </c>
      <c r="L52" t="s">
        <v>154</v>
      </c>
      <c r="M52">
        <v>43816</v>
      </c>
      <c r="N52">
        <v>0.69783564814814814</v>
      </c>
      <c r="O52">
        <v>930</v>
      </c>
      <c r="P52" t="s">
        <v>107</v>
      </c>
      <c r="Q52" t="s">
        <v>349</v>
      </c>
      <c r="R52">
        <v>0</v>
      </c>
      <c r="S52" t="s">
        <v>350</v>
      </c>
      <c r="T52">
        <v>1931370</v>
      </c>
      <c r="U52">
        <v>3</v>
      </c>
      <c r="V52">
        <v>25</v>
      </c>
      <c r="W52" t="s">
        <v>351</v>
      </c>
      <c r="X52">
        <v>43777</v>
      </c>
      <c r="Y52">
        <v>11</v>
      </c>
      <c r="Z52">
        <v>0.55555555555555558</v>
      </c>
    </row>
    <row r="53" spans="1:26">
      <c r="A53" t="s">
        <v>352</v>
      </c>
      <c r="B53">
        <v>43809</v>
      </c>
      <c r="C53" t="s">
        <v>153</v>
      </c>
      <c r="D53" t="s">
        <v>153</v>
      </c>
      <c r="E53" t="s">
        <v>153</v>
      </c>
      <c r="F53" t="s">
        <v>153</v>
      </c>
      <c r="G53" t="s">
        <v>153</v>
      </c>
      <c r="J53">
        <v>43810</v>
      </c>
      <c r="K53">
        <v>43811</v>
      </c>
      <c r="L53" t="s">
        <v>154</v>
      </c>
      <c r="M53">
        <v>43816</v>
      </c>
      <c r="N53">
        <v>0.755</v>
      </c>
      <c r="O53" t="s">
        <v>353</v>
      </c>
      <c r="P53" t="s">
        <v>107</v>
      </c>
      <c r="Q53" t="s">
        <v>199</v>
      </c>
      <c r="R53">
        <v>0</v>
      </c>
      <c r="S53" t="s">
        <v>354</v>
      </c>
      <c r="T53">
        <v>1931357</v>
      </c>
      <c r="U53">
        <v>3</v>
      </c>
      <c r="V53">
        <v>80</v>
      </c>
      <c r="W53" t="s">
        <v>225</v>
      </c>
      <c r="X53">
        <v>43780</v>
      </c>
      <c r="Y53">
        <v>10</v>
      </c>
      <c r="Z53">
        <v>1.2698412698412698</v>
      </c>
    </row>
    <row r="54" spans="1:26">
      <c r="A54" t="s">
        <v>355</v>
      </c>
      <c r="B54">
        <v>43809</v>
      </c>
      <c r="C54" t="s">
        <v>153</v>
      </c>
      <c r="D54" t="s">
        <v>153</v>
      </c>
      <c r="E54" t="s">
        <v>153</v>
      </c>
      <c r="F54" t="s">
        <v>153</v>
      </c>
      <c r="G54" t="s">
        <v>153</v>
      </c>
      <c r="J54">
        <v>43810</v>
      </c>
      <c r="K54">
        <v>43811</v>
      </c>
      <c r="L54" t="s">
        <v>155</v>
      </c>
      <c r="M54">
        <v>43816</v>
      </c>
      <c r="N54">
        <v>0.90083333333333337</v>
      </c>
      <c r="O54" t="s">
        <v>234</v>
      </c>
      <c r="P54" t="s">
        <v>107</v>
      </c>
      <c r="Q54" t="s">
        <v>200</v>
      </c>
      <c r="R54">
        <v>0</v>
      </c>
      <c r="S54" t="s">
        <v>235</v>
      </c>
      <c r="T54">
        <v>1931448</v>
      </c>
      <c r="U54">
        <v>3</v>
      </c>
      <c r="V54">
        <v>150</v>
      </c>
      <c r="W54" t="s">
        <v>356</v>
      </c>
      <c r="X54">
        <v>43798</v>
      </c>
      <c r="Y54">
        <v>11</v>
      </c>
      <c r="Z54">
        <v>3.3333333333333335</v>
      </c>
    </row>
    <row r="55" spans="1:26">
      <c r="A55" t="s">
        <v>357</v>
      </c>
      <c r="B55">
        <v>43804</v>
      </c>
      <c r="C55" t="s">
        <v>153</v>
      </c>
      <c r="D55" t="s">
        <v>153</v>
      </c>
      <c r="E55" t="s">
        <v>153</v>
      </c>
      <c r="F55" t="s">
        <v>153</v>
      </c>
      <c r="G55" t="s">
        <v>153</v>
      </c>
      <c r="H55" t="s">
        <v>153</v>
      </c>
      <c r="I55" t="s">
        <v>153</v>
      </c>
      <c r="J55">
        <v>43811</v>
      </c>
      <c r="K55">
        <v>43815</v>
      </c>
      <c r="L55" t="s">
        <v>155</v>
      </c>
      <c r="M55">
        <v>43817</v>
      </c>
      <c r="N55">
        <v>0.44770833333333332</v>
      </c>
      <c r="O55">
        <v>7995</v>
      </c>
      <c r="P55" t="s">
        <v>107</v>
      </c>
      <c r="Q55" t="s">
        <v>180</v>
      </c>
      <c r="R55">
        <v>0</v>
      </c>
      <c r="S55" t="s">
        <v>181</v>
      </c>
      <c r="T55">
        <v>1931485</v>
      </c>
      <c r="U55">
        <v>3</v>
      </c>
      <c r="V55">
        <v>100</v>
      </c>
      <c r="X55">
        <v>43808</v>
      </c>
      <c r="Y55">
        <v>11</v>
      </c>
      <c r="Z55">
        <v>1.3888888888888888</v>
      </c>
    </row>
    <row r="56" spans="1:26">
      <c r="A56" t="s">
        <v>358</v>
      </c>
      <c r="B56">
        <v>43804</v>
      </c>
      <c r="C56" t="s">
        <v>153</v>
      </c>
      <c r="D56" t="s">
        <v>153</v>
      </c>
      <c r="E56" t="s">
        <v>153</v>
      </c>
      <c r="F56" t="s">
        <v>153</v>
      </c>
      <c r="G56" t="s">
        <v>153</v>
      </c>
      <c r="H56" t="s">
        <v>153</v>
      </c>
      <c r="I56" t="s">
        <v>153</v>
      </c>
      <c r="J56">
        <v>43811</v>
      </c>
      <c r="K56">
        <v>43815</v>
      </c>
      <c r="L56" t="s">
        <v>154</v>
      </c>
      <c r="M56">
        <v>43817</v>
      </c>
      <c r="N56">
        <v>0.59354166666666663</v>
      </c>
      <c r="O56">
        <v>1089</v>
      </c>
      <c r="P56" t="s">
        <v>107</v>
      </c>
      <c r="Q56" t="s">
        <v>193</v>
      </c>
      <c r="R56">
        <v>0</v>
      </c>
      <c r="S56" t="s">
        <v>359</v>
      </c>
      <c r="T56">
        <v>1931492</v>
      </c>
      <c r="U56">
        <v>3</v>
      </c>
      <c r="V56">
        <v>6</v>
      </c>
      <c r="X56">
        <v>43808</v>
      </c>
      <c r="Y56">
        <v>11</v>
      </c>
      <c r="Z56">
        <v>8.3333333333333329E-2</v>
      </c>
    </row>
    <row r="57" spans="1:26">
      <c r="A57" t="s">
        <v>174</v>
      </c>
      <c r="B57">
        <v>43811</v>
      </c>
      <c r="C57" t="s">
        <v>153</v>
      </c>
      <c r="D57" t="s">
        <v>153</v>
      </c>
      <c r="E57" t="s">
        <v>153</v>
      </c>
      <c r="F57" t="s">
        <v>153</v>
      </c>
      <c r="G57" t="s">
        <v>153</v>
      </c>
      <c r="H57" t="s">
        <v>153</v>
      </c>
      <c r="I57" t="s">
        <v>153</v>
      </c>
      <c r="J57">
        <v>43811</v>
      </c>
      <c r="K57">
        <v>43815</v>
      </c>
      <c r="L57" t="s">
        <v>154</v>
      </c>
      <c r="M57">
        <v>43817</v>
      </c>
      <c r="N57">
        <v>0.62375000000000003</v>
      </c>
      <c r="O57">
        <v>1089</v>
      </c>
      <c r="P57" t="s">
        <v>107</v>
      </c>
      <c r="Q57" t="s">
        <v>193</v>
      </c>
      <c r="R57">
        <v>0</v>
      </c>
      <c r="S57" t="s">
        <v>359</v>
      </c>
      <c r="T57">
        <v>1931559</v>
      </c>
      <c r="U57">
        <v>3</v>
      </c>
      <c r="V57">
        <v>4</v>
      </c>
      <c r="X57">
        <v>43836</v>
      </c>
      <c r="Y57">
        <v>11</v>
      </c>
      <c r="Z57">
        <v>5.5555555555555552E-2</v>
      </c>
    </row>
    <row r="58" spans="1:26">
      <c r="A58" t="s">
        <v>360</v>
      </c>
      <c r="B58">
        <v>43804</v>
      </c>
      <c r="C58" t="s">
        <v>153</v>
      </c>
      <c r="D58" t="s">
        <v>153</v>
      </c>
      <c r="E58" t="s">
        <v>153</v>
      </c>
      <c r="F58" t="s">
        <v>153</v>
      </c>
      <c r="G58" t="s">
        <v>153</v>
      </c>
      <c r="H58" t="s">
        <v>153</v>
      </c>
      <c r="I58" t="s">
        <v>153</v>
      </c>
      <c r="J58">
        <v>43811</v>
      </c>
      <c r="K58">
        <v>43815</v>
      </c>
      <c r="L58" t="s">
        <v>154</v>
      </c>
      <c r="M58">
        <v>43817</v>
      </c>
      <c r="N58">
        <v>0.6925</v>
      </c>
      <c r="O58">
        <v>7248</v>
      </c>
      <c r="P58" t="s">
        <v>107</v>
      </c>
      <c r="Q58" t="s">
        <v>202</v>
      </c>
      <c r="R58">
        <v>0</v>
      </c>
      <c r="S58" t="s">
        <v>361</v>
      </c>
      <c r="T58">
        <v>1931489</v>
      </c>
      <c r="U58">
        <v>3</v>
      </c>
      <c r="V58">
        <v>60</v>
      </c>
      <c r="X58">
        <v>43808</v>
      </c>
      <c r="Y58">
        <v>9</v>
      </c>
      <c r="Z58">
        <v>1.3333333333333333</v>
      </c>
    </row>
    <row r="59" spans="1:26">
      <c r="A59" t="s">
        <v>362</v>
      </c>
      <c r="B59">
        <v>43804</v>
      </c>
      <c r="C59" t="s">
        <v>153</v>
      </c>
      <c r="D59" t="s">
        <v>153</v>
      </c>
      <c r="E59" t="s">
        <v>153</v>
      </c>
      <c r="F59" t="s">
        <v>153</v>
      </c>
      <c r="G59" t="s">
        <v>153</v>
      </c>
      <c r="H59" t="s">
        <v>153</v>
      </c>
      <c r="I59" t="s">
        <v>153</v>
      </c>
      <c r="J59">
        <v>43811</v>
      </c>
      <c r="K59">
        <v>43815</v>
      </c>
      <c r="L59" t="s">
        <v>154</v>
      </c>
      <c r="M59">
        <v>43817</v>
      </c>
      <c r="N59">
        <v>0.76020833333333337</v>
      </c>
      <c r="O59">
        <v>8469</v>
      </c>
      <c r="P59" t="s">
        <v>107</v>
      </c>
      <c r="Q59" t="s">
        <v>194</v>
      </c>
      <c r="R59">
        <v>0</v>
      </c>
      <c r="S59" t="s">
        <v>363</v>
      </c>
      <c r="T59">
        <v>1931490</v>
      </c>
      <c r="U59">
        <v>3</v>
      </c>
      <c r="V59">
        <v>10</v>
      </c>
      <c r="X59">
        <v>43808</v>
      </c>
      <c r="Y59">
        <v>11</v>
      </c>
      <c r="Z59">
        <v>0.18518518518518517</v>
      </c>
    </row>
    <row r="60" spans="1:26">
      <c r="A60" t="s">
        <v>364</v>
      </c>
      <c r="B60">
        <v>43804</v>
      </c>
      <c r="C60" t="s">
        <v>153</v>
      </c>
      <c r="D60" t="s">
        <v>153</v>
      </c>
      <c r="E60" t="s">
        <v>153</v>
      </c>
      <c r="F60" t="s">
        <v>153</v>
      </c>
      <c r="G60" t="s">
        <v>153</v>
      </c>
      <c r="H60" t="s">
        <v>153</v>
      </c>
      <c r="I60" t="s">
        <v>153</v>
      </c>
      <c r="J60">
        <v>43811</v>
      </c>
      <c r="K60">
        <v>43815</v>
      </c>
      <c r="L60" t="s">
        <v>154</v>
      </c>
      <c r="M60">
        <v>43817</v>
      </c>
      <c r="N60">
        <v>0.79666666666666675</v>
      </c>
      <c r="O60" t="s">
        <v>247</v>
      </c>
      <c r="P60" t="s">
        <v>107</v>
      </c>
      <c r="Q60" t="s">
        <v>193</v>
      </c>
      <c r="R60">
        <v>0</v>
      </c>
      <c r="S60" t="s">
        <v>248</v>
      </c>
      <c r="T60">
        <v>1931497</v>
      </c>
      <c r="U60">
        <v>3</v>
      </c>
      <c r="V60">
        <v>20</v>
      </c>
      <c r="X60">
        <v>43808</v>
      </c>
      <c r="Y60">
        <v>11</v>
      </c>
      <c r="Z60">
        <v>0.31746031746031744</v>
      </c>
    </row>
    <row r="61" spans="1:26">
      <c r="A61" t="s">
        <v>365</v>
      </c>
      <c r="B61" s="135">
        <v>43804</v>
      </c>
      <c r="C61" t="s">
        <v>153</v>
      </c>
      <c r="D61" t="s">
        <v>153</v>
      </c>
      <c r="E61" t="s">
        <v>153</v>
      </c>
      <c r="F61" t="s">
        <v>153</v>
      </c>
      <c r="G61" t="s">
        <v>153</v>
      </c>
      <c r="H61" t="s">
        <v>153</v>
      </c>
      <c r="I61" t="s">
        <v>153</v>
      </c>
      <c r="J61" s="135">
        <v>43811</v>
      </c>
      <c r="K61" s="135">
        <v>43815</v>
      </c>
      <c r="L61" t="s">
        <v>154</v>
      </c>
      <c r="M61" s="135">
        <v>43817</v>
      </c>
      <c r="N61">
        <v>0.84875</v>
      </c>
      <c r="O61">
        <v>1165</v>
      </c>
      <c r="P61" t="s">
        <v>107</v>
      </c>
      <c r="Q61" t="s">
        <v>197</v>
      </c>
      <c r="R61">
        <v>0</v>
      </c>
      <c r="S61" t="s">
        <v>366</v>
      </c>
      <c r="T61">
        <v>1931502</v>
      </c>
      <c r="U61">
        <v>3</v>
      </c>
      <c r="V61">
        <v>10</v>
      </c>
      <c r="X61">
        <v>43809</v>
      </c>
      <c r="Y61">
        <v>10</v>
      </c>
      <c r="Z61">
        <v>0.22222222222222221</v>
      </c>
    </row>
    <row r="62" spans="1:26">
      <c r="A62" t="s">
        <v>367</v>
      </c>
      <c r="B62" s="135">
        <v>43809</v>
      </c>
      <c r="C62" t="s">
        <v>153</v>
      </c>
      <c r="D62" t="s">
        <v>153</v>
      </c>
      <c r="E62" t="s">
        <v>153</v>
      </c>
      <c r="F62" t="s">
        <v>153</v>
      </c>
      <c r="G62" t="s">
        <v>153</v>
      </c>
      <c r="J62" s="135">
        <v>43811</v>
      </c>
      <c r="K62" s="135">
        <v>43815</v>
      </c>
      <c r="L62" t="s">
        <v>155</v>
      </c>
      <c r="M62" s="135">
        <v>43817</v>
      </c>
      <c r="N62">
        <v>0.87739583333333337</v>
      </c>
      <c r="O62">
        <v>7478</v>
      </c>
      <c r="P62" t="s">
        <v>107</v>
      </c>
      <c r="Q62" t="s">
        <v>170</v>
      </c>
      <c r="R62">
        <v>0</v>
      </c>
      <c r="S62" t="s">
        <v>171</v>
      </c>
      <c r="T62">
        <v>1931432</v>
      </c>
      <c r="U62">
        <v>13</v>
      </c>
      <c r="V62">
        <v>175</v>
      </c>
      <c r="X62">
        <v>43816</v>
      </c>
      <c r="Y62">
        <v>8</v>
      </c>
      <c r="Z62">
        <v>3.8888888888888888</v>
      </c>
    </row>
    <row r="63" spans="1:26">
      <c r="A63" t="s">
        <v>345</v>
      </c>
      <c r="B63" s="135">
        <v>43810</v>
      </c>
      <c r="C63" t="s">
        <v>153</v>
      </c>
      <c r="D63" t="s">
        <v>153</v>
      </c>
      <c r="E63" t="s">
        <v>153</v>
      </c>
      <c r="F63" t="s">
        <v>153</v>
      </c>
      <c r="G63" t="s">
        <v>153</v>
      </c>
      <c r="H63" t="s">
        <v>153</v>
      </c>
      <c r="I63" t="s">
        <v>153</v>
      </c>
      <c r="J63" s="135">
        <v>43815</v>
      </c>
      <c r="K63" s="135">
        <v>43816</v>
      </c>
      <c r="L63" t="s">
        <v>154</v>
      </c>
      <c r="M63" s="135">
        <v>43818</v>
      </c>
      <c r="N63">
        <v>0.5977083333333334</v>
      </c>
      <c r="O63">
        <v>3611</v>
      </c>
      <c r="P63" t="s">
        <v>107</v>
      </c>
      <c r="Q63" t="s">
        <v>170</v>
      </c>
      <c r="R63">
        <v>0</v>
      </c>
      <c r="S63" t="s">
        <v>368</v>
      </c>
      <c r="T63">
        <v>1931475</v>
      </c>
      <c r="U63">
        <v>3</v>
      </c>
      <c r="V63">
        <v>30</v>
      </c>
      <c r="W63" t="s">
        <v>369</v>
      </c>
      <c r="X63">
        <v>43803</v>
      </c>
      <c r="Y63">
        <v>8</v>
      </c>
      <c r="Z63">
        <v>0.41666666666666669</v>
      </c>
    </row>
    <row r="64" spans="1:26">
      <c r="A64" t="s">
        <v>370</v>
      </c>
      <c r="B64" s="135">
        <v>43811</v>
      </c>
      <c r="C64" t="s">
        <v>153</v>
      </c>
      <c r="D64" t="s">
        <v>153</v>
      </c>
      <c r="E64" t="s">
        <v>153</v>
      </c>
      <c r="F64" t="s">
        <v>153</v>
      </c>
      <c r="G64" t="s">
        <v>153</v>
      </c>
      <c r="J64" s="135">
        <v>43811</v>
      </c>
      <c r="K64" s="135">
        <v>43815</v>
      </c>
      <c r="L64" t="s">
        <v>155</v>
      </c>
      <c r="M64" s="135">
        <v>43816</v>
      </c>
      <c r="N64">
        <v>0.48283564814814817</v>
      </c>
      <c r="O64">
        <v>723</v>
      </c>
      <c r="P64" t="s">
        <v>105</v>
      </c>
      <c r="Q64" t="s">
        <v>371</v>
      </c>
      <c r="R64">
        <v>11.5</v>
      </c>
      <c r="S64" t="s">
        <v>167</v>
      </c>
      <c r="T64">
        <v>1920977</v>
      </c>
      <c r="U64">
        <v>3</v>
      </c>
      <c r="V64">
        <v>1296</v>
      </c>
      <c r="X64">
        <v>43830</v>
      </c>
      <c r="Y64">
        <v>6</v>
      </c>
      <c r="Z64">
        <v>6</v>
      </c>
    </row>
    <row r="65" spans="1:26">
      <c r="A65" t="s">
        <v>372</v>
      </c>
      <c r="B65" s="135">
        <v>43809</v>
      </c>
      <c r="C65" t="s">
        <v>153</v>
      </c>
      <c r="D65" t="s">
        <v>153</v>
      </c>
      <c r="E65" t="s">
        <v>153</v>
      </c>
      <c r="F65" t="s">
        <v>153</v>
      </c>
      <c r="G65" t="s">
        <v>153</v>
      </c>
      <c r="J65" s="135">
        <v>43811</v>
      </c>
      <c r="K65" s="135">
        <v>43815</v>
      </c>
      <c r="L65" t="s">
        <v>155</v>
      </c>
      <c r="M65" s="135">
        <v>43817</v>
      </c>
      <c r="N65">
        <v>0.30959490740740742</v>
      </c>
      <c r="O65">
        <v>748</v>
      </c>
      <c r="P65" t="s">
        <v>107</v>
      </c>
      <c r="Q65" t="s">
        <v>185</v>
      </c>
      <c r="R65">
        <v>0</v>
      </c>
      <c r="S65" t="s">
        <v>186</v>
      </c>
      <c r="T65">
        <v>1931466</v>
      </c>
      <c r="U65">
        <v>13</v>
      </c>
      <c r="V65">
        <v>45</v>
      </c>
      <c r="X65">
        <v>43840</v>
      </c>
      <c r="Y65">
        <v>11</v>
      </c>
      <c r="Z65">
        <v>1</v>
      </c>
    </row>
    <row r="66" spans="1:26">
      <c r="A66" t="s">
        <v>373</v>
      </c>
      <c r="B66" s="135">
        <v>43809</v>
      </c>
      <c r="C66" t="s">
        <v>153</v>
      </c>
      <c r="D66" t="s">
        <v>153</v>
      </c>
      <c r="E66" t="s">
        <v>153</v>
      </c>
      <c r="F66" t="s">
        <v>153</v>
      </c>
      <c r="G66" t="s">
        <v>153</v>
      </c>
      <c r="H66" t="s">
        <v>153</v>
      </c>
      <c r="J66" s="135">
        <v>43811</v>
      </c>
      <c r="K66" s="135">
        <v>43815</v>
      </c>
      <c r="L66" t="s">
        <v>155</v>
      </c>
      <c r="M66" s="135">
        <v>43817</v>
      </c>
      <c r="N66">
        <v>0.41078703703703701</v>
      </c>
      <c r="O66" t="s">
        <v>374</v>
      </c>
      <c r="P66" t="s">
        <v>107</v>
      </c>
      <c r="Q66" t="s">
        <v>375</v>
      </c>
      <c r="R66">
        <v>0</v>
      </c>
      <c r="S66" t="s">
        <v>376</v>
      </c>
      <c r="T66">
        <v>1931554</v>
      </c>
      <c r="U66">
        <v>3</v>
      </c>
      <c r="V66">
        <v>16</v>
      </c>
      <c r="W66" t="s">
        <v>377</v>
      </c>
      <c r="X66">
        <v>43770</v>
      </c>
      <c r="Y66">
        <v>20</v>
      </c>
      <c r="Z66">
        <v>2.6666666666666665</v>
      </c>
    </row>
    <row r="67" spans="1:26">
      <c r="A67" t="s">
        <v>380</v>
      </c>
      <c r="B67">
        <v>43811</v>
      </c>
      <c r="C67" t="s">
        <v>153</v>
      </c>
      <c r="D67" t="s">
        <v>153</v>
      </c>
      <c r="E67" t="s">
        <v>153</v>
      </c>
      <c r="F67" t="s">
        <v>153</v>
      </c>
      <c r="G67" t="s">
        <v>153</v>
      </c>
      <c r="J67">
        <v>43826</v>
      </c>
      <c r="K67">
        <v>43829</v>
      </c>
      <c r="L67" t="s">
        <v>155</v>
      </c>
      <c r="M67">
        <v>43836</v>
      </c>
      <c r="N67">
        <v>0.27436342592592594</v>
      </c>
      <c r="O67">
        <v>680</v>
      </c>
      <c r="P67" t="s">
        <v>103</v>
      </c>
      <c r="Q67" t="s">
        <v>381</v>
      </c>
      <c r="R67">
        <v>10</v>
      </c>
      <c r="S67" t="s">
        <v>382</v>
      </c>
      <c r="T67">
        <v>2020006</v>
      </c>
      <c r="U67">
        <v>13</v>
      </c>
      <c r="V67">
        <v>120</v>
      </c>
      <c r="X67">
        <v>43854</v>
      </c>
      <c r="Y67">
        <v>2</v>
      </c>
      <c r="Z67">
        <v>1</v>
      </c>
    </row>
    <row r="68" spans="1:26">
      <c r="A68" t="s">
        <v>383</v>
      </c>
      <c r="B68">
        <v>43811</v>
      </c>
      <c r="C68" t="s">
        <v>153</v>
      </c>
      <c r="D68" t="s">
        <v>153</v>
      </c>
      <c r="E68" t="s">
        <v>153</v>
      </c>
      <c r="F68" t="s">
        <v>153</v>
      </c>
      <c r="G68" t="s">
        <v>153</v>
      </c>
      <c r="J68">
        <v>43826</v>
      </c>
      <c r="K68">
        <v>43829</v>
      </c>
      <c r="L68" t="s">
        <v>155</v>
      </c>
      <c r="M68">
        <v>43836</v>
      </c>
      <c r="N68">
        <v>0.27436342592592594</v>
      </c>
      <c r="O68">
        <v>148</v>
      </c>
      <c r="P68" t="s">
        <v>104</v>
      </c>
      <c r="Q68" t="s">
        <v>178</v>
      </c>
      <c r="R68">
        <v>13</v>
      </c>
      <c r="S68" t="s">
        <v>384</v>
      </c>
      <c r="T68">
        <v>2020007</v>
      </c>
      <c r="U68">
        <v>13</v>
      </c>
      <c r="V68">
        <v>100</v>
      </c>
      <c r="X68">
        <v>43837</v>
      </c>
      <c r="Y68">
        <v>2</v>
      </c>
      <c r="Z68">
        <v>0.44642857142857145</v>
      </c>
    </row>
    <row r="69" spans="1:26">
      <c r="A69" t="s">
        <v>385</v>
      </c>
      <c r="B69">
        <v>43811</v>
      </c>
      <c r="C69" t="s">
        <v>153</v>
      </c>
      <c r="D69" t="s">
        <v>153</v>
      </c>
      <c r="E69" t="s">
        <v>153</v>
      </c>
      <c r="F69" t="s">
        <v>153</v>
      </c>
      <c r="G69" t="s">
        <v>153</v>
      </c>
      <c r="J69">
        <v>43826</v>
      </c>
      <c r="K69">
        <v>43829</v>
      </c>
      <c r="L69" t="s">
        <v>155</v>
      </c>
      <c r="M69">
        <v>43836</v>
      </c>
      <c r="N69">
        <v>0.27436342592592594</v>
      </c>
      <c r="O69">
        <v>384</v>
      </c>
      <c r="P69" t="s">
        <v>105</v>
      </c>
      <c r="Q69" t="s">
        <v>386</v>
      </c>
      <c r="R69">
        <v>7</v>
      </c>
      <c r="S69" t="s">
        <v>387</v>
      </c>
      <c r="T69">
        <v>2020016</v>
      </c>
      <c r="U69">
        <v>13</v>
      </c>
      <c r="V69">
        <v>312</v>
      </c>
      <c r="W69" t="s">
        <v>388</v>
      </c>
      <c r="X69">
        <v>43865</v>
      </c>
      <c r="Y69">
        <v>3</v>
      </c>
      <c r="Z69">
        <v>1</v>
      </c>
    </row>
    <row r="70" spans="1:26">
      <c r="A70" t="s">
        <v>389</v>
      </c>
      <c r="B70">
        <v>43811</v>
      </c>
      <c r="C70" t="s">
        <v>153</v>
      </c>
      <c r="D70" t="s">
        <v>153</v>
      </c>
      <c r="E70" t="s">
        <v>153</v>
      </c>
      <c r="F70" t="s">
        <v>153</v>
      </c>
      <c r="G70" t="s">
        <v>153</v>
      </c>
      <c r="J70">
        <v>43826</v>
      </c>
      <c r="K70">
        <v>43829</v>
      </c>
      <c r="L70" t="s">
        <v>155</v>
      </c>
      <c r="M70">
        <v>43837</v>
      </c>
      <c r="N70">
        <v>0.27337962962962964</v>
      </c>
      <c r="O70">
        <v>747</v>
      </c>
      <c r="P70" t="s">
        <v>107</v>
      </c>
      <c r="Q70" t="s">
        <v>170</v>
      </c>
      <c r="R70">
        <v>0</v>
      </c>
      <c r="S70" t="s">
        <v>390</v>
      </c>
      <c r="T70">
        <v>1931382</v>
      </c>
      <c r="U70">
        <v>13</v>
      </c>
      <c r="V70">
        <v>135</v>
      </c>
      <c r="X70">
        <v>43837</v>
      </c>
      <c r="Y70">
        <v>8</v>
      </c>
      <c r="Z70">
        <v>3</v>
      </c>
    </row>
    <row r="71" spans="1:26">
      <c r="A71" t="s">
        <v>391</v>
      </c>
      <c r="B71">
        <v>43811</v>
      </c>
      <c r="C71" t="s">
        <v>153</v>
      </c>
      <c r="D71" t="s">
        <v>153</v>
      </c>
      <c r="E71" t="s">
        <v>153</v>
      </c>
      <c r="F71" t="s">
        <v>153</v>
      </c>
      <c r="G71" t="s">
        <v>153</v>
      </c>
      <c r="J71">
        <v>43823</v>
      </c>
      <c r="K71">
        <v>43826</v>
      </c>
      <c r="L71" t="s">
        <v>155</v>
      </c>
      <c r="M71">
        <v>43836</v>
      </c>
      <c r="N71">
        <v>0.68269675925925932</v>
      </c>
      <c r="O71" t="s">
        <v>392</v>
      </c>
      <c r="P71" t="s">
        <v>189</v>
      </c>
      <c r="Q71" t="s">
        <v>195</v>
      </c>
      <c r="S71" t="s">
        <v>393</v>
      </c>
      <c r="T71" t="s">
        <v>394</v>
      </c>
      <c r="U71" t="s">
        <v>176</v>
      </c>
      <c r="V71">
        <v>1350</v>
      </c>
      <c r="W71" t="s">
        <v>395</v>
      </c>
      <c r="X71">
        <v>43850.610208333332</v>
      </c>
      <c r="Y71">
        <v>9</v>
      </c>
    </row>
    <row r="72" spans="1:26">
      <c r="A72" t="s">
        <v>174</v>
      </c>
      <c r="B72">
        <v>43836</v>
      </c>
      <c r="C72" t="s">
        <v>153</v>
      </c>
      <c r="D72" t="s">
        <v>153</v>
      </c>
      <c r="E72" t="s">
        <v>153</v>
      </c>
      <c r="F72" t="s">
        <v>153</v>
      </c>
      <c r="G72" t="s">
        <v>153</v>
      </c>
      <c r="J72">
        <v>43823</v>
      </c>
      <c r="K72">
        <v>43826</v>
      </c>
      <c r="L72" t="s">
        <v>154</v>
      </c>
      <c r="M72">
        <v>43836</v>
      </c>
      <c r="N72">
        <v>0.27436342592592594</v>
      </c>
      <c r="O72" t="s">
        <v>400</v>
      </c>
      <c r="P72" t="s">
        <v>401</v>
      </c>
      <c r="Q72" t="s">
        <v>402</v>
      </c>
      <c r="R72">
        <v>6.9</v>
      </c>
      <c r="S72" t="s">
        <v>403</v>
      </c>
      <c r="T72">
        <v>2050005</v>
      </c>
      <c r="U72" t="s">
        <v>176</v>
      </c>
      <c r="V72">
        <v>25000</v>
      </c>
      <c r="X72">
        <v>43825</v>
      </c>
      <c r="Y72">
        <v>3</v>
      </c>
      <c r="Z72">
        <v>16.233766233766232</v>
      </c>
    </row>
    <row r="73" spans="1:26">
      <c r="A73" t="s">
        <v>174</v>
      </c>
      <c r="B73">
        <v>43836</v>
      </c>
      <c r="C73" t="s">
        <v>153</v>
      </c>
      <c r="D73" t="s">
        <v>153</v>
      </c>
      <c r="E73" t="s">
        <v>153</v>
      </c>
      <c r="F73" t="s">
        <v>153</v>
      </c>
      <c r="G73" t="s">
        <v>153</v>
      </c>
      <c r="J73">
        <v>43826</v>
      </c>
      <c r="K73">
        <v>43829</v>
      </c>
      <c r="L73" t="s">
        <v>155</v>
      </c>
      <c r="M73">
        <v>43836</v>
      </c>
      <c r="N73">
        <v>0.27436342592592594</v>
      </c>
      <c r="O73" t="s">
        <v>404</v>
      </c>
      <c r="P73" t="s">
        <v>106</v>
      </c>
      <c r="Q73" t="s">
        <v>175</v>
      </c>
      <c r="R73">
        <v>9.6999999999999993</v>
      </c>
      <c r="S73" t="s">
        <v>405</v>
      </c>
      <c r="T73">
        <v>2050006</v>
      </c>
      <c r="U73" t="s">
        <v>176</v>
      </c>
      <c r="V73">
        <v>10000</v>
      </c>
      <c r="X73">
        <v>43847</v>
      </c>
      <c r="Y73">
        <v>2</v>
      </c>
    </row>
    <row r="74" spans="1:26">
      <c r="A74" t="s">
        <v>420</v>
      </c>
      <c r="B74">
        <v>43817</v>
      </c>
      <c r="C74" t="s">
        <v>153</v>
      </c>
      <c r="D74" t="s">
        <v>153</v>
      </c>
      <c r="E74" t="s">
        <v>153</v>
      </c>
      <c r="F74" t="s">
        <v>153</v>
      </c>
      <c r="G74" t="s">
        <v>153</v>
      </c>
      <c r="H74" t="s">
        <v>153</v>
      </c>
      <c r="J74">
        <v>43829</v>
      </c>
      <c r="K74">
        <v>43836</v>
      </c>
      <c r="L74" t="s">
        <v>155</v>
      </c>
      <c r="M74">
        <v>43837</v>
      </c>
      <c r="N74">
        <v>0.2713888888888889</v>
      </c>
      <c r="O74">
        <v>142</v>
      </c>
      <c r="P74" t="s">
        <v>104</v>
      </c>
      <c r="Q74" t="s">
        <v>178</v>
      </c>
      <c r="R74">
        <v>13</v>
      </c>
      <c r="S74" t="s">
        <v>421</v>
      </c>
      <c r="T74">
        <v>2020010</v>
      </c>
      <c r="U74">
        <v>13</v>
      </c>
      <c r="V74">
        <v>242</v>
      </c>
      <c r="X74">
        <v>43845</v>
      </c>
      <c r="Y74">
        <v>2</v>
      </c>
      <c r="Z74">
        <v>2.6666666666666665</v>
      </c>
    </row>
    <row r="75" spans="1:26">
      <c r="A75" t="s">
        <v>422</v>
      </c>
      <c r="B75">
        <v>43818</v>
      </c>
      <c r="C75" t="s">
        <v>153</v>
      </c>
      <c r="D75" t="s">
        <v>153</v>
      </c>
      <c r="E75" t="s">
        <v>153</v>
      </c>
      <c r="F75" t="s">
        <v>153</v>
      </c>
      <c r="G75" t="s">
        <v>153</v>
      </c>
      <c r="J75">
        <v>43826</v>
      </c>
      <c r="K75">
        <v>43829</v>
      </c>
      <c r="L75" t="s">
        <v>154</v>
      </c>
      <c r="M75">
        <v>43837</v>
      </c>
      <c r="N75">
        <v>0.82259259259259254</v>
      </c>
      <c r="O75" t="s">
        <v>423</v>
      </c>
      <c r="P75" t="s">
        <v>107</v>
      </c>
      <c r="Q75" t="s">
        <v>424</v>
      </c>
      <c r="R75">
        <v>0</v>
      </c>
      <c r="S75" t="s">
        <v>425</v>
      </c>
      <c r="T75">
        <v>1931473</v>
      </c>
      <c r="U75">
        <v>3</v>
      </c>
      <c r="V75">
        <v>50</v>
      </c>
      <c r="W75" t="s">
        <v>225</v>
      </c>
      <c r="X75">
        <v>43802</v>
      </c>
      <c r="Y75">
        <v>12</v>
      </c>
      <c r="Z75">
        <v>1.1111111111111112</v>
      </c>
    </row>
    <row r="76" spans="1:26">
      <c r="A76" t="s">
        <v>426</v>
      </c>
      <c r="B76">
        <v>43818</v>
      </c>
      <c r="C76" t="s">
        <v>153</v>
      </c>
      <c r="D76" t="s">
        <v>153</v>
      </c>
      <c r="E76" t="s">
        <v>153</v>
      </c>
      <c r="F76" t="s">
        <v>153</v>
      </c>
      <c r="G76" t="s">
        <v>153</v>
      </c>
      <c r="J76">
        <v>43826</v>
      </c>
      <c r="K76">
        <v>43829</v>
      </c>
      <c r="L76" t="s">
        <v>155</v>
      </c>
      <c r="M76">
        <v>43837</v>
      </c>
      <c r="N76">
        <v>0.88248842592592591</v>
      </c>
      <c r="O76" t="s">
        <v>427</v>
      </c>
      <c r="P76" t="s">
        <v>107</v>
      </c>
      <c r="Q76" t="s">
        <v>428</v>
      </c>
      <c r="R76">
        <v>0</v>
      </c>
      <c r="S76" t="s">
        <v>429</v>
      </c>
      <c r="T76">
        <v>1931551</v>
      </c>
      <c r="U76">
        <v>3</v>
      </c>
      <c r="V76">
        <v>30</v>
      </c>
      <c r="W76" t="s">
        <v>225</v>
      </c>
      <c r="X76">
        <v>43819</v>
      </c>
      <c r="Y76">
        <v>10</v>
      </c>
      <c r="Z76">
        <v>0.66666666666666663</v>
      </c>
    </row>
    <row r="77" spans="1:26">
      <c r="A77" t="s">
        <v>430</v>
      </c>
      <c r="B77">
        <v>43818</v>
      </c>
      <c r="C77" t="s">
        <v>153</v>
      </c>
      <c r="D77" t="s">
        <v>153</v>
      </c>
      <c r="E77" t="s">
        <v>153</v>
      </c>
      <c r="F77" t="s">
        <v>153</v>
      </c>
      <c r="G77" t="s">
        <v>153</v>
      </c>
      <c r="J77">
        <v>43826</v>
      </c>
      <c r="K77">
        <v>43829</v>
      </c>
      <c r="L77" t="s">
        <v>155</v>
      </c>
      <c r="M77">
        <v>43837</v>
      </c>
      <c r="N77">
        <v>0.92675925925925917</v>
      </c>
      <c r="O77">
        <v>3285</v>
      </c>
      <c r="P77" t="s">
        <v>107</v>
      </c>
      <c r="Q77" t="s">
        <v>431</v>
      </c>
      <c r="R77">
        <v>0</v>
      </c>
      <c r="S77" t="s">
        <v>432</v>
      </c>
      <c r="T77">
        <v>1931482</v>
      </c>
      <c r="U77">
        <v>3</v>
      </c>
      <c r="V77">
        <v>40</v>
      </c>
      <c r="W77" t="s">
        <v>225</v>
      </c>
      <c r="X77">
        <v>43805</v>
      </c>
      <c r="Y77">
        <v>7</v>
      </c>
      <c r="Z77">
        <v>0.55555555555555558</v>
      </c>
    </row>
    <row r="78" spans="1:26">
      <c r="A78" t="s">
        <v>433</v>
      </c>
      <c r="B78">
        <v>43818</v>
      </c>
      <c r="C78" t="s">
        <v>153</v>
      </c>
      <c r="D78" t="s">
        <v>153</v>
      </c>
      <c r="E78" t="s">
        <v>153</v>
      </c>
      <c r="F78" t="s">
        <v>153</v>
      </c>
      <c r="G78" t="s">
        <v>153</v>
      </c>
      <c r="J78">
        <v>43826</v>
      </c>
      <c r="K78">
        <v>43829</v>
      </c>
      <c r="L78" t="s">
        <v>155</v>
      </c>
      <c r="M78">
        <v>43837</v>
      </c>
      <c r="N78">
        <v>0.97391203703703699</v>
      </c>
      <c r="O78">
        <v>5857</v>
      </c>
      <c r="P78" t="s">
        <v>107</v>
      </c>
      <c r="Q78" t="s">
        <v>434</v>
      </c>
      <c r="R78">
        <v>0</v>
      </c>
      <c r="S78" t="s">
        <v>435</v>
      </c>
      <c r="T78">
        <v>1931487</v>
      </c>
      <c r="U78">
        <v>3</v>
      </c>
      <c r="V78">
        <v>10</v>
      </c>
      <c r="W78" t="s">
        <v>225</v>
      </c>
      <c r="X78">
        <v>43808</v>
      </c>
      <c r="Y78">
        <v>12</v>
      </c>
      <c r="Z78">
        <v>0.22222222222222221</v>
      </c>
    </row>
    <row r="79" spans="1:26">
      <c r="A79" t="s">
        <v>436</v>
      </c>
      <c r="B79">
        <v>43818</v>
      </c>
      <c r="C79" t="s">
        <v>153</v>
      </c>
      <c r="D79" t="s">
        <v>153</v>
      </c>
      <c r="E79" t="s">
        <v>153</v>
      </c>
      <c r="F79" t="s">
        <v>153</v>
      </c>
      <c r="G79" t="s">
        <v>153</v>
      </c>
      <c r="J79">
        <v>43837</v>
      </c>
      <c r="K79">
        <v>43838</v>
      </c>
      <c r="L79" t="s">
        <v>155</v>
      </c>
      <c r="M79">
        <v>43843</v>
      </c>
      <c r="N79">
        <v>0.2840509259259259</v>
      </c>
      <c r="O79">
        <v>9109</v>
      </c>
      <c r="P79" t="s">
        <v>107</v>
      </c>
      <c r="Q79" t="s">
        <v>437</v>
      </c>
      <c r="R79">
        <v>0</v>
      </c>
      <c r="S79" t="s">
        <v>438</v>
      </c>
      <c r="T79">
        <v>1931536</v>
      </c>
      <c r="U79">
        <v>3</v>
      </c>
      <c r="V79">
        <v>50</v>
      </c>
      <c r="X79">
        <v>43816</v>
      </c>
      <c r="Y79">
        <v>12</v>
      </c>
      <c r="Z79">
        <v>1.1111111111111112</v>
      </c>
    </row>
    <row r="80" spans="1:26">
      <c r="A80" t="s">
        <v>439</v>
      </c>
      <c r="B80" s="135">
        <v>43818</v>
      </c>
      <c r="C80" t="s">
        <v>153</v>
      </c>
      <c r="D80" t="s">
        <v>153</v>
      </c>
      <c r="E80" t="s">
        <v>153</v>
      </c>
      <c r="F80" t="s">
        <v>153</v>
      </c>
      <c r="G80" t="s">
        <v>153</v>
      </c>
      <c r="H80">
        <v>192</v>
      </c>
      <c r="I80" t="s">
        <v>440</v>
      </c>
      <c r="J80" s="135">
        <v>43837</v>
      </c>
      <c r="K80" s="135">
        <v>43838</v>
      </c>
      <c r="L80" t="s">
        <v>155</v>
      </c>
      <c r="M80" s="135">
        <v>43843</v>
      </c>
      <c r="N80">
        <v>0.9275810185185186</v>
      </c>
      <c r="O80">
        <v>6484</v>
      </c>
      <c r="P80" t="s">
        <v>107</v>
      </c>
      <c r="Q80" t="s">
        <v>441</v>
      </c>
      <c r="R80">
        <v>0</v>
      </c>
      <c r="S80" t="s">
        <v>442</v>
      </c>
      <c r="T80">
        <v>1931471</v>
      </c>
      <c r="U80">
        <v>13</v>
      </c>
      <c r="V80">
        <v>40</v>
      </c>
      <c r="W80" t="s">
        <v>443</v>
      </c>
      <c r="X80">
        <v>43802</v>
      </c>
      <c r="Y80">
        <v>8</v>
      </c>
      <c r="Z80">
        <v>1.1111111111111112</v>
      </c>
    </row>
    <row r="81" spans="1:26">
      <c r="A81" t="s">
        <v>444</v>
      </c>
      <c r="B81" s="135">
        <v>43811</v>
      </c>
      <c r="C81" t="s">
        <v>153</v>
      </c>
      <c r="D81" t="s">
        <v>153</v>
      </c>
      <c r="E81" t="s">
        <v>153</v>
      </c>
      <c r="F81" t="s">
        <v>153</v>
      </c>
      <c r="G81" t="s">
        <v>153</v>
      </c>
      <c r="J81" s="135">
        <v>43826</v>
      </c>
      <c r="K81" s="135">
        <v>43829</v>
      </c>
      <c r="L81" t="s">
        <v>155</v>
      </c>
      <c r="M81" s="135">
        <v>43837</v>
      </c>
      <c r="N81">
        <v>0.67306712962962967</v>
      </c>
      <c r="O81" t="s">
        <v>445</v>
      </c>
      <c r="P81" t="s">
        <v>189</v>
      </c>
      <c r="Q81" t="s">
        <v>195</v>
      </c>
      <c r="S81" t="s">
        <v>446</v>
      </c>
      <c r="T81" t="s">
        <v>447</v>
      </c>
      <c r="U81" t="s">
        <v>176</v>
      </c>
      <c r="V81">
        <v>900</v>
      </c>
      <c r="W81" t="s">
        <v>395</v>
      </c>
      <c r="X81">
        <v>43850.897685185184</v>
      </c>
      <c r="Y81">
        <v>9</v>
      </c>
    </row>
    <row r="82" spans="1:26">
      <c r="A82" t="s">
        <v>448</v>
      </c>
      <c r="B82" s="135">
        <v>43811</v>
      </c>
      <c r="C82" t="s">
        <v>153</v>
      </c>
      <c r="D82" t="s">
        <v>153</v>
      </c>
      <c r="E82" t="s">
        <v>153</v>
      </c>
      <c r="F82" t="s">
        <v>153</v>
      </c>
      <c r="G82" t="s">
        <v>153</v>
      </c>
      <c r="H82" t="s">
        <v>153</v>
      </c>
      <c r="J82" s="135">
        <v>43826</v>
      </c>
      <c r="K82" s="135">
        <v>43829</v>
      </c>
      <c r="L82" t="s">
        <v>155</v>
      </c>
      <c r="M82" s="135">
        <v>43837</v>
      </c>
      <c r="N82">
        <v>0.69103009259259263</v>
      </c>
      <c r="O82" t="s">
        <v>449</v>
      </c>
      <c r="P82" t="s">
        <v>450</v>
      </c>
      <c r="Q82" t="s">
        <v>451</v>
      </c>
      <c r="S82" t="s">
        <v>452</v>
      </c>
      <c r="T82" t="s">
        <v>453</v>
      </c>
      <c r="U82" t="s">
        <v>176</v>
      </c>
      <c r="V82">
        <v>1243</v>
      </c>
      <c r="W82" t="s">
        <v>454</v>
      </c>
      <c r="X82">
        <v>43846.493263888886</v>
      </c>
      <c r="Y82">
        <v>4</v>
      </c>
    </row>
    <row r="83" spans="1:26">
      <c r="A83" t="s">
        <v>174</v>
      </c>
      <c r="B83" s="135">
        <v>43836</v>
      </c>
      <c r="C83" t="s">
        <v>153</v>
      </c>
      <c r="D83" t="s">
        <v>153</v>
      </c>
      <c r="E83" t="s">
        <v>153</v>
      </c>
      <c r="F83" t="s">
        <v>153</v>
      </c>
      <c r="G83" t="s">
        <v>153</v>
      </c>
      <c r="J83" s="135">
        <v>43837</v>
      </c>
      <c r="K83" s="135">
        <v>43839</v>
      </c>
      <c r="L83" t="s">
        <v>154</v>
      </c>
      <c r="M83" s="135">
        <v>43839</v>
      </c>
      <c r="N83">
        <v>0.67202546296296306</v>
      </c>
      <c r="O83" t="s">
        <v>455</v>
      </c>
      <c r="P83" t="s">
        <v>401</v>
      </c>
      <c r="Q83" t="s">
        <v>456</v>
      </c>
      <c r="R83">
        <v>9.5</v>
      </c>
      <c r="S83" t="s">
        <v>457</v>
      </c>
      <c r="T83">
        <v>2050001</v>
      </c>
      <c r="U83" t="s">
        <v>176</v>
      </c>
      <c r="V83">
        <v>5000</v>
      </c>
      <c r="X83">
        <v>43850</v>
      </c>
      <c r="Y83">
        <v>2</v>
      </c>
    </row>
    <row r="84" spans="1:26">
      <c r="A84" t="s">
        <v>174</v>
      </c>
      <c r="B84" s="135">
        <v>43836</v>
      </c>
      <c r="C84" t="s">
        <v>153</v>
      </c>
      <c r="D84" t="s">
        <v>153</v>
      </c>
      <c r="E84" t="s">
        <v>153</v>
      </c>
      <c r="F84" t="s">
        <v>153</v>
      </c>
      <c r="G84" t="s">
        <v>153</v>
      </c>
      <c r="J84" s="135">
        <v>43837</v>
      </c>
      <c r="K84" s="135">
        <v>43839</v>
      </c>
      <c r="L84" t="s">
        <v>154</v>
      </c>
      <c r="M84" s="135">
        <v>43839</v>
      </c>
      <c r="N84">
        <v>0.90523148148148147</v>
      </c>
      <c r="O84" t="s">
        <v>458</v>
      </c>
      <c r="P84" t="s">
        <v>401</v>
      </c>
      <c r="Q84" t="s">
        <v>459</v>
      </c>
      <c r="R84">
        <v>7.7</v>
      </c>
      <c r="S84" t="s">
        <v>460</v>
      </c>
      <c r="T84">
        <v>2050004</v>
      </c>
      <c r="U84" t="s">
        <v>176</v>
      </c>
      <c r="V84">
        <v>25000</v>
      </c>
      <c r="X84">
        <v>43826</v>
      </c>
      <c r="Y84">
        <v>3</v>
      </c>
      <c r="Z84">
        <v>16.233766233766232</v>
      </c>
    </row>
    <row r="85" spans="1:26">
      <c r="A85" t="s">
        <v>174</v>
      </c>
      <c r="B85" s="135">
        <v>43836</v>
      </c>
      <c r="C85" t="s">
        <v>153</v>
      </c>
      <c r="D85" t="s">
        <v>153</v>
      </c>
      <c r="E85" t="s">
        <v>153</v>
      </c>
      <c r="F85" t="s">
        <v>153</v>
      </c>
      <c r="G85" t="s">
        <v>153</v>
      </c>
      <c r="H85" t="s">
        <v>153</v>
      </c>
      <c r="J85" s="135">
        <v>43829</v>
      </c>
      <c r="K85" s="135">
        <v>43836</v>
      </c>
      <c r="L85" t="s">
        <v>155</v>
      </c>
      <c r="M85" s="135">
        <v>43837</v>
      </c>
      <c r="N85">
        <v>0.27436342592592594</v>
      </c>
      <c r="O85">
        <v>71021</v>
      </c>
      <c r="P85" t="s">
        <v>106</v>
      </c>
      <c r="Q85" t="s">
        <v>175</v>
      </c>
      <c r="R85">
        <v>7</v>
      </c>
      <c r="S85" t="s">
        <v>207</v>
      </c>
      <c r="T85">
        <v>2050007</v>
      </c>
      <c r="U85" t="s">
        <v>176</v>
      </c>
      <c r="V85">
        <v>28000</v>
      </c>
      <c r="X85">
        <v>43840</v>
      </c>
      <c r="Y85">
        <v>2</v>
      </c>
      <c r="Z85">
        <v>6.666666666666667</v>
      </c>
    </row>
    <row r="86" spans="1:26">
      <c r="A86" t="s">
        <v>461</v>
      </c>
      <c r="B86">
        <v>43836</v>
      </c>
      <c r="C86" t="s">
        <v>153</v>
      </c>
      <c r="D86" t="s">
        <v>153</v>
      </c>
      <c r="E86" t="s">
        <v>153</v>
      </c>
      <c r="F86" t="s">
        <v>153</v>
      </c>
      <c r="G86" t="s">
        <v>153</v>
      </c>
      <c r="J86">
        <v>43829</v>
      </c>
      <c r="K86">
        <v>43836</v>
      </c>
      <c r="L86" t="s">
        <v>155</v>
      </c>
      <c r="M86">
        <v>43837</v>
      </c>
      <c r="N86">
        <v>0.29222222222222222</v>
      </c>
      <c r="O86">
        <v>754</v>
      </c>
      <c r="P86" t="s">
        <v>103</v>
      </c>
      <c r="Q86" t="s">
        <v>462</v>
      </c>
      <c r="R86">
        <v>8.1</v>
      </c>
      <c r="S86" t="s">
        <v>463</v>
      </c>
      <c r="T86">
        <v>2020005</v>
      </c>
      <c r="U86">
        <v>3</v>
      </c>
      <c r="V86">
        <v>45</v>
      </c>
      <c r="X86">
        <v>43868</v>
      </c>
      <c r="Y86">
        <v>5</v>
      </c>
      <c r="Z86">
        <v>0.22500000000000001</v>
      </c>
    </row>
    <row r="87" spans="1:26">
      <c r="A87" t="s">
        <v>464</v>
      </c>
      <c r="B87">
        <v>43836</v>
      </c>
      <c r="C87" t="s">
        <v>153</v>
      </c>
      <c r="D87" t="s">
        <v>153</v>
      </c>
      <c r="E87" t="s">
        <v>153</v>
      </c>
      <c r="F87" t="s">
        <v>153</v>
      </c>
      <c r="G87" t="s">
        <v>153</v>
      </c>
      <c r="J87">
        <v>43829</v>
      </c>
      <c r="K87">
        <v>43836</v>
      </c>
      <c r="L87" t="s">
        <v>155</v>
      </c>
      <c r="M87">
        <v>43837</v>
      </c>
      <c r="N87">
        <v>0.36861111111111106</v>
      </c>
      <c r="O87">
        <v>141</v>
      </c>
      <c r="P87" t="s">
        <v>105</v>
      </c>
      <c r="Q87" t="s">
        <v>465</v>
      </c>
      <c r="R87">
        <v>12</v>
      </c>
      <c r="S87" t="s">
        <v>466</v>
      </c>
      <c r="T87">
        <v>2020020</v>
      </c>
      <c r="U87">
        <v>13</v>
      </c>
      <c r="V87">
        <v>192</v>
      </c>
      <c r="W87" t="s">
        <v>467</v>
      </c>
      <c r="X87">
        <v>43798</v>
      </c>
      <c r="Y87">
        <v>2</v>
      </c>
      <c r="Z87">
        <v>1</v>
      </c>
    </row>
    <row r="88" spans="1:26">
      <c r="A88" t="s">
        <v>468</v>
      </c>
      <c r="B88">
        <v>43817</v>
      </c>
      <c r="C88" t="s">
        <v>153</v>
      </c>
      <c r="D88" t="s">
        <v>153</v>
      </c>
      <c r="E88" t="s">
        <v>153</v>
      </c>
      <c r="F88" t="s">
        <v>153</v>
      </c>
      <c r="G88" t="s">
        <v>153</v>
      </c>
      <c r="J88">
        <v>43826</v>
      </c>
      <c r="K88">
        <v>43829</v>
      </c>
      <c r="L88" t="s">
        <v>155</v>
      </c>
      <c r="M88">
        <v>43837</v>
      </c>
      <c r="N88">
        <v>0.33717592592592593</v>
      </c>
      <c r="O88" t="s">
        <v>469</v>
      </c>
      <c r="P88" t="s">
        <v>107</v>
      </c>
      <c r="Q88" t="s">
        <v>192</v>
      </c>
      <c r="R88">
        <v>0</v>
      </c>
      <c r="S88" t="s">
        <v>470</v>
      </c>
      <c r="T88">
        <v>1931512</v>
      </c>
      <c r="U88">
        <v>3</v>
      </c>
      <c r="V88">
        <v>100</v>
      </c>
      <c r="W88" t="s">
        <v>225</v>
      </c>
      <c r="X88">
        <v>43811</v>
      </c>
      <c r="Y88">
        <v>9</v>
      </c>
      <c r="Z88">
        <v>2.2222222222222223</v>
      </c>
    </row>
    <row r="89" spans="1:26">
      <c r="A89" t="s">
        <v>476</v>
      </c>
      <c r="B89">
        <v>43836</v>
      </c>
      <c r="C89" t="s">
        <v>153</v>
      </c>
      <c r="D89" t="s">
        <v>153</v>
      </c>
      <c r="E89" t="s">
        <v>153</v>
      </c>
      <c r="F89" t="s">
        <v>153</v>
      </c>
      <c r="G89" t="s">
        <v>153</v>
      </c>
      <c r="H89" t="s">
        <v>153</v>
      </c>
      <c r="I89" t="s">
        <v>153</v>
      </c>
      <c r="J89">
        <v>43836</v>
      </c>
      <c r="K89">
        <v>43837</v>
      </c>
      <c r="L89" t="s">
        <v>155</v>
      </c>
      <c r="M89">
        <v>43838</v>
      </c>
      <c r="N89">
        <v>0.2713888888888889</v>
      </c>
      <c r="O89">
        <v>758</v>
      </c>
      <c r="P89" t="s">
        <v>103</v>
      </c>
      <c r="Q89" t="s">
        <v>477</v>
      </c>
      <c r="R89">
        <v>7.9</v>
      </c>
      <c r="S89" t="s">
        <v>478</v>
      </c>
      <c r="T89">
        <v>2020003</v>
      </c>
      <c r="U89">
        <v>3</v>
      </c>
      <c r="V89">
        <v>157</v>
      </c>
      <c r="X89">
        <v>43859</v>
      </c>
      <c r="Y89">
        <v>5</v>
      </c>
      <c r="Z89">
        <v>1.57</v>
      </c>
    </row>
    <row r="90" spans="1:26">
      <c r="A90" t="s">
        <v>479</v>
      </c>
      <c r="B90">
        <v>43837</v>
      </c>
      <c r="C90" t="s">
        <v>153</v>
      </c>
      <c r="D90" t="s">
        <v>153</v>
      </c>
      <c r="E90" t="s">
        <v>153</v>
      </c>
      <c r="F90" t="s">
        <v>153</v>
      </c>
      <c r="G90" t="s">
        <v>153</v>
      </c>
      <c r="H90" t="s">
        <v>153</v>
      </c>
      <c r="J90">
        <v>43836</v>
      </c>
      <c r="K90">
        <v>43837</v>
      </c>
      <c r="L90" t="s">
        <v>154</v>
      </c>
      <c r="M90">
        <v>43838</v>
      </c>
      <c r="N90">
        <v>0.66856481481481478</v>
      </c>
      <c r="O90">
        <v>9319</v>
      </c>
      <c r="P90" t="s">
        <v>103</v>
      </c>
      <c r="Q90" t="s">
        <v>480</v>
      </c>
      <c r="R90">
        <v>7.5</v>
      </c>
      <c r="S90" t="s">
        <v>481</v>
      </c>
      <c r="T90">
        <v>1920931</v>
      </c>
      <c r="U90">
        <v>3</v>
      </c>
      <c r="V90">
        <v>16</v>
      </c>
      <c r="W90" t="s">
        <v>225</v>
      </c>
      <c r="X90">
        <v>43791</v>
      </c>
      <c r="Y90">
        <v>3</v>
      </c>
      <c r="Z90">
        <v>0.05</v>
      </c>
    </row>
    <row r="91" spans="1:26">
      <c r="A91" t="s">
        <v>482</v>
      </c>
      <c r="B91">
        <v>43837</v>
      </c>
      <c r="C91" t="s">
        <v>153</v>
      </c>
      <c r="D91" t="s">
        <v>153</v>
      </c>
      <c r="E91" t="s">
        <v>153</v>
      </c>
      <c r="F91" t="s">
        <v>153</v>
      </c>
      <c r="G91" t="s">
        <v>153</v>
      </c>
      <c r="J91">
        <v>43836</v>
      </c>
      <c r="K91">
        <v>43837</v>
      </c>
      <c r="L91" t="s">
        <v>154</v>
      </c>
      <c r="M91">
        <v>43838</v>
      </c>
      <c r="N91">
        <v>0.7260416666666667</v>
      </c>
      <c r="O91">
        <v>774</v>
      </c>
      <c r="P91" t="s">
        <v>103</v>
      </c>
      <c r="Q91" t="s">
        <v>483</v>
      </c>
      <c r="R91">
        <v>12</v>
      </c>
      <c r="S91" t="s">
        <v>484</v>
      </c>
      <c r="T91">
        <v>2020039</v>
      </c>
      <c r="U91">
        <v>13</v>
      </c>
      <c r="V91">
        <v>30</v>
      </c>
      <c r="X91">
        <v>43830</v>
      </c>
      <c r="Y91">
        <v>3</v>
      </c>
      <c r="Z91">
        <v>0.1048951048951049</v>
      </c>
    </row>
    <row r="92" spans="1:26">
      <c r="A92" t="s">
        <v>485</v>
      </c>
      <c r="B92">
        <v>43837</v>
      </c>
      <c r="C92" t="s">
        <v>153</v>
      </c>
      <c r="D92" t="s">
        <v>153</v>
      </c>
      <c r="E92" t="s">
        <v>153</v>
      </c>
      <c r="F92" t="s">
        <v>153</v>
      </c>
      <c r="G92" t="s">
        <v>153</v>
      </c>
      <c r="J92">
        <v>43836</v>
      </c>
      <c r="K92">
        <v>43837</v>
      </c>
      <c r="L92" t="s">
        <v>154</v>
      </c>
      <c r="M92">
        <v>43838</v>
      </c>
      <c r="N92">
        <v>0.79770833333333335</v>
      </c>
      <c r="O92">
        <v>775</v>
      </c>
      <c r="P92" t="s">
        <v>103</v>
      </c>
      <c r="Q92" t="s">
        <v>483</v>
      </c>
      <c r="R92">
        <v>12</v>
      </c>
      <c r="S92" t="s">
        <v>486</v>
      </c>
      <c r="T92">
        <v>2020054</v>
      </c>
      <c r="U92">
        <v>13</v>
      </c>
      <c r="V92">
        <v>50</v>
      </c>
      <c r="X92">
        <v>43818</v>
      </c>
      <c r="Y92">
        <v>3</v>
      </c>
      <c r="Z92">
        <v>0.17482517482517482</v>
      </c>
    </row>
    <row r="93" spans="1:26">
      <c r="A93" t="s">
        <v>487</v>
      </c>
      <c r="B93">
        <v>43837</v>
      </c>
      <c r="C93" t="s">
        <v>153</v>
      </c>
      <c r="D93" t="s">
        <v>153</v>
      </c>
      <c r="E93" t="s">
        <v>153</v>
      </c>
      <c r="F93" t="s">
        <v>153</v>
      </c>
      <c r="G93" t="s">
        <v>153</v>
      </c>
      <c r="J93">
        <v>43836</v>
      </c>
      <c r="K93">
        <v>43837</v>
      </c>
      <c r="L93" t="s">
        <v>154</v>
      </c>
      <c r="M93">
        <v>43838</v>
      </c>
      <c r="N93">
        <v>0.86046296296296287</v>
      </c>
      <c r="O93">
        <v>772</v>
      </c>
      <c r="P93" t="s">
        <v>103</v>
      </c>
      <c r="Q93" t="s">
        <v>488</v>
      </c>
      <c r="R93">
        <v>11.5</v>
      </c>
      <c r="S93" t="s">
        <v>489</v>
      </c>
      <c r="T93">
        <v>2020086</v>
      </c>
      <c r="U93">
        <v>13</v>
      </c>
      <c r="V93">
        <v>210</v>
      </c>
      <c r="X93">
        <v>43860</v>
      </c>
      <c r="Y93">
        <v>3</v>
      </c>
      <c r="Z93">
        <v>1</v>
      </c>
    </row>
    <row r="94" spans="1:26">
      <c r="A94" t="s">
        <v>490</v>
      </c>
      <c r="B94">
        <v>43836</v>
      </c>
      <c r="C94" t="s">
        <v>153</v>
      </c>
      <c r="D94" t="s">
        <v>153</v>
      </c>
      <c r="E94" t="s">
        <v>153</v>
      </c>
      <c r="F94" t="s">
        <v>153</v>
      </c>
      <c r="G94" t="s">
        <v>153</v>
      </c>
      <c r="J94">
        <v>43836</v>
      </c>
      <c r="K94">
        <v>43837</v>
      </c>
      <c r="L94" t="s">
        <v>155</v>
      </c>
      <c r="M94">
        <v>43838</v>
      </c>
      <c r="N94">
        <v>0.2713888888888889</v>
      </c>
      <c r="O94">
        <v>407</v>
      </c>
      <c r="P94" t="s">
        <v>104</v>
      </c>
      <c r="Q94" t="s">
        <v>491</v>
      </c>
      <c r="R94">
        <v>10.5</v>
      </c>
      <c r="S94" t="s">
        <v>492</v>
      </c>
      <c r="T94">
        <v>2020009</v>
      </c>
      <c r="U94">
        <v>13</v>
      </c>
      <c r="V94">
        <v>85</v>
      </c>
      <c r="W94" t="s">
        <v>493</v>
      </c>
      <c r="X94">
        <v>43852</v>
      </c>
      <c r="Y94">
        <v>4</v>
      </c>
      <c r="Z94">
        <v>2.125</v>
      </c>
    </row>
    <row r="95" spans="1:26">
      <c r="A95" t="s">
        <v>494</v>
      </c>
      <c r="B95">
        <v>43836</v>
      </c>
      <c r="C95" t="s">
        <v>153</v>
      </c>
      <c r="D95" t="s">
        <v>153</v>
      </c>
      <c r="E95" t="s">
        <v>153</v>
      </c>
      <c r="F95" t="s">
        <v>153</v>
      </c>
      <c r="G95" t="s">
        <v>153</v>
      </c>
      <c r="J95">
        <v>43836</v>
      </c>
      <c r="K95">
        <v>43837</v>
      </c>
      <c r="L95" t="s">
        <v>154</v>
      </c>
      <c r="M95">
        <v>43838</v>
      </c>
      <c r="N95">
        <v>0.67019675925925926</v>
      </c>
      <c r="O95">
        <v>133</v>
      </c>
      <c r="P95" t="s">
        <v>104</v>
      </c>
      <c r="Q95" t="s">
        <v>164</v>
      </c>
      <c r="R95">
        <v>10.5</v>
      </c>
      <c r="S95" t="s">
        <v>495</v>
      </c>
      <c r="T95">
        <v>2020029</v>
      </c>
      <c r="U95">
        <v>13</v>
      </c>
      <c r="V95">
        <v>29</v>
      </c>
      <c r="W95" t="s">
        <v>496</v>
      </c>
      <c r="X95">
        <v>43830</v>
      </c>
      <c r="Y95">
        <v>2</v>
      </c>
      <c r="Z95">
        <v>5.8823529411764705E-2</v>
      </c>
    </row>
    <row r="96" spans="1:26">
      <c r="A96" t="s">
        <v>497</v>
      </c>
      <c r="B96">
        <v>43836</v>
      </c>
      <c r="C96" t="s">
        <v>153</v>
      </c>
      <c r="D96" t="s">
        <v>153</v>
      </c>
      <c r="E96" t="s">
        <v>153</v>
      </c>
      <c r="F96" t="s">
        <v>153</v>
      </c>
      <c r="G96" t="s">
        <v>153</v>
      </c>
      <c r="J96">
        <v>43836</v>
      </c>
      <c r="K96">
        <v>43837</v>
      </c>
      <c r="L96" t="s">
        <v>154</v>
      </c>
      <c r="M96">
        <v>43838</v>
      </c>
      <c r="N96">
        <v>0.68244212962962969</v>
      </c>
      <c r="O96">
        <v>134</v>
      </c>
      <c r="P96" t="s">
        <v>104</v>
      </c>
      <c r="Q96" t="s">
        <v>164</v>
      </c>
      <c r="R96">
        <v>10.5</v>
      </c>
      <c r="S96" t="s">
        <v>498</v>
      </c>
      <c r="T96">
        <v>2020033</v>
      </c>
      <c r="U96">
        <v>13</v>
      </c>
      <c r="V96">
        <v>58</v>
      </c>
      <c r="X96">
        <v>43861</v>
      </c>
      <c r="Y96">
        <v>2</v>
      </c>
      <c r="Z96">
        <v>0.11764705882352941</v>
      </c>
    </row>
    <row r="97" spans="1:26">
      <c r="A97" t="s">
        <v>499</v>
      </c>
      <c r="B97">
        <v>43836</v>
      </c>
      <c r="C97" t="s">
        <v>153</v>
      </c>
      <c r="D97" t="s">
        <v>153</v>
      </c>
      <c r="E97" t="s">
        <v>153</v>
      </c>
      <c r="F97" t="s">
        <v>153</v>
      </c>
      <c r="G97" t="s">
        <v>153</v>
      </c>
      <c r="J97">
        <v>43836</v>
      </c>
      <c r="K97">
        <v>43837</v>
      </c>
      <c r="L97" t="s">
        <v>154</v>
      </c>
      <c r="M97">
        <v>43838</v>
      </c>
      <c r="N97">
        <v>0.71387731481481476</v>
      </c>
      <c r="O97">
        <v>279</v>
      </c>
      <c r="P97" t="s">
        <v>104</v>
      </c>
      <c r="Q97" t="s">
        <v>164</v>
      </c>
      <c r="R97">
        <v>10.5</v>
      </c>
      <c r="S97" t="s">
        <v>500</v>
      </c>
      <c r="T97">
        <v>2020065</v>
      </c>
      <c r="U97">
        <v>13</v>
      </c>
      <c r="V97">
        <v>87</v>
      </c>
      <c r="X97">
        <v>43859</v>
      </c>
      <c r="Y97">
        <v>2</v>
      </c>
      <c r="Z97">
        <v>0.17647058823529413</v>
      </c>
    </row>
    <row r="98" spans="1:26">
      <c r="A98" t="s">
        <v>191</v>
      </c>
      <c r="B98">
        <v>43836</v>
      </c>
      <c r="C98" t="s">
        <v>153</v>
      </c>
      <c r="D98" t="s">
        <v>153</v>
      </c>
      <c r="E98" t="s">
        <v>153</v>
      </c>
      <c r="F98" t="s">
        <v>153</v>
      </c>
      <c r="G98" t="s">
        <v>153</v>
      </c>
      <c r="H98" t="s">
        <v>153</v>
      </c>
      <c r="I98" t="s">
        <v>153</v>
      </c>
      <c r="J98">
        <v>43836</v>
      </c>
      <c r="K98">
        <v>43837</v>
      </c>
      <c r="L98" t="s">
        <v>155</v>
      </c>
      <c r="M98">
        <v>43838</v>
      </c>
      <c r="N98">
        <v>0.2713888888888889</v>
      </c>
      <c r="O98">
        <v>141</v>
      </c>
      <c r="P98" t="s">
        <v>105</v>
      </c>
      <c r="Q98" t="s">
        <v>465</v>
      </c>
      <c r="R98">
        <v>12</v>
      </c>
      <c r="S98" t="s">
        <v>501</v>
      </c>
      <c r="T98" t="s">
        <v>502</v>
      </c>
      <c r="U98">
        <v>13</v>
      </c>
      <c r="V98">
        <v>5</v>
      </c>
      <c r="W98" t="s">
        <v>503</v>
      </c>
      <c r="X98">
        <v>43801</v>
      </c>
      <c r="Y98">
        <v>2</v>
      </c>
      <c r="Z98">
        <v>2.6041666666666668E-2</v>
      </c>
    </row>
    <row r="99" spans="1:26">
      <c r="A99" t="s">
        <v>504</v>
      </c>
      <c r="B99">
        <v>43836</v>
      </c>
      <c r="C99" t="s">
        <v>153</v>
      </c>
      <c r="D99" t="s">
        <v>153</v>
      </c>
      <c r="E99" t="s">
        <v>153</v>
      </c>
      <c r="F99" t="s">
        <v>153</v>
      </c>
      <c r="G99" t="s">
        <v>153</v>
      </c>
      <c r="H99" t="s">
        <v>153</v>
      </c>
      <c r="I99" t="s">
        <v>153</v>
      </c>
      <c r="J99">
        <v>43836</v>
      </c>
      <c r="K99">
        <v>43837</v>
      </c>
      <c r="L99" t="s">
        <v>155</v>
      </c>
      <c r="M99">
        <v>43838</v>
      </c>
      <c r="N99">
        <v>0.45913194444444444</v>
      </c>
      <c r="O99">
        <v>9199</v>
      </c>
      <c r="P99" t="s">
        <v>105</v>
      </c>
      <c r="Q99" t="s">
        <v>505</v>
      </c>
      <c r="R99">
        <v>12</v>
      </c>
      <c r="S99" t="s">
        <v>506</v>
      </c>
      <c r="T99">
        <v>2020019</v>
      </c>
      <c r="U99">
        <v>13</v>
      </c>
      <c r="V99">
        <v>108</v>
      </c>
      <c r="X99">
        <v>43857</v>
      </c>
      <c r="Y99">
        <v>4</v>
      </c>
      <c r="Z99">
        <v>0.5</v>
      </c>
    </row>
    <row r="100" spans="1:26">
      <c r="A100" t="s">
        <v>507</v>
      </c>
      <c r="B100">
        <v>43836</v>
      </c>
      <c r="C100" t="s">
        <v>153</v>
      </c>
      <c r="D100" t="s">
        <v>153</v>
      </c>
      <c r="E100" t="s">
        <v>153</v>
      </c>
      <c r="F100" t="s">
        <v>153</v>
      </c>
      <c r="G100" t="s">
        <v>153</v>
      </c>
      <c r="H100" t="s">
        <v>153</v>
      </c>
      <c r="J100">
        <v>43836</v>
      </c>
      <c r="K100">
        <v>43837</v>
      </c>
      <c r="L100" t="s">
        <v>155</v>
      </c>
      <c r="M100">
        <v>43838</v>
      </c>
      <c r="N100">
        <v>0.54567129629629629</v>
      </c>
      <c r="O100">
        <v>716</v>
      </c>
      <c r="P100" t="s">
        <v>105</v>
      </c>
      <c r="Q100" t="s">
        <v>508</v>
      </c>
      <c r="R100">
        <v>12</v>
      </c>
      <c r="S100" t="s">
        <v>509</v>
      </c>
      <c r="T100">
        <v>2020041</v>
      </c>
      <c r="U100">
        <v>13</v>
      </c>
      <c r="V100">
        <v>1080</v>
      </c>
      <c r="X100">
        <v>43859</v>
      </c>
      <c r="Y100">
        <v>4</v>
      </c>
      <c r="Z100">
        <v>5</v>
      </c>
    </row>
    <row r="101" spans="1:26">
      <c r="A101" t="s">
        <v>510</v>
      </c>
      <c r="B101">
        <v>43817</v>
      </c>
      <c r="C101" t="s">
        <v>153</v>
      </c>
      <c r="D101" t="s">
        <v>153</v>
      </c>
      <c r="E101" t="s">
        <v>153</v>
      </c>
      <c r="F101" t="s">
        <v>153</v>
      </c>
      <c r="G101" t="s">
        <v>153</v>
      </c>
      <c r="H101" t="s">
        <v>153</v>
      </c>
      <c r="I101" t="s">
        <v>153</v>
      </c>
      <c r="J101">
        <v>43829</v>
      </c>
      <c r="K101">
        <v>43836</v>
      </c>
      <c r="L101" t="s">
        <v>155</v>
      </c>
      <c r="M101">
        <v>43838</v>
      </c>
      <c r="N101">
        <v>0.2713888888888889</v>
      </c>
      <c r="O101" t="s">
        <v>511</v>
      </c>
      <c r="P101" t="s">
        <v>107</v>
      </c>
      <c r="Q101" t="s">
        <v>512</v>
      </c>
      <c r="R101">
        <v>0</v>
      </c>
      <c r="S101" t="s">
        <v>513</v>
      </c>
      <c r="T101">
        <v>1931518</v>
      </c>
      <c r="U101">
        <v>13</v>
      </c>
      <c r="V101">
        <v>100</v>
      </c>
      <c r="W101" t="s">
        <v>225</v>
      </c>
      <c r="X101">
        <v>43811</v>
      </c>
      <c r="Y101">
        <v>8</v>
      </c>
      <c r="Z101">
        <v>2.0833333333333335</v>
      </c>
    </row>
    <row r="102" spans="1:26">
      <c r="A102" t="s">
        <v>514</v>
      </c>
      <c r="B102">
        <v>43817</v>
      </c>
      <c r="C102" t="s">
        <v>153</v>
      </c>
      <c r="D102" t="s">
        <v>153</v>
      </c>
      <c r="E102" t="s">
        <v>153</v>
      </c>
      <c r="F102" t="s">
        <v>153</v>
      </c>
      <c r="G102" t="s">
        <v>153</v>
      </c>
      <c r="H102" t="s">
        <v>153</v>
      </c>
      <c r="I102" t="s">
        <v>153</v>
      </c>
      <c r="J102">
        <v>43829</v>
      </c>
      <c r="K102">
        <v>43836</v>
      </c>
      <c r="L102" t="s">
        <v>154</v>
      </c>
      <c r="M102">
        <v>43838</v>
      </c>
      <c r="N102">
        <v>0.5142592592592593</v>
      </c>
      <c r="O102" t="s">
        <v>353</v>
      </c>
      <c r="P102" t="s">
        <v>107</v>
      </c>
      <c r="Q102" t="s">
        <v>199</v>
      </c>
      <c r="R102">
        <v>0</v>
      </c>
      <c r="S102" t="s">
        <v>354</v>
      </c>
      <c r="T102">
        <v>1931507</v>
      </c>
      <c r="U102">
        <v>3</v>
      </c>
      <c r="V102">
        <v>80</v>
      </c>
      <c r="W102" t="s">
        <v>225</v>
      </c>
      <c r="X102">
        <v>43811</v>
      </c>
      <c r="Y102">
        <v>10</v>
      </c>
      <c r="Z102">
        <v>1.2698412698412698</v>
      </c>
    </row>
    <row r="103" spans="1:26">
      <c r="A103" t="s">
        <v>515</v>
      </c>
      <c r="B103">
        <v>43817</v>
      </c>
      <c r="C103" t="s">
        <v>153</v>
      </c>
      <c r="D103" t="s">
        <v>153</v>
      </c>
      <c r="E103" t="s">
        <v>153</v>
      </c>
      <c r="F103" t="s">
        <v>153</v>
      </c>
      <c r="G103" t="s">
        <v>153</v>
      </c>
      <c r="J103">
        <v>43829</v>
      </c>
      <c r="K103">
        <v>43836</v>
      </c>
      <c r="L103" t="s">
        <v>154</v>
      </c>
      <c r="M103">
        <v>43838</v>
      </c>
      <c r="N103">
        <v>0.7017592592592593</v>
      </c>
      <c r="O103" t="s">
        <v>516</v>
      </c>
      <c r="P103" t="s">
        <v>107</v>
      </c>
      <c r="Q103" t="s">
        <v>179</v>
      </c>
      <c r="R103">
        <v>0</v>
      </c>
      <c r="S103" t="s">
        <v>517</v>
      </c>
      <c r="T103">
        <v>1931552</v>
      </c>
      <c r="U103">
        <v>3</v>
      </c>
      <c r="V103">
        <v>80</v>
      </c>
      <c r="X103">
        <v>43819</v>
      </c>
      <c r="Y103">
        <v>10</v>
      </c>
      <c r="Z103">
        <v>1.7777777777777777</v>
      </c>
    </row>
    <row r="104" spans="1:26">
      <c r="A104" t="s">
        <v>518</v>
      </c>
      <c r="B104">
        <v>43836</v>
      </c>
      <c r="C104" t="s">
        <v>153</v>
      </c>
      <c r="D104" t="s">
        <v>153</v>
      </c>
      <c r="E104" t="s">
        <v>153</v>
      </c>
      <c r="F104" t="s">
        <v>153</v>
      </c>
      <c r="G104" t="s">
        <v>153</v>
      </c>
      <c r="H104" t="s">
        <v>153</v>
      </c>
      <c r="I104" t="s">
        <v>153</v>
      </c>
      <c r="J104">
        <v>43829</v>
      </c>
      <c r="K104">
        <v>43836</v>
      </c>
      <c r="L104" t="s">
        <v>154</v>
      </c>
      <c r="M104">
        <v>43838</v>
      </c>
      <c r="N104">
        <v>0.82259259259259254</v>
      </c>
      <c r="O104" t="s">
        <v>519</v>
      </c>
      <c r="P104" t="s">
        <v>107</v>
      </c>
      <c r="Q104" t="s">
        <v>520</v>
      </c>
      <c r="R104">
        <v>0</v>
      </c>
      <c r="S104" t="s">
        <v>521</v>
      </c>
      <c r="T104">
        <v>1931513</v>
      </c>
      <c r="U104">
        <v>3</v>
      </c>
      <c r="V104">
        <v>50</v>
      </c>
      <c r="W104" t="s">
        <v>225</v>
      </c>
      <c r="X104">
        <v>43811</v>
      </c>
      <c r="Y104">
        <v>10</v>
      </c>
      <c r="Z104">
        <v>0.92592592592592593</v>
      </c>
    </row>
    <row r="105" spans="1:26">
      <c r="A105" t="s">
        <v>522</v>
      </c>
      <c r="B105">
        <v>43836</v>
      </c>
      <c r="C105" t="s">
        <v>153</v>
      </c>
      <c r="D105" t="s">
        <v>153</v>
      </c>
      <c r="E105" t="s">
        <v>153</v>
      </c>
      <c r="F105" t="s">
        <v>153</v>
      </c>
      <c r="G105" t="s">
        <v>153</v>
      </c>
      <c r="J105">
        <v>43829</v>
      </c>
      <c r="K105">
        <v>43836</v>
      </c>
      <c r="L105" t="s">
        <v>155</v>
      </c>
      <c r="M105">
        <v>43838</v>
      </c>
      <c r="N105">
        <v>0.90907407407407403</v>
      </c>
      <c r="O105" t="s">
        <v>523</v>
      </c>
      <c r="P105" t="s">
        <v>107</v>
      </c>
      <c r="Q105" t="s">
        <v>202</v>
      </c>
      <c r="R105">
        <v>0</v>
      </c>
      <c r="S105" t="s">
        <v>524</v>
      </c>
      <c r="T105">
        <v>1931515</v>
      </c>
      <c r="U105">
        <v>3</v>
      </c>
      <c r="V105">
        <v>50</v>
      </c>
      <c r="W105" t="s">
        <v>225</v>
      </c>
      <c r="X105">
        <v>43811</v>
      </c>
      <c r="Y105">
        <v>9</v>
      </c>
      <c r="Z105">
        <v>1.1111111111111112</v>
      </c>
    </row>
    <row r="106" spans="1:26">
      <c r="A106" t="s">
        <v>525</v>
      </c>
      <c r="B106">
        <v>43836</v>
      </c>
      <c r="C106" t="s">
        <v>153</v>
      </c>
      <c r="D106" t="s">
        <v>153</v>
      </c>
      <c r="E106" t="s">
        <v>153</v>
      </c>
      <c r="F106" t="s">
        <v>153</v>
      </c>
      <c r="G106" t="s">
        <v>153</v>
      </c>
      <c r="J106">
        <v>43836</v>
      </c>
      <c r="K106">
        <v>43837</v>
      </c>
      <c r="L106" t="s">
        <v>155</v>
      </c>
      <c r="M106">
        <v>43839</v>
      </c>
      <c r="N106">
        <v>0.29969907407407409</v>
      </c>
      <c r="O106" t="s">
        <v>526</v>
      </c>
      <c r="P106" t="s">
        <v>107</v>
      </c>
      <c r="Q106" t="s">
        <v>180</v>
      </c>
      <c r="R106">
        <v>0</v>
      </c>
      <c r="S106" t="s">
        <v>527</v>
      </c>
      <c r="T106">
        <v>1931500</v>
      </c>
      <c r="U106">
        <v>3</v>
      </c>
      <c r="V106">
        <v>18</v>
      </c>
      <c r="X106">
        <v>43844</v>
      </c>
      <c r="Y106">
        <v>11</v>
      </c>
      <c r="Z106">
        <v>0.25</v>
      </c>
    </row>
    <row r="107" spans="1:26">
      <c r="A107" t="s">
        <v>528</v>
      </c>
      <c r="B107">
        <v>43836</v>
      </c>
      <c r="C107" t="s">
        <v>153</v>
      </c>
      <c r="D107" t="s">
        <v>153</v>
      </c>
      <c r="E107" t="s">
        <v>153</v>
      </c>
      <c r="F107" t="s">
        <v>153</v>
      </c>
      <c r="G107" t="s">
        <v>153</v>
      </c>
      <c r="J107">
        <v>43836</v>
      </c>
      <c r="K107">
        <v>43837</v>
      </c>
      <c r="L107" t="s">
        <v>155</v>
      </c>
      <c r="M107">
        <v>43839</v>
      </c>
      <c r="N107">
        <v>0.34303240740740742</v>
      </c>
      <c r="O107" t="s">
        <v>529</v>
      </c>
      <c r="P107" t="s">
        <v>107</v>
      </c>
      <c r="Q107" t="s">
        <v>530</v>
      </c>
      <c r="R107">
        <v>0</v>
      </c>
      <c r="S107" t="s">
        <v>531</v>
      </c>
      <c r="T107">
        <v>1931503</v>
      </c>
      <c r="U107">
        <v>3</v>
      </c>
      <c r="V107">
        <v>28</v>
      </c>
      <c r="W107" t="s">
        <v>225</v>
      </c>
      <c r="X107">
        <v>43809</v>
      </c>
      <c r="Y107">
        <v>10</v>
      </c>
      <c r="Z107">
        <v>0.62222222222222223</v>
      </c>
    </row>
    <row r="108" spans="1:26">
      <c r="A108" t="s">
        <v>532</v>
      </c>
      <c r="B108">
        <v>43836</v>
      </c>
      <c r="C108" t="s">
        <v>153</v>
      </c>
      <c r="D108" t="s">
        <v>153</v>
      </c>
      <c r="E108" t="s">
        <v>153</v>
      </c>
      <c r="F108" t="s">
        <v>153</v>
      </c>
      <c r="G108" t="s">
        <v>153</v>
      </c>
      <c r="H108" t="s">
        <v>153</v>
      </c>
      <c r="I108" t="s">
        <v>153</v>
      </c>
      <c r="J108">
        <v>43829</v>
      </c>
      <c r="K108">
        <v>43836</v>
      </c>
      <c r="L108" t="s">
        <v>154</v>
      </c>
      <c r="M108">
        <v>43838</v>
      </c>
      <c r="N108">
        <v>0.28006944444444443</v>
      </c>
      <c r="O108" t="s">
        <v>533</v>
      </c>
      <c r="P108" t="s">
        <v>189</v>
      </c>
      <c r="Q108" t="s">
        <v>534</v>
      </c>
      <c r="S108" t="s">
        <v>535</v>
      </c>
      <c r="T108" t="s">
        <v>536</v>
      </c>
      <c r="U108" t="s">
        <v>176</v>
      </c>
      <c r="V108">
        <v>1000</v>
      </c>
      <c r="W108" t="s">
        <v>395</v>
      </c>
      <c r="X108">
        <v>43851.330370370371</v>
      </c>
      <c r="Y108">
        <v>9</v>
      </c>
    </row>
    <row r="109" spans="1:26">
      <c r="A109" t="s">
        <v>537</v>
      </c>
      <c r="B109" s="135">
        <v>43836</v>
      </c>
      <c r="C109" t="s">
        <v>153</v>
      </c>
      <c r="D109" t="s">
        <v>153</v>
      </c>
      <c r="E109" t="s">
        <v>153</v>
      </c>
      <c r="F109" t="s">
        <v>153</v>
      </c>
      <c r="G109" t="s">
        <v>153</v>
      </c>
      <c r="J109" s="135">
        <v>43829</v>
      </c>
      <c r="K109" s="135">
        <v>43836</v>
      </c>
      <c r="L109" t="s">
        <v>155</v>
      </c>
      <c r="M109" s="135">
        <v>43838</v>
      </c>
      <c r="N109">
        <v>0.42211805555555554</v>
      </c>
      <c r="O109" t="s">
        <v>538</v>
      </c>
      <c r="P109" t="s">
        <v>189</v>
      </c>
      <c r="Q109" t="s">
        <v>195</v>
      </c>
      <c r="S109" t="s">
        <v>539</v>
      </c>
      <c r="T109" t="s">
        <v>540</v>
      </c>
      <c r="U109" t="s">
        <v>176</v>
      </c>
      <c r="V109">
        <v>230</v>
      </c>
      <c r="X109">
        <v>43851.540625000001</v>
      </c>
      <c r="Y109">
        <v>9</v>
      </c>
    </row>
    <row r="110" spans="1:26">
      <c r="A110" t="s">
        <v>541</v>
      </c>
      <c r="B110" s="135">
        <v>43836</v>
      </c>
      <c r="C110" t="s">
        <v>153</v>
      </c>
      <c r="D110" t="s">
        <v>153</v>
      </c>
      <c r="E110" t="s">
        <v>153</v>
      </c>
      <c r="F110" t="s">
        <v>153</v>
      </c>
      <c r="G110" t="s">
        <v>153</v>
      </c>
      <c r="J110" s="135">
        <v>43829</v>
      </c>
      <c r="K110" s="135">
        <v>43836</v>
      </c>
      <c r="L110" t="s">
        <v>155</v>
      </c>
      <c r="M110" s="135">
        <v>43838</v>
      </c>
      <c r="N110">
        <v>0.47561342592592593</v>
      </c>
      <c r="O110" t="s">
        <v>542</v>
      </c>
      <c r="P110" t="s">
        <v>189</v>
      </c>
      <c r="Q110" t="s">
        <v>543</v>
      </c>
      <c r="S110" t="s">
        <v>544</v>
      </c>
      <c r="T110" t="s">
        <v>545</v>
      </c>
      <c r="U110" t="s">
        <v>176</v>
      </c>
      <c r="V110">
        <v>270</v>
      </c>
      <c r="W110" t="s">
        <v>546</v>
      </c>
      <c r="X110">
        <v>43850.274363425924</v>
      </c>
      <c r="Y110">
        <v>9</v>
      </c>
    </row>
    <row r="111" spans="1:26">
      <c r="A111" t="s">
        <v>547</v>
      </c>
      <c r="B111" s="135">
        <v>43837</v>
      </c>
      <c r="C111" t="s">
        <v>153</v>
      </c>
      <c r="D111" t="s">
        <v>153</v>
      </c>
      <c r="E111" t="s">
        <v>153</v>
      </c>
      <c r="F111" t="s">
        <v>153</v>
      </c>
      <c r="G111" t="s">
        <v>153</v>
      </c>
      <c r="H111" t="s">
        <v>153</v>
      </c>
      <c r="J111" s="135">
        <v>43829</v>
      </c>
      <c r="K111" s="135">
        <v>43836</v>
      </c>
      <c r="L111" t="s">
        <v>155</v>
      </c>
      <c r="M111" s="135">
        <v>43838</v>
      </c>
      <c r="N111">
        <v>0.6697453703703703</v>
      </c>
      <c r="O111" t="s">
        <v>548</v>
      </c>
      <c r="P111" t="s">
        <v>450</v>
      </c>
      <c r="Q111" t="s">
        <v>451</v>
      </c>
      <c r="S111" t="s">
        <v>549</v>
      </c>
      <c r="T111" t="s">
        <v>550</v>
      </c>
      <c r="U111" t="s">
        <v>176</v>
      </c>
      <c r="V111">
        <v>700</v>
      </c>
      <c r="X111">
        <v>43845.899004629631</v>
      </c>
      <c r="Y111">
        <v>4</v>
      </c>
    </row>
    <row r="112" spans="1:26">
      <c r="A112" t="s">
        <v>551</v>
      </c>
      <c r="B112">
        <v>43837</v>
      </c>
      <c r="C112" t="s">
        <v>153</v>
      </c>
      <c r="D112" t="s">
        <v>153</v>
      </c>
      <c r="E112" t="s">
        <v>153</v>
      </c>
      <c r="F112" t="s">
        <v>153</v>
      </c>
      <c r="G112" t="s">
        <v>153</v>
      </c>
      <c r="J112">
        <v>43838</v>
      </c>
      <c r="K112">
        <v>43839</v>
      </c>
      <c r="L112" t="s">
        <v>155</v>
      </c>
      <c r="M112">
        <v>43843</v>
      </c>
      <c r="N112">
        <v>0.2746527777777778</v>
      </c>
      <c r="O112">
        <v>8906</v>
      </c>
      <c r="P112" t="s">
        <v>103</v>
      </c>
      <c r="Q112" t="s">
        <v>552</v>
      </c>
      <c r="R112">
        <v>10.4</v>
      </c>
      <c r="S112" t="s">
        <v>553</v>
      </c>
      <c r="T112">
        <v>2020026</v>
      </c>
      <c r="U112">
        <v>3</v>
      </c>
      <c r="V112">
        <v>64</v>
      </c>
      <c r="X112">
        <v>43854</v>
      </c>
      <c r="Y112">
        <v>7</v>
      </c>
      <c r="Z112">
        <v>0.5</v>
      </c>
    </row>
    <row r="113" spans="1:26">
      <c r="A113" t="s">
        <v>554</v>
      </c>
      <c r="B113">
        <v>43838</v>
      </c>
      <c r="C113" t="s">
        <v>153</v>
      </c>
      <c r="D113" t="s">
        <v>153</v>
      </c>
      <c r="E113" t="s">
        <v>153</v>
      </c>
      <c r="F113" t="s">
        <v>153</v>
      </c>
      <c r="G113" t="s">
        <v>153</v>
      </c>
      <c r="J113">
        <v>43838</v>
      </c>
      <c r="K113">
        <v>43839</v>
      </c>
      <c r="L113" t="s">
        <v>155</v>
      </c>
      <c r="M113">
        <v>43843</v>
      </c>
      <c r="N113">
        <v>0.35798611111111112</v>
      </c>
      <c r="O113">
        <v>773</v>
      </c>
      <c r="P113" t="s">
        <v>103</v>
      </c>
      <c r="Q113" t="s">
        <v>196</v>
      </c>
      <c r="R113">
        <v>12</v>
      </c>
      <c r="S113" t="s">
        <v>555</v>
      </c>
      <c r="T113">
        <v>2020017</v>
      </c>
      <c r="U113">
        <v>13</v>
      </c>
      <c r="V113">
        <v>286</v>
      </c>
      <c r="W113" t="s">
        <v>496</v>
      </c>
      <c r="X113">
        <v>43804</v>
      </c>
      <c r="Y113">
        <v>3</v>
      </c>
      <c r="Z113">
        <v>1</v>
      </c>
    </row>
    <row r="114" spans="1:26">
      <c r="A114" t="s">
        <v>556</v>
      </c>
      <c r="B114">
        <v>43839</v>
      </c>
      <c r="C114" t="s">
        <v>153</v>
      </c>
      <c r="D114" t="s">
        <v>153</v>
      </c>
      <c r="E114" t="s">
        <v>153</v>
      </c>
      <c r="F114" t="s">
        <v>153</v>
      </c>
      <c r="G114" t="s">
        <v>153</v>
      </c>
      <c r="J114">
        <v>43838</v>
      </c>
      <c r="K114">
        <v>43839</v>
      </c>
      <c r="L114" t="s">
        <v>155</v>
      </c>
      <c r="M114">
        <v>43843</v>
      </c>
      <c r="N114">
        <v>0.94107638888888889</v>
      </c>
      <c r="O114">
        <v>7246</v>
      </c>
      <c r="P114" t="s">
        <v>103</v>
      </c>
      <c r="Q114" t="s">
        <v>557</v>
      </c>
      <c r="R114">
        <v>13.8</v>
      </c>
      <c r="S114" t="s">
        <v>558</v>
      </c>
      <c r="T114">
        <v>2020043</v>
      </c>
      <c r="U114">
        <v>13</v>
      </c>
      <c r="V114">
        <v>100</v>
      </c>
      <c r="X114">
        <v>43844</v>
      </c>
      <c r="Y114">
        <v>2</v>
      </c>
      <c r="Z114">
        <v>1</v>
      </c>
    </row>
    <row r="115" spans="1:26">
      <c r="A115" t="s">
        <v>559</v>
      </c>
      <c r="B115">
        <v>43837</v>
      </c>
      <c r="C115" t="s">
        <v>153</v>
      </c>
      <c r="D115" t="s">
        <v>153</v>
      </c>
      <c r="E115" t="s">
        <v>153</v>
      </c>
      <c r="F115" t="s">
        <v>153</v>
      </c>
      <c r="G115" t="s">
        <v>153</v>
      </c>
      <c r="J115">
        <v>43838</v>
      </c>
      <c r="K115">
        <v>43839</v>
      </c>
      <c r="L115" t="s">
        <v>155</v>
      </c>
      <c r="M115">
        <v>43843</v>
      </c>
      <c r="N115">
        <v>0.34716435185185185</v>
      </c>
      <c r="O115">
        <v>283</v>
      </c>
      <c r="P115" t="s">
        <v>104</v>
      </c>
      <c r="Q115" t="s">
        <v>164</v>
      </c>
      <c r="R115">
        <v>10.5</v>
      </c>
      <c r="S115" t="s">
        <v>560</v>
      </c>
      <c r="T115">
        <v>2020048</v>
      </c>
      <c r="U115">
        <v>13</v>
      </c>
      <c r="V115">
        <v>29</v>
      </c>
      <c r="X115">
        <v>43838</v>
      </c>
      <c r="Y115">
        <v>2</v>
      </c>
      <c r="Z115">
        <v>5.8823529411764705E-2</v>
      </c>
    </row>
    <row r="116" spans="1:26">
      <c r="A116" t="s">
        <v>561</v>
      </c>
      <c r="B116">
        <v>43837</v>
      </c>
      <c r="C116" t="s">
        <v>153</v>
      </c>
      <c r="D116" t="s">
        <v>153</v>
      </c>
      <c r="E116" t="s">
        <v>153</v>
      </c>
      <c r="F116" t="s">
        <v>153</v>
      </c>
      <c r="G116" t="s">
        <v>153</v>
      </c>
      <c r="J116">
        <v>43838</v>
      </c>
      <c r="K116">
        <v>43839</v>
      </c>
      <c r="L116" t="s">
        <v>155</v>
      </c>
      <c r="M116">
        <v>43843</v>
      </c>
      <c r="N116">
        <v>0.37677083333333333</v>
      </c>
      <c r="O116">
        <v>296</v>
      </c>
      <c r="P116" t="s">
        <v>104</v>
      </c>
      <c r="Q116" t="s">
        <v>164</v>
      </c>
      <c r="R116">
        <v>11</v>
      </c>
      <c r="S116" t="s">
        <v>562</v>
      </c>
      <c r="T116">
        <v>2020050</v>
      </c>
      <c r="U116">
        <v>13</v>
      </c>
      <c r="V116">
        <v>390</v>
      </c>
      <c r="X116">
        <v>43845</v>
      </c>
      <c r="Y116">
        <v>3</v>
      </c>
      <c r="Z116">
        <v>1.5</v>
      </c>
    </row>
    <row r="117" spans="1:26">
      <c r="A117" t="s">
        <v>563</v>
      </c>
      <c r="B117">
        <v>43837</v>
      </c>
      <c r="C117" t="s">
        <v>153</v>
      </c>
      <c r="D117" t="s">
        <v>153</v>
      </c>
      <c r="E117" t="s">
        <v>153</v>
      </c>
      <c r="F117" t="s">
        <v>153</v>
      </c>
      <c r="G117" t="s">
        <v>153</v>
      </c>
      <c r="J117">
        <v>43838</v>
      </c>
      <c r="K117">
        <v>43839</v>
      </c>
      <c r="L117" t="s">
        <v>154</v>
      </c>
      <c r="M117">
        <v>43843</v>
      </c>
      <c r="N117">
        <v>0.67929398148148146</v>
      </c>
      <c r="O117">
        <v>135</v>
      </c>
      <c r="P117" t="s">
        <v>104</v>
      </c>
      <c r="Q117" t="s">
        <v>164</v>
      </c>
      <c r="R117">
        <v>10.5</v>
      </c>
      <c r="S117" t="s">
        <v>564</v>
      </c>
      <c r="T117">
        <v>2020077</v>
      </c>
      <c r="U117">
        <v>13</v>
      </c>
      <c r="V117">
        <v>29</v>
      </c>
      <c r="X117">
        <v>43853</v>
      </c>
      <c r="Y117">
        <v>2</v>
      </c>
      <c r="Z117">
        <v>5.8823529411764705E-2</v>
      </c>
    </row>
    <row r="118" spans="1:26">
      <c r="A118" t="s">
        <v>565</v>
      </c>
      <c r="B118">
        <v>43837</v>
      </c>
      <c r="C118" t="s">
        <v>153</v>
      </c>
      <c r="D118" t="s">
        <v>153</v>
      </c>
      <c r="E118" t="s">
        <v>153</v>
      </c>
      <c r="F118" t="s">
        <v>153</v>
      </c>
      <c r="G118" t="s">
        <v>153</v>
      </c>
      <c r="J118">
        <v>43838</v>
      </c>
      <c r="K118">
        <v>43839</v>
      </c>
      <c r="L118" t="s">
        <v>155</v>
      </c>
      <c r="M118">
        <v>43843</v>
      </c>
      <c r="N118">
        <v>0.49804398148148149</v>
      </c>
      <c r="O118">
        <v>5822</v>
      </c>
      <c r="P118" t="s">
        <v>105</v>
      </c>
      <c r="Q118" t="s">
        <v>166</v>
      </c>
      <c r="R118">
        <v>11.5</v>
      </c>
      <c r="S118" t="s">
        <v>177</v>
      </c>
      <c r="T118">
        <v>2020018</v>
      </c>
      <c r="U118">
        <v>3</v>
      </c>
      <c r="V118">
        <v>432</v>
      </c>
      <c r="X118">
        <v>43853</v>
      </c>
      <c r="Y118">
        <v>6</v>
      </c>
      <c r="Z118">
        <v>2</v>
      </c>
    </row>
    <row r="119" spans="1:26">
      <c r="A119" t="s">
        <v>566</v>
      </c>
      <c r="B119">
        <v>43836</v>
      </c>
      <c r="C119" t="s">
        <v>153</v>
      </c>
      <c r="D119" t="s">
        <v>153</v>
      </c>
      <c r="E119" t="s">
        <v>153</v>
      </c>
      <c r="F119" t="s">
        <v>153</v>
      </c>
      <c r="G119" t="s">
        <v>153</v>
      </c>
      <c r="J119">
        <v>43837</v>
      </c>
      <c r="K119">
        <v>43838</v>
      </c>
      <c r="L119" t="s">
        <v>155</v>
      </c>
      <c r="M119">
        <v>43843</v>
      </c>
      <c r="N119">
        <v>0.31643518518518515</v>
      </c>
      <c r="O119">
        <v>6225</v>
      </c>
      <c r="P119" t="s">
        <v>107</v>
      </c>
      <c r="Q119" t="s">
        <v>567</v>
      </c>
      <c r="R119">
        <v>0</v>
      </c>
      <c r="S119" t="s">
        <v>568</v>
      </c>
      <c r="T119">
        <v>1931504</v>
      </c>
      <c r="U119">
        <v>13</v>
      </c>
      <c r="V119">
        <v>10</v>
      </c>
      <c r="W119" t="s">
        <v>225</v>
      </c>
      <c r="X119">
        <v>43809</v>
      </c>
      <c r="Y119">
        <v>9</v>
      </c>
      <c r="Z119">
        <v>0.27777777777777779</v>
      </c>
    </row>
    <row r="120" spans="1:26">
      <c r="A120" t="s">
        <v>569</v>
      </c>
      <c r="B120">
        <v>43836</v>
      </c>
      <c r="C120" t="s">
        <v>153</v>
      </c>
      <c r="D120" t="s">
        <v>153</v>
      </c>
      <c r="E120" t="s">
        <v>153</v>
      </c>
      <c r="F120" t="s">
        <v>153</v>
      </c>
      <c r="G120" t="s">
        <v>153</v>
      </c>
      <c r="J120">
        <v>43837</v>
      </c>
      <c r="K120">
        <v>43838</v>
      </c>
      <c r="L120" t="s">
        <v>155</v>
      </c>
      <c r="M120">
        <v>43843</v>
      </c>
      <c r="N120">
        <v>0.34508101851851852</v>
      </c>
      <c r="O120" t="s">
        <v>570</v>
      </c>
      <c r="P120" t="s">
        <v>107</v>
      </c>
      <c r="Q120" t="s">
        <v>512</v>
      </c>
      <c r="R120">
        <v>0</v>
      </c>
      <c r="S120" t="s">
        <v>571</v>
      </c>
      <c r="T120">
        <v>1931506</v>
      </c>
      <c r="U120">
        <v>3</v>
      </c>
      <c r="V120">
        <v>10</v>
      </c>
      <c r="W120" t="s">
        <v>225</v>
      </c>
      <c r="X120">
        <v>43810</v>
      </c>
      <c r="Y120">
        <v>8</v>
      </c>
      <c r="Z120">
        <v>0.22222222222222221</v>
      </c>
    </row>
    <row r="121" spans="1:26">
      <c r="A121" t="s">
        <v>572</v>
      </c>
      <c r="B121">
        <v>43836</v>
      </c>
      <c r="C121" t="s">
        <v>153</v>
      </c>
      <c r="D121" t="s">
        <v>153</v>
      </c>
      <c r="E121" t="s">
        <v>153</v>
      </c>
      <c r="F121" t="s">
        <v>153</v>
      </c>
      <c r="G121" t="s">
        <v>153</v>
      </c>
      <c r="J121">
        <v>43837</v>
      </c>
      <c r="K121">
        <v>43838</v>
      </c>
      <c r="L121" t="s">
        <v>155</v>
      </c>
      <c r="M121">
        <v>43843</v>
      </c>
      <c r="N121">
        <v>0.37903935185185184</v>
      </c>
      <c r="O121">
        <v>8660</v>
      </c>
      <c r="P121" t="s">
        <v>107</v>
      </c>
      <c r="Q121" t="s">
        <v>573</v>
      </c>
      <c r="R121">
        <v>0</v>
      </c>
      <c r="S121" t="s">
        <v>574</v>
      </c>
      <c r="T121">
        <v>1931509</v>
      </c>
      <c r="U121">
        <v>13</v>
      </c>
      <c r="V121">
        <v>12</v>
      </c>
      <c r="W121" t="s">
        <v>225</v>
      </c>
      <c r="X121">
        <v>43811</v>
      </c>
      <c r="Y121">
        <v>8</v>
      </c>
      <c r="Z121">
        <v>0.21428571428571427</v>
      </c>
    </row>
    <row r="122" spans="1:26">
      <c r="A122" t="s">
        <v>575</v>
      </c>
      <c r="B122">
        <v>43836</v>
      </c>
      <c r="C122" t="s">
        <v>153</v>
      </c>
      <c r="D122" t="s">
        <v>153</v>
      </c>
      <c r="E122" t="s">
        <v>153</v>
      </c>
      <c r="F122" t="s">
        <v>153</v>
      </c>
      <c r="G122" t="s">
        <v>153</v>
      </c>
      <c r="J122">
        <v>43837</v>
      </c>
      <c r="K122">
        <v>43838</v>
      </c>
      <c r="L122" t="s">
        <v>155</v>
      </c>
      <c r="M122">
        <v>43843</v>
      </c>
      <c r="N122">
        <v>0.41862268518518514</v>
      </c>
      <c r="O122" t="s">
        <v>576</v>
      </c>
      <c r="P122" t="s">
        <v>107</v>
      </c>
      <c r="Q122" t="s">
        <v>197</v>
      </c>
      <c r="R122">
        <v>0</v>
      </c>
      <c r="S122" t="s">
        <v>577</v>
      </c>
      <c r="T122">
        <v>1931516</v>
      </c>
      <c r="U122">
        <v>3</v>
      </c>
      <c r="V122">
        <v>50</v>
      </c>
      <c r="W122" t="s">
        <v>225</v>
      </c>
      <c r="X122">
        <v>43811</v>
      </c>
      <c r="Y122">
        <v>10</v>
      </c>
      <c r="Z122">
        <v>1.1111111111111112</v>
      </c>
    </row>
    <row r="123" spans="1:26">
      <c r="A123" t="s">
        <v>578</v>
      </c>
      <c r="B123">
        <v>43836</v>
      </c>
      <c r="C123" t="s">
        <v>153</v>
      </c>
      <c r="D123" t="s">
        <v>153</v>
      </c>
      <c r="E123" t="s">
        <v>153</v>
      </c>
      <c r="F123" t="s">
        <v>153</v>
      </c>
      <c r="G123" t="s">
        <v>153</v>
      </c>
      <c r="J123">
        <v>43837</v>
      </c>
      <c r="K123">
        <v>43838</v>
      </c>
      <c r="L123" t="s">
        <v>154</v>
      </c>
      <c r="M123">
        <v>43843</v>
      </c>
      <c r="N123">
        <v>0.51758101851851845</v>
      </c>
      <c r="O123">
        <v>9790</v>
      </c>
      <c r="P123" t="s">
        <v>107</v>
      </c>
      <c r="Q123" t="s">
        <v>579</v>
      </c>
      <c r="R123">
        <v>0</v>
      </c>
      <c r="S123" t="s">
        <v>580</v>
      </c>
      <c r="T123">
        <v>1931550</v>
      </c>
      <c r="U123">
        <v>13</v>
      </c>
      <c r="V123">
        <v>40</v>
      </c>
      <c r="W123" t="s">
        <v>581</v>
      </c>
      <c r="X123">
        <v>43819</v>
      </c>
      <c r="Y123">
        <v>7</v>
      </c>
      <c r="Z123">
        <v>1.3333333333333333</v>
      </c>
    </row>
    <row r="124" spans="1:26">
      <c r="A124" t="s">
        <v>582</v>
      </c>
      <c r="B124">
        <v>43836</v>
      </c>
      <c r="C124" t="s">
        <v>153</v>
      </c>
      <c r="D124" t="s">
        <v>153</v>
      </c>
      <c r="E124" t="s">
        <v>153</v>
      </c>
      <c r="F124" t="s">
        <v>153</v>
      </c>
      <c r="G124" t="s">
        <v>153</v>
      </c>
      <c r="J124">
        <v>43837</v>
      </c>
      <c r="K124">
        <v>43838</v>
      </c>
      <c r="L124" t="s">
        <v>154</v>
      </c>
      <c r="M124">
        <v>43843</v>
      </c>
      <c r="N124">
        <v>0.56341435185185185</v>
      </c>
      <c r="O124" t="s">
        <v>583</v>
      </c>
      <c r="P124" t="s">
        <v>107</v>
      </c>
      <c r="Q124" t="s">
        <v>197</v>
      </c>
      <c r="R124">
        <v>0</v>
      </c>
      <c r="S124" t="s">
        <v>584</v>
      </c>
      <c r="T124">
        <v>1931510</v>
      </c>
      <c r="U124">
        <v>13</v>
      </c>
      <c r="V124">
        <v>50</v>
      </c>
      <c r="W124" t="s">
        <v>585</v>
      </c>
      <c r="X124">
        <v>43811</v>
      </c>
      <c r="Y124">
        <v>10</v>
      </c>
      <c r="Z124">
        <v>1.1111111111111112</v>
      </c>
    </row>
    <row r="125" spans="1:26">
      <c r="A125" t="s">
        <v>586</v>
      </c>
      <c r="B125">
        <v>43836</v>
      </c>
      <c r="C125" t="s">
        <v>153</v>
      </c>
      <c r="D125" t="s">
        <v>153</v>
      </c>
      <c r="E125" t="s">
        <v>153</v>
      </c>
      <c r="F125" t="s">
        <v>153</v>
      </c>
      <c r="G125" t="s">
        <v>153</v>
      </c>
      <c r="J125">
        <v>43837</v>
      </c>
      <c r="K125">
        <v>43838</v>
      </c>
      <c r="L125" t="s">
        <v>154</v>
      </c>
      <c r="M125">
        <v>43843</v>
      </c>
      <c r="N125">
        <v>0.70403935185185185</v>
      </c>
      <c r="O125" t="s">
        <v>587</v>
      </c>
      <c r="P125" t="s">
        <v>107</v>
      </c>
      <c r="Q125" t="s">
        <v>588</v>
      </c>
      <c r="R125">
        <v>0</v>
      </c>
      <c r="S125" t="s">
        <v>589</v>
      </c>
      <c r="T125">
        <v>1931527</v>
      </c>
      <c r="U125">
        <v>3</v>
      </c>
      <c r="V125">
        <v>20</v>
      </c>
      <c r="W125" t="s">
        <v>225</v>
      </c>
      <c r="X125">
        <v>43815</v>
      </c>
      <c r="Y125">
        <v>9</v>
      </c>
      <c r="Z125">
        <v>0.31746031746031744</v>
      </c>
    </row>
    <row r="126" spans="1:26">
      <c r="A126" t="s">
        <v>590</v>
      </c>
      <c r="B126">
        <v>43836</v>
      </c>
      <c r="C126" t="s">
        <v>153</v>
      </c>
      <c r="D126" t="s">
        <v>153</v>
      </c>
      <c r="E126" t="s">
        <v>153</v>
      </c>
      <c r="F126" t="s">
        <v>153</v>
      </c>
      <c r="G126" t="s">
        <v>153</v>
      </c>
      <c r="J126">
        <v>43837</v>
      </c>
      <c r="K126">
        <v>43838</v>
      </c>
      <c r="L126" t="s">
        <v>154</v>
      </c>
      <c r="M126">
        <v>43843</v>
      </c>
      <c r="N126">
        <v>0.75612268518518511</v>
      </c>
      <c r="O126" t="s">
        <v>591</v>
      </c>
      <c r="P126" t="s">
        <v>107</v>
      </c>
      <c r="Q126" t="s">
        <v>592</v>
      </c>
      <c r="R126">
        <v>0</v>
      </c>
      <c r="S126" t="s">
        <v>435</v>
      </c>
      <c r="T126">
        <v>1931530</v>
      </c>
      <c r="U126">
        <v>13</v>
      </c>
      <c r="V126">
        <v>12</v>
      </c>
      <c r="W126" t="s">
        <v>225</v>
      </c>
      <c r="X126">
        <v>43815</v>
      </c>
      <c r="Y126">
        <v>8</v>
      </c>
      <c r="Z126">
        <v>8.3333333333333329E-2</v>
      </c>
    </row>
    <row r="127" spans="1:26">
      <c r="A127" t="s">
        <v>593</v>
      </c>
      <c r="B127">
        <v>43836</v>
      </c>
      <c r="C127" t="s">
        <v>153</v>
      </c>
      <c r="D127" t="s">
        <v>153</v>
      </c>
      <c r="E127" t="s">
        <v>153</v>
      </c>
      <c r="F127" t="s">
        <v>153</v>
      </c>
      <c r="G127" t="s">
        <v>153</v>
      </c>
      <c r="J127">
        <v>43837</v>
      </c>
      <c r="K127">
        <v>43838</v>
      </c>
      <c r="L127" t="s">
        <v>154</v>
      </c>
      <c r="M127">
        <v>43843</v>
      </c>
      <c r="N127">
        <v>0.7863310185185185</v>
      </c>
      <c r="O127" t="s">
        <v>253</v>
      </c>
      <c r="P127" t="s">
        <v>107</v>
      </c>
      <c r="Q127" t="s">
        <v>179</v>
      </c>
      <c r="R127">
        <v>0</v>
      </c>
      <c r="S127" t="s">
        <v>254</v>
      </c>
      <c r="T127">
        <v>1931528</v>
      </c>
      <c r="U127">
        <v>3</v>
      </c>
      <c r="V127">
        <v>10</v>
      </c>
      <c r="W127" t="s">
        <v>225</v>
      </c>
      <c r="X127">
        <v>43815</v>
      </c>
      <c r="Y127">
        <v>10</v>
      </c>
      <c r="Z127">
        <v>0.1388888888888889</v>
      </c>
    </row>
    <row r="128" spans="1:26">
      <c r="A128" t="s">
        <v>594</v>
      </c>
      <c r="B128">
        <v>43836</v>
      </c>
      <c r="C128" t="s">
        <v>153</v>
      </c>
      <c r="D128" t="s">
        <v>153</v>
      </c>
      <c r="E128" t="s">
        <v>153</v>
      </c>
      <c r="F128" t="s">
        <v>153</v>
      </c>
      <c r="G128" t="s">
        <v>153</v>
      </c>
      <c r="J128">
        <v>43837</v>
      </c>
      <c r="K128">
        <v>43838</v>
      </c>
      <c r="L128" t="s">
        <v>154</v>
      </c>
      <c r="M128">
        <v>43843</v>
      </c>
      <c r="N128">
        <v>0.81966435185185194</v>
      </c>
      <c r="O128" t="s">
        <v>595</v>
      </c>
      <c r="P128" t="s">
        <v>107</v>
      </c>
      <c r="Q128" t="s">
        <v>596</v>
      </c>
      <c r="R128">
        <v>0</v>
      </c>
      <c r="S128" t="s">
        <v>597</v>
      </c>
      <c r="T128">
        <v>1931535</v>
      </c>
      <c r="U128">
        <v>13</v>
      </c>
      <c r="V128">
        <v>12</v>
      </c>
      <c r="W128" t="s">
        <v>225</v>
      </c>
      <c r="X128">
        <v>43815</v>
      </c>
      <c r="Y128">
        <v>9</v>
      </c>
      <c r="Z128">
        <v>0.21428571428571427</v>
      </c>
    </row>
    <row r="129" spans="1:26">
      <c r="A129" t="s">
        <v>598</v>
      </c>
      <c r="B129">
        <v>43836</v>
      </c>
      <c r="C129" t="s">
        <v>153</v>
      </c>
      <c r="D129" t="s">
        <v>153</v>
      </c>
      <c r="E129" t="s">
        <v>153</v>
      </c>
      <c r="F129" t="s">
        <v>153</v>
      </c>
      <c r="G129" t="s">
        <v>153</v>
      </c>
      <c r="J129">
        <v>43837</v>
      </c>
      <c r="K129">
        <v>43838</v>
      </c>
      <c r="L129" t="s">
        <v>154</v>
      </c>
      <c r="M129">
        <v>43843</v>
      </c>
      <c r="N129">
        <v>0.85924768518518524</v>
      </c>
      <c r="O129" t="s">
        <v>599</v>
      </c>
      <c r="P129" t="s">
        <v>107</v>
      </c>
      <c r="Q129" t="s">
        <v>199</v>
      </c>
      <c r="R129">
        <v>0</v>
      </c>
      <c r="S129" t="s">
        <v>600</v>
      </c>
      <c r="T129">
        <v>1931532</v>
      </c>
      <c r="U129">
        <v>3</v>
      </c>
      <c r="V129">
        <v>10</v>
      </c>
      <c r="W129" t="s">
        <v>225</v>
      </c>
      <c r="X129">
        <v>43815</v>
      </c>
      <c r="Y129">
        <v>10</v>
      </c>
      <c r="Z129">
        <v>0.15873015873015872</v>
      </c>
    </row>
    <row r="130" spans="1:26">
      <c r="A130" t="s">
        <v>601</v>
      </c>
      <c r="B130">
        <v>43836</v>
      </c>
      <c r="C130" t="s">
        <v>153</v>
      </c>
      <c r="D130" t="s">
        <v>153</v>
      </c>
      <c r="E130" t="s">
        <v>153</v>
      </c>
      <c r="F130" t="s">
        <v>153</v>
      </c>
      <c r="G130" t="s">
        <v>153</v>
      </c>
      <c r="J130">
        <v>43837</v>
      </c>
      <c r="K130">
        <v>43838</v>
      </c>
      <c r="L130" t="s">
        <v>155</v>
      </c>
      <c r="M130">
        <v>43843</v>
      </c>
      <c r="N130">
        <v>0.6705902777777778</v>
      </c>
      <c r="O130" t="s">
        <v>602</v>
      </c>
      <c r="P130" t="s">
        <v>603</v>
      </c>
      <c r="Q130" t="s">
        <v>604</v>
      </c>
      <c r="S130" t="s">
        <v>605</v>
      </c>
      <c r="T130" t="s">
        <v>606</v>
      </c>
      <c r="U130" t="s">
        <v>176</v>
      </c>
      <c r="V130">
        <v>200</v>
      </c>
      <c r="W130" t="s">
        <v>607</v>
      </c>
      <c r="X130">
        <v>43845.879571759258</v>
      </c>
      <c r="Y130">
        <v>10</v>
      </c>
    </row>
    <row r="131" spans="1:26">
      <c r="A131" t="s">
        <v>608</v>
      </c>
      <c r="B131">
        <v>43836</v>
      </c>
      <c r="C131" t="s">
        <v>153</v>
      </c>
      <c r="D131" t="s">
        <v>153</v>
      </c>
      <c r="E131" t="s">
        <v>153</v>
      </c>
      <c r="F131" t="s">
        <v>153</v>
      </c>
      <c r="G131" t="s">
        <v>153</v>
      </c>
      <c r="H131" t="s">
        <v>153</v>
      </c>
      <c r="I131" t="s">
        <v>153</v>
      </c>
      <c r="J131">
        <v>43837</v>
      </c>
      <c r="K131">
        <v>43838</v>
      </c>
      <c r="L131" t="s">
        <v>155</v>
      </c>
      <c r="M131">
        <v>43843</v>
      </c>
      <c r="N131">
        <v>0.7018402777777778</v>
      </c>
      <c r="O131" t="s">
        <v>609</v>
      </c>
      <c r="P131" t="s">
        <v>188</v>
      </c>
      <c r="Q131" t="s">
        <v>290</v>
      </c>
      <c r="S131" t="s">
        <v>610</v>
      </c>
      <c r="T131" t="s">
        <v>611</v>
      </c>
      <c r="U131" t="s">
        <v>176</v>
      </c>
      <c r="V131">
        <v>1000</v>
      </c>
      <c r="X131">
        <v>43843.757037037038</v>
      </c>
      <c r="Y131">
        <v>7</v>
      </c>
    </row>
    <row r="132" spans="1:26">
      <c r="A132" t="s">
        <v>612</v>
      </c>
      <c r="B132">
        <v>43836</v>
      </c>
      <c r="C132" t="s">
        <v>153</v>
      </c>
      <c r="D132" t="s">
        <v>153</v>
      </c>
      <c r="E132" t="s">
        <v>153</v>
      </c>
      <c r="F132" t="s">
        <v>153</v>
      </c>
      <c r="G132" t="s">
        <v>153</v>
      </c>
      <c r="J132">
        <v>43837</v>
      </c>
      <c r="K132">
        <v>43838</v>
      </c>
      <c r="L132" t="s">
        <v>155</v>
      </c>
      <c r="M132">
        <v>43843</v>
      </c>
      <c r="N132">
        <v>0.8268402777777778</v>
      </c>
      <c r="O132" t="s">
        <v>613</v>
      </c>
      <c r="P132" t="s">
        <v>189</v>
      </c>
      <c r="Q132" t="s">
        <v>614</v>
      </c>
      <c r="S132" t="s">
        <v>615</v>
      </c>
      <c r="T132" t="s">
        <v>616</v>
      </c>
      <c r="U132" t="s">
        <v>176</v>
      </c>
      <c r="V132">
        <v>10</v>
      </c>
      <c r="X132">
        <v>43850.589212962965</v>
      </c>
      <c r="Y132">
        <v>8</v>
      </c>
    </row>
    <row r="133" spans="1:26">
      <c r="A133" t="s">
        <v>617</v>
      </c>
      <c r="B133">
        <v>43836</v>
      </c>
      <c r="C133" t="s">
        <v>153</v>
      </c>
      <c r="D133" t="s">
        <v>153</v>
      </c>
      <c r="E133" t="s">
        <v>153</v>
      </c>
      <c r="F133" t="s">
        <v>153</v>
      </c>
      <c r="G133" t="s">
        <v>153</v>
      </c>
      <c r="J133">
        <v>43837</v>
      </c>
      <c r="K133">
        <v>43838</v>
      </c>
      <c r="L133" t="s">
        <v>155</v>
      </c>
      <c r="M133">
        <v>43843</v>
      </c>
      <c r="N133">
        <v>0.92688657407407404</v>
      </c>
      <c r="O133" t="s">
        <v>618</v>
      </c>
      <c r="P133" t="s">
        <v>189</v>
      </c>
      <c r="Q133" t="s">
        <v>619</v>
      </c>
      <c r="S133" t="s">
        <v>620</v>
      </c>
      <c r="T133" t="s">
        <v>621</v>
      </c>
      <c r="U133" t="s">
        <v>176</v>
      </c>
      <c r="V133">
        <v>900</v>
      </c>
      <c r="W133" t="s">
        <v>622</v>
      </c>
      <c r="X133">
        <v>43850.335497685184</v>
      </c>
      <c r="Y133">
        <v>10</v>
      </c>
    </row>
    <row r="134" spans="1:26">
      <c r="A134" t="s">
        <v>174</v>
      </c>
      <c r="B134">
        <v>43838</v>
      </c>
      <c r="C134" t="s">
        <v>153</v>
      </c>
      <c r="D134" t="s">
        <v>153</v>
      </c>
      <c r="E134" t="s">
        <v>153</v>
      </c>
      <c r="F134" t="s">
        <v>153</v>
      </c>
      <c r="G134" t="s">
        <v>153</v>
      </c>
      <c r="J134">
        <v>43839</v>
      </c>
      <c r="K134">
        <v>43843</v>
      </c>
      <c r="L134" t="s">
        <v>154</v>
      </c>
      <c r="M134">
        <v>43845</v>
      </c>
      <c r="N134">
        <v>0.28370370370370374</v>
      </c>
      <c r="O134" t="s">
        <v>623</v>
      </c>
      <c r="P134" t="s">
        <v>401</v>
      </c>
      <c r="Q134" t="s">
        <v>624</v>
      </c>
      <c r="R134">
        <v>6.5</v>
      </c>
      <c r="S134" t="s">
        <v>625</v>
      </c>
      <c r="T134">
        <v>2050002</v>
      </c>
      <c r="U134" t="s">
        <v>176</v>
      </c>
      <c r="V134">
        <v>5000</v>
      </c>
      <c r="X134">
        <v>43853</v>
      </c>
      <c r="Y134">
        <v>3</v>
      </c>
    </row>
    <row r="135" spans="1:26">
      <c r="A135" t="s">
        <v>174</v>
      </c>
      <c r="B135">
        <v>43838</v>
      </c>
      <c r="C135" t="s">
        <v>153</v>
      </c>
      <c r="D135" t="s">
        <v>153</v>
      </c>
      <c r="E135" t="s">
        <v>153</v>
      </c>
      <c r="F135" t="s">
        <v>153</v>
      </c>
      <c r="G135" t="s">
        <v>153</v>
      </c>
      <c r="J135">
        <v>43839</v>
      </c>
      <c r="K135">
        <v>43843</v>
      </c>
      <c r="L135" t="s">
        <v>155</v>
      </c>
      <c r="M135">
        <v>43845</v>
      </c>
      <c r="N135">
        <v>0.95037037037037031</v>
      </c>
      <c r="O135" t="s">
        <v>626</v>
      </c>
      <c r="P135" t="s">
        <v>401</v>
      </c>
      <c r="Q135" t="s">
        <v>627</v>
      </c>
      <c r="R135">
        <v>6.5</v>
      </c>
      <c r="S135" t="s">
        <v>628</v>
      </c>
      <c r="T135">
        <v>2050003</v>
      </c>
      <c r="U135" t="s">
        <v>176</v>
      </c>
      <c r="V135">
        <v>2700</v>
      </c>
      <c r="X135">
        <v>43860</v>
      </c>
      <c r="Y135">
        <v>3</v>
      </c>
    </row>
    <row r="136" spans="1:26">
      <c r="A136" t="s">
        <v>174</v>
      </c>
      <c r="B136" s="135">
        <v>43839</v>
      </c>
      <c r="C136" t="s">
        <v>153</v>
      </c>
      <c r="D136" t="s">
        <v>153</v>
      </c>
      <c r="E136" t="s">
        <v>153</v>
      </c>
      <c r="F136" t="s">
        <v>153</v>
      </c>
      <c r="G136" t="s">
        <v>153</v>
      </c>
      <c r="J136" s="135">
        <v>43838</v>
      </c>
      <c r="K136" s="135">
        <v>43839</v>
      </c>
      <c r="L136" t="s">
        <v>155</v>
      </c>
      <c r="M136" s="135">
        <v>43843</v>
      </c>
      <c r="N136">
        <v>0.52491898148148153</v>
      </c>
      <c r="O136">
        <v>71022</v>
      </c>
      <c r="P136" t="s">
        <v>106</v>
      </c>
      <c r="Q136" t="s">
        <v>629</v>
      </c>
      <c r="R136">
        <v>8.6999999999999993</v>
      </c>
      <c r="S136" t="s">
        <v>630</v>
      </c>
      <c r="T136">
        <v>2050000</v>
      </c>
      <c r="U136" t="s">
        <v>176</v>
      </c>
      <c r="V136">
        <v>2700</v>
      </c>
      <c r="X136">
        <v>43853</v>
      </c>
      <c r="Y136">
        <v>2</v>
      </c>
      <c r="Z136">
        <v>0.6</v>
      </c>
    </row>
    <row r="137" spans="1:26">
      <c r="A137" t="s">
        <v>636</v>
      </c>
      <c r="B137">
        <v>43845</v>
      </c>
      <c r="C137" t="s">
        <v>153</v>
      </c>
      <c r="D137" t="s">
        <v>153</v>
      </c>
      <c r="E137" t="s">
        <v>153</v>
      </c>
      <c r="F137" t="s">
        <v>153</v>
      </c>
      <c r="G137" t="s">
        <v>153</v>
      </c>
      <c r="H137" t="s">
        <v>153</v>
      </c>
      <c r="J137">
        <v>43843</v>
      </c>
      <c r="K137">
        <v>43844</v>
      </c>
      <c r="L137" t="s">
        <v>154</v>
      </c>
      <c r="M137">
        <v>43845</v>
      </c>
      <c r="N137">
        <v>0.54519675925925926</v>
      </c>
      <c r="O137">
        <v>7190</v>
      </c>
      <c r="P137" t="s">
        <v>104</v>
      </c>
      <c r="Q137" t="s">
        <v>637</v>
      </c>
      <c r="R137">
        <v>12.4</v>
      </c>
      <c r="S137" t="s">
        <v>638</v>
      </c>
      <c r="T137">
        <v>2020051</v>
      </c>
      <c r="U137">
        <v>13</v>
      </c>
      <c r="V137">
        <v>640</v>
      </c>
      <c r="W137" t="s">
        <v>639</v>
      </c>
      <c r="X137">
        <v>43846</v>
      </c>
      <c r="Y137">
        <v>3</v>
      </c>
      <c r="Z137">
        <v>2</v>
      </c>
    </row>
    <row r="138" spans="1:26">
      <c r="A138" t="s">
        <v>640</v>
      </c>
      <c r="B138">
        <v>43839</v>
      </c>
      <c r="C138" t="s">
        <v>153</v>
      </c>
      <c r="D138" t="s">
        <v>153</v>
      </c>
      <c r="E138" t="s">
        <v>153</v>
      </c>
      <c r="F138" t="s">
        <v>153</v>
      </c>
      <c r="G138" t="s">
        <v>153</v>
      </c>
      <c r="J138">
        <v>43844</v>
      </c>
      <c r="K138">
        <v>43845</v>
      </c>
      <c r="L138" t="s">
        <v>154</v>
      </c>
      <c r="M138">
        <v>43846</v>
      </c>
      <c r="N138">
        <v>0.67019675925925926</v>
      </c>
      <c r="O138">
        <v>164</v>
      </c>
      <c r="P138" t="s">
        <v>104</v>
      </c>
      <c r="Q138" t="s">
        <v>641</v>
      </c>
      <c r="R138">
        <v>8.5</v>
      </c>
      <c r="S138" t="s">
        <v>642</v>
      </c>
      <c r="T138">
        <v>2020049</v>
      </c>
      <c r="U138">
        <v>13</v>
      </c>
      <c r="V138">
        <v>50</v>
      </c>
      <c r="W138" t="s">
        <v>639</v>
      </c>
      <c r="X138">
        <v>43852</v>
      </c>
      <c r="Y138">
        <v>3</v>
      </c>
      <c r="Z138">
        <v>0.26041666666666669</v>
      </c>
    </row>
    <row r="139" spans="1:26">
      <c r="A139" t="s">
        <v>643</v>
      </c>
      <c r="B139">
        <v>43839</v>
      </c>
      <c r="C139" t="s">
        <v>153</v>
      </c>
      <c r="D139" t="s">
        <v>153</v>
      </c>
      <c r="E139" t="s">
        <v>153</v>
      </c>
      <c r="F139" t="s">
        <v>153</v>
      </c>
      <c r="G139" t="s">
        <v>153</v>
      </c>
      <c r="J139">
        <v>43844</v>
      </c>
      <c r="K139">
        <v>43845</v>
      </c>
      <c r="L139" t="s">
        <v>154</v>
      </c>
      <c r="M139">
        <v>43846</v>
      </c>
      <c r="N139">
        <v>0.72228009259259263</v>
      </c>
      <c r="O139">
        <v>162</v>
      </c>
      <c r="P139" t="s">
        <v>104</v>
      </c>
      <c r="Q139" t="s">
        <v>644</v>
      </c>
      <c r="R139">
        <v>8.5</v>
      </c>
      <c r="S139" t="s">
        <v>645</v>
      </c>
      <c r="T139">
        <v>2020062</v>
      </c>
      <c r="U139">
        <v>13</v>
      </c>
      <c r="V139">
        <v>100</v>
      </c>
      <c r="W139" t="s">
        <v>646</v>
      </c>
      <c r="X139">
        <v>43931</v>
      </c>
      <c r="Y139">
        <v>3</v>
      </c>
      <c r="Z139">
        <v>0.52083333333333337</v>
      </c>
    </row>
    <row r="140" spans="1:26">
      <c r="A140" t="s">
        <v>647</v>
      </c>
      <c r="B140">
        <v>43839</v>
      </c>
      <c r="C140" t="s">
        <v>153</v>
      </c>
      <c r="D140" t="s">
        <v>153</v>
      </c>
      <c r="E140" t="s">
        <v>153</v>
      </c>
      <c r="F140" t="s">
        <v>153</v>
      </c>
      <c r="G140" t="s">
        <v>153</v>
      </c>
      <c r="J140">
        <v>43844</v>
      </c>
      <c r="K140">
        <v>43845</v>
      </c>
      <c r="L140" t="s">
        <v>155</v>
      </c>
      <c r="M140">
        <v>43846</v>
      </c>
      <c r="N140">
        <v>0.84380787037037042</v>
      </c>
      <c r="O140">
        <v>1624</v>
      </c>
      <c r="P140" t="s">
        <v>104</v>
      </c>
      <c r="Q140" t="s">
        <v>301</v>
      </c>
      <c r="R140">
        <v>8</v>
      </c>
      <c r="S140" t="s">
        <v>648</v>
      </c>
      <c r="T140">
        <v>2020057</v>
      </c>
      <c r="U140">
        <v>13</v>
      </c>
      <c r="V140">
        <v>100</v>
      </c>
      <c r="X140">
        <v>43839</v>
      </c>
      <c r="Y140">
        <v>3</v>
      </c>
      <c r="Z140">
        <v>0.52083333333333337</v>
      </c>
    </row>
    <row r="141" spans="1:26">
      <c r="A141" t="s">
        <v>649</v>
      </c>
      <c r="B141" s="135">
        <v>43843</v>
      </c>
      <c r="C141" t="s">
        <v>153</v>
      </c>
      <c r="D141" t="s">
        <v>153</v>
      </c>
      <c r="E141" t="s">
        <v>153</v>
      </c>
      <c r="F141" t="s">
        <v>153</v>
      </c>
      <c r="G141" t="s">
        <v>153</v>
      </c>
      <c r="J141" s="135">
        <v>43844</v>
      </c>
      <c r="K141" s="135">
        <v>43845</v>
      </c>
      <c r="L141" t="s">
        <v>155</v>
      </c>
      <c r="M141" s="135">
        <v>43846</v>
      </c>
      <c r="N141">
        <v>0.97575231481481473</v>
      </c>
      <c r="O141">
        <v>1634</v>
      </c>
      <c r="P141" t="s">
        <v>104</v>
      </c>
      <c r="Q141" t="s">
        <v>301</v>
      </c>
      <c r="R141">
        <v>8</v>
      </c>
      <c r="S141" t="s">
        <v>302</v>
      </c>
      <c r="T141">
        <v>2020058</v>
      </c>
      <c r="U141">
        <v>13</v>
      </c>
      <c r="V141">
        <v>138</v>
      </c>
      <c r="W141" t="s">
        <v>650</v>
      </c>
      <c r="X141">
        <v>43839</v>
      </c>
      <c r="Y141">
        <v>3</v>
      </c>
      <c r="Z141">
        <v>0.71875</v>
      </c>
    </row>
    <row r="142" spans="1:26">
      <c r="A142" t="s">
        <v>651</v>
      </c>
      <c r="B142" s="135">
        <v>43839</v>
      </c>
      <c r="C142" t="s">
        <v>153</v>
      </c>
      <c r="D142" t="s">
        <v>153</v>
      </c>
      <c r="E142" t="s">
        <v>153</v>
      </c>
      <c r="F142" t="s">
        <v>153</v>
      </c>
      <c r="G142" t="s">
        <v>153</v>
      </c>
      <c r="H142" t="s">
        <v>153</v>
      </c>
      <c r="J142" s="135">
        <v>43843</v>
      </c>
      <c r="K142" s="135">
        <v>43844</v>
      </c>
      <c r="L142" t="s">
        <v>155</v>
      </c>
      <c r="M142" s="135">
        <v>43845</v>
      </c>
      <c r="N142">
        <v>0.3056712962962963</v>
      </c>
      <c r="O142">
        <v>717</v>
      </c>
      <c r="P142" t="s">
        <v>105</v>
      </c>
      <c r="Q142" t="s">
        <v>166</v>
      </c>
      <c r="R142">
        <v>12</v>
      </c>
      <c r="S142" t="s">
        <v>652</v>
      </c>
      <c r="T142">
        <v>2020084</v>
      </c>
      <c r="U142">
        <v>13</v>
      </c>
      <c r="V142">
        <v>432</v>
      </c>
      <c r="X142">
        <v>43857</v>
      </c>
      <c r="Y142">
        <v>5</v>
      </c>
      <c r="Z142">
        <v>2</v>
      </c>
    </row>
    <row r="143" spans="1:26">
      <c r="A143" t="s">
        <v>653</v>
      </c>
      <c r="B143" s="135">
        <v>43837</v>
      </c>
      <c r="C143" t="s">
        <v>153</v>
      </c>
      <c r="D143" t="s">
        <v>153</v>
      </c>
      <c r="E143" t="s">
        <v>153</v>
      </c>
      <c r="F143" t="s">
        <v>153</v>
      </c>
      <c r="G143" t="s">
        <v>153</v>
      </c>
      <c r="H143" t="s">
        <v>153</v>
      </c>
      <c r="I143" t="s">
        <v>153</v>
      </c>
      <c r="J143" s="135">
        <v>43839</v>
      </c>
      <c r="K143" s="135">
        <v>43843</v>
      </c>
      <c r="L143" t="s">
        <v>155</v>
      </c>
      <c r="M143" s="135">
        <v>43845</v>
      </c>
      <c r="N143">
        <v>0.2724421296296296</v>
      </c>
      <c r="O143">
        <v>2916</v>
      </c>
      <c r="P143" t="s">
        <v>107</v>
      </c>
      <c r="Q143" t="s">
        <v>654</v>
      </c>
      <c r="R143">
        <v>0</v>
      </c>
      <c r="S143" t="s">
        <v>655</v>
      </c>
      <c r="T143">
        <v>2030062</v>
      </c>
      <c r="U143">
        <v>13</v>
      </c>
      <c r="V143">
        <v>42</v>
      </c>
      <c r="W143" t="s">
        <v>656</v>
      </c>
      <c r="X143">
        <v>43836</v>
      </c>
      <c r="Y143">
        <v>7</v>
      </c>
      <c r="Z143">
        <v>1.4</v>
      </c>
    </row>
    <row r="144" spans="1:26">
      <c r="A144" t="s">
        <v>657</v>
      </c>
      <c r="B144" s="135">
        <v>43836</v>
      </c>
      <c r="C144" t="s">
        <v>153</v>
      </c>
      <c r="D144" t="s">
        <v>153</v>
      </c>
      <c r="E144" t="s">
        <v>153</v>
      </c>
      <c r="F144" t="s">
        <v>153</v>
      </c>
      <c r="G144" t="s">
        <v>153</v>
      </c>
      <c r="H144" t="s">
        <v>153</v>
      </c>
      <c r="I144" t="s">
        <v>153</v>
      </c>
      <c r="J144" s="135">
        <v>43839</v>
      </c>
      <c r="K144" s="135">
        <v>43843</v>
      </c>
      <c r="L144" t="s">
        <v>155</v>
      </c>
      <c r="M144" s="135">
        <v>43845</v>
      </c>
      <c r="N144">
        <v>0.30525462962962963</v>
      </c>
      <c r="O144" t="s">
        <v>658</v>
      </c>
      <c r="P144" t="s">
        <v>107</v>
      </c>
      <c r="Q144" t="s">
        <v>197</v>
      </c>
      <c r="R144">
        <v>0</v>
      </c>
      <c r="S144" t="s">
        <v>659</v>
      </c>
      <c r="T144">
        <v>1931511</v>
      </c>
      <c r="U144">
        <v>13</v>
      </c>
      <c r="V144">
        <v>50</v>
      </c>
      <c r="W144" t="s">
        <v>660</v>
      </c>
      <c r="X144">
        <v>43811</v>
      </c>
      <c r="Y144">
        <v>10</v>
      </c>
      <c r="Z144">
        <v>1.1111111111111112</v>
      </c>
    </row>
    <row r="145" spans="1:26">
      <c r="A145" t="s">
        <v>661</v>
      </c>
      <c r="B145" s="135">
        <v>43839</v>
      </c>
      <c r="C145" t="s">
        <v>153</v>
      </c>
      <c r="D145" t="s">
        <v>153</v>
      </c>
      <c r="E145" t="s">
        <v>153</v>
      </c>
      <c r="F145" t="s">
        <v>153</v>
      </c>
      <c r="G145" t="s">
        <v>153</v>
      </c>
      <c r="J145" s="135">
        <v>43839</v>
      </c>
      <c r="K145" s="135">
        <v>43843</v>
      </c>
      <c r="L145" t="s">
        <v>155</v>
      </c>
      <c r="M145" s="135">
        <v>43845</v>
      </c>
      <c r="N145">
        <v>0.40421296296296294</v>
      </c>
      <c r="O145" t="s">
        <v>662</v>
      </c>
      <c r="P145" t="s">
        <v>107</v>
      </c>
      <c r="Q145" t="s">
        <v>192</v>
      </c>
      <c r="R145">
        <v>0</v>
      </c>
      <c r="S145" t="s">
        <v>663</v>
      </c>
      <c r="T145">
        <v>1931517</v>
      </c>
      <c r="U145">
        <v>3</v>
      </c>
      <c r="V145">
        <v>50</v>
      </c>
      <c r="W145" t="s">
        <v>225</v>
      </c>
      <c r="X145">
        <v>43811</v>
      </c>
      <c r="Y145">
        <v>9</v>
      </c>
      <c r="Z145">
        <v>1.1111111111111112</v>
      </c>
    </row>
    <row r="146" spans="1:26">
      <c r="A146" t="s">
        <v>664</v>
      </c>
      <c r="B146" s="135">
        <v>43839</v>
      </c>
      <c r="C146" t="s">
        <v>153</v>
      </c>
      <c r="D146" t="s">
        <v>153</v>
      </c>
      <c r="E146" t="s">
        <v>153</v>
      </c>
      <c r="F146" t="s">
        <v>153</v>
      </c>
      <c r="G146" t="s">
        <v>153</v>
      </c>
      <c r="J146" s="135">
        <v>43839</v>
      </c>
      <c r="K146" s="135">
        <v>43843</v>
      </c>
      <c r="L146" t="s">
        <v>155</v>
      </c>
      <c r="M146" s="135">
        <v>43845</v>
      </c>
      <c r="N146">
        <v>0.95629629629629631</v>
      </c>
      <c r="O146" t="s">
        <v>665</v>
      </c>
      <c r="P146" t="s">
        <v>107</v>
      </c>
      <c r="Q146" t="s">
        <v>666</v>
      </c>
      <c r="R146">
        <v>0</v>
      </c>
      <c r="S146" t="s">
        <v>667</v>
      </c>
      <c r="T146">
        <v>1931531</v>
      </c>
      <c r="U146">
        <v>3</v>
      </c>
      <c r="V146">
        <v>60</v>
      </c>
      <c r="W146" t="s">
        <v>668</v>
      </c>
      <c r="X146">
        <v>43815</v>
      </c>
      <c r="Y146">
        <v>8</v>
      </c>
      <c r="Z146">
        <v>0.95238095238095233</v>
      </c>
    </row>
    <row r="147" spans="1:26">
      <c r="A147" t="s">
        <v>669</v>
      </c>
      <c r="B147" s="135">
        <v>43844</v>
      </c>
      <c r="C147" t="s">
        <v>153</v>
      </c>
      <c r="D147" t="s">
        <v>153</v>
      </c>
      <c r="E147" t="s">
        <v>153</v>
      </c>
      <c r="F147" t="s">
        <v>153</v>
      </c>
      <c r="G147" t="s">
        <v>153</v>
      </c>
      <c r="J147" s="135">
        <v>43843</v>
      </c>
      <c r="K147" s="135">
        <v>43844</v>
      </c>
      <c r="L147" t="s">
        <v>155</v>
      </c>
      <c r="M147" s="135">
        <v>43846</v>
      </c>
      <c r="N147">
        <v>0.36254629629629626</v>
      </c>
      <c r="O147">
        <v>1003</v>
      </c>
      <c r="P147" t="s">
        <v>107</v>
      </c>
      <c r="Q147" t="s">
        <v>168</v>
      </c>
      <c r="R147">
        <v>0</v>
      </c>
      <c r="S147" t="s">
        <v>256</v>
      </c>
      <c r="T147">
        <v>1931526</v>
      </c>
      <c r="U147">
        <v>3</v>
      </c>
      <c r="V147">
        <v>10</v>
      </c>
      <c r="W147" t="s">
        <v>670</v>
      </c>
      <c r="X147">
        <v>43815</v>
      </c>
      <c r="Y147">
        <v>13</v>
      </c>
      <c r="Z147">
        <v>0.20833333333333334</v>
      </c>
    </row>
    <row r="148" spans="1:26">
      <c r="A148" t="s">
        <v>671</v>
      </c>
      <c r="B148" s="135">
        <v>43837</v>
      </c>
      <c r="C148" t="s">
        <v>153</v>
      </c>
      <c r="D148" t="s">
        <v>153</v>
      </c>
      <c r="E148" t="s">
        <v>153</v>
      </c>
      <c r="F148" t="s">
        <v>153</v>
      </c>
      <c r="G148" t="s">
        <v>153</v>
      </c>
      <c r="H148" t="s">
        <v>153</v>
      </c>
      <c r="I148" t="s">
        <v>153</v>
      </c>
      <c r="J148" s="135">
        <v>43843</v>
      </c>
      <c r="K148" s="135">
        <v>43844</v>
      </c>
      <c r="L148" t="s">
        <v>155</v>
      </c>
      <c r="M148" s="135">
        <v>43846</v>
      </c>
      <c r="N148">
        <v>0.39119212962962963</v>
      </c>
      <c r="O148">
        <v>8101</v>
      </c>
      <c r="P148" t="s">
        <v>107</v>
      </c>
      <c r="Q148" t="s">
        <v>672</v>
      </c>
      <c r="R148">
        <v>0</v>
      </c>
      <c r="S148" t="s">
        <v>435</v>
      </c>
      <c r="T148">
        <v>1931544</v>
      </c>
      <c r="U148">
        <v>13</v>
      </c>
      <c r="V148">
        <v>30</v>
      </c>
      <c r="X148">
        <v>43819</v>
      </c>
      <c r="Y148">
        <v>11</v>
      </c>
      <c r="Z148">
        <v>0.3125</v>
      </c>
    </row>
    <row r="149" spans="1:26">
      <c r="A149" t="s">
        <v>673</v>
      </c>
      <c r="B149" s="135">
        <v>43837</v>
      </c>
      <c r="C149" t="s">
        <v>153</v>
      </c>
      <c r="D149" t="s">
        <v>153</v>
      </c>
      <c r="E149" t="s">
        <v>153</v>
      </c>
      <c r="F149" t="s">
        <v>153</v>
      </c>
      <c r="G149" t="s">
        <v>153</v>
      </c>
      <c r="H149" t="s">
        <v>153</v>
      </c>
      <c r="I149" t="s">
        <v>153</v>
      </c>
      <c r="J149" s="135">
        <v>43843</v>
      </c>
      <c r="K149" s="135">
        <v>43844</v>
      </c>
      <c r="L149" t="s">
        <v>155</v>
      </c>
      <c r="M149" s="135">
        <v>43846</v>
      </c>
      <c r="N149">
        <v>0.43546296296296294</v>
      </c>
      <c r="O149" t="s">
        <v>674</v>
      </c>
      <c r="P149" t="s">
        <v>107</v>
      </c>
      <c r="Q149" t="s">
        <v>573</v>
      </c>
      <c r="R149">
        <v>0</v>
      </c>
      <c r="S149" t="s">
        <v>435</v>
      </c>
      <c r="T149">
        <v>1931543</v>
      </c>
      <c r="U149">
        <v>13</v>
      </c>
      <c r="V149">
        <v>150</v>
      </c>
      <c r="X149">
        <v>43819</v>
      </c>
      <c r="Y149">
        <v>8</v>
      </c>
      <c r="Z149">
        <v>1.5625</v>
      </c>
    </row>
    <row r="150" spans="1:26">
      <c r="A150" t="s">
        <v>675</v>
      </c>
      <c r="B150" s="135">
        <v>43839</v>
      </c>
      <c r="C150" t="s">
        <v>153</v>
      </c>
      <c r="D150" t="s">
        <v>153</v>
      </c>
      <c r="E150" t="s">
        <v>153</v>
      </c>
      <c r="F150" t="s">
        <v>153</v>
      </c>
      <c r="G150" t="s">
        <v>153</v>
      </c>
      <c r="J150" s="135">
        <v>43843</v>
      </c>
      <c r="K150" s="135">
        <v>43844</v>
      </c>
      <c r="L150" t="s">
        <v>154</v>
      </c>
      <c r="M150" s="135">
        <v>43846</v>
      </c>
      <c r="N150">
        <v>0.71150462962962957</v>
      </c>
      <c r="O150" t="s">
        <v>676</v>
      </c>
      <c r="P150" t="s">
        <v>107</v>
      </c>
      <c r="Q150" t="s">
        <v>677</v>
      </c>
      <c r="R150">
        <v>0</v>
      </c>
      <c r="S150" t="s">
        <v>678</v>
      </c>
      <c r="T150">
        <v>2030018</v>
      </c>
      <c r="U150">
        <v>3</v>
      </c>
      <c r="V150">
        <v>10</v>
      </c>
      <c r="X150">
        <v>43829</v>
      </c>
      <c r="Y150">
        <v>9</v>
      </c>
      <c r="Z150">
        <v>0.18518518518518517</v>
      </c>
    </row>
    <row r="151" spans="1:26">
      <c r="A151" t="s">
        <v>679</v>
      </c>
      <c r="B151" s="135">
        <v>43839</v>
      </c>
      <c r="C151" t="s">
        <v>153</v>
      </c>
      <c r="D151" t="s">
        <v>153</v>
      </c>
      <c r="E151" t="s">
        <v>153</v>
      </c>
      <c r="F151" t="s">
        <v>153</v>
      </c>
      <c r="G151" t="s">
        <v>153</v>
      </c>
      <c r="J151" s="135">
        <v>43843</v>
      </c>
      <c r="K151" s="135">
        <v>43844</v>
      </c>
      <c r="L151" t="s">
        <v>154</v>
      </c>
      <c r="M151" s="135">
        <v>43846</v>
      </c>
      <c r="N151">
        <v>0.74796296296296294</v>
      </c>
      <c r="O151" t="s">
        <v>680</v>
      </c>
      <c r="P151" t="s">
        <v>107</v>
      </c>
      <c r="Q151" t="s">
        <v>588</v>
      </c>
      <c r="R151">
        <v>0</v>
      </c>
      <c r="S151" t="s">
        <v>681</v>
      </c>
      <c r="T151">
        <v>2030019</v>
      </c>
      <c r="U151">
        <v>13</v>
      </c>
      <c r="V151">
        <v>30</v>
      </c>
      <c r="X151">
        <v>43829</v>
      </c>
      <c r="Y151">
        <v>9</v>
      </c>
      <c r="Z151">
        <v>0.66666666666666663</v>
      </c>
    </row>
    <row r="152" spans="1:26">
      <c r="A152" t="s">
        <v>682</v>
      </c>
      <c r="B152" s="135">
        <v>43837</v>
      </c>
      <c r="C152" t="s">
        <v>153</v>
      </c>
      <c r="D152" t="s">
        <v>153</v>
      </c>
      <c r="E152" t="s">
        <v>153</v>
      </c>
      <c r="F152" t="s">
        <v>153</v>
      </c>
      <c r="G152" t="s">
        <v>153</v>
      </c>
      <c r="H152" t="s">
        <v>153</v>
      </c>
      <c r="J152" s="135">
        <v>43839</v>
      </c>
      <c r="K152" s="135">
        <v>43843</v>
      </c>
      <c r="L152" t="s">
        <v>155</v>
      </c>
      <c r="M152" s="135">
        <v>43845</v>
      </c>
      <c r="N152">
        <v>0.67151620370370368</v>
      </c>
      <c r="O152" t="s">
        <v>683</v>
      </c>
      <c r="P152" t="s">
        <v>189</v>
      </c>
      <c r="Q152" t="s">
        <v>543</v>
      </c>
      <c r="S152" t="s">
        <v>684</v>
      </c>
      <c r="T152" t="s">
        <v>685</v>
      </c>
      <c r="U152" t="s">
        <v>176</v>
      </c>
      <c r="V152">
        <v>430</v>
      </c>
      <c r="W152" t="s">
        <v>622</v>
      </c>
      <c r="X152">
        <v>43851.471944444442</v>
      </c>
      <c r="Y152">
        <v>9</v>
      </c>
    </row>
    <row r="153" spans="1:26">
      <c r="A153" t="s">
        <v>686</v>
      </c>
      <c r="B153" s="135">
        <v>43838</v>
      </c>
      <c r="C153" t="s">
        <v>153</v>
      </c>
      <c r="D153" t="s">
        <v>153</v>
      </c>
      <c r="E153" t="s">
        <v>153</v>
      </c>
      <c r="F153" t="s">
        <v>153</v>
      </c>
      <c r="G153" t="s">
        <v>153</v>
      </c>
      <c r="J153" s="135">
        <v>43839</v>
      </c>
      <c r="K153" s="135">
        <v>43843</v>
      </c>
      <c r="L153" t="s">
        <v>155</v>
      </c>
      <c r="M153" s="135">
        <v>43845</v>
      </c>
      <c r="N153">
        <v>0.73259259259259257</v>
      </c>
      <c r="O153" t="s">
        <v>687</v>
      </c>
      <c r="P153" t="s">
        <v>189</v>
      </c>
      <c r="Q153" t="s">
        <v>614</v>
      </c>
      <c r="S153" t="s">
        <v>688</v>
      </c>
      <c r="T153" t="s">
        <v>689</v>
      </c>
      <c r="U153" t="s">
        <v>176</v>
      </c>
      <c r="V153">
        <v>100</v>
      </c>
      <c r="X153">
        <v>43851.317627314813</v>
      </c>
      <c r="Y153">
        <v>8</v>
      </c>
    </row>
    <row r="154" spans="1:26">
      <c r="A154" t="s">
        <v>690</v>
      </c>
      <c r="B154" s="135">
        <v>43838</v>
      </c>
      <c r="C154" t="s">
        <v>153</v>
      </c>
      <c r="D154" t="s">
        <v>153</v>
      </c>
      <c r="E154" t="s">
        <v>153</v>
      </c>
      <c r="F154" t="s">
        <v>153</v>
      </c>
      <c r="G154" t="s">
        <v>153</v>
      </c>
      <c r="J154" s="135">
        <v>43839</v>
      </c>
      <c r="K154" s="135">
        <v>43843</v>
      </c>
      <c r="L154" t="s">
        <v>155</v>
      </c>
      <c r="M154" s="135">
        <v>43845</v>
      </c>
      <c r="N154">
        <v>0.76763888888888887</v>
      </c>
      <c r="O154" t="s">
        <v>691</v>
      </c>
      <c r="P154" t="s">
        <v>189</v>
      </c>
      <c r="Q154" t="s">
        <v>195</v>
      </c>
      <c r="S154" t="s">
        <v>692</v>
      </c>
      <c r="T154" t="s">
        <v>693</v>
      </c>
      <c r="U154" t="s">
        <v>176</v>
      </c>
      <c r="V154">
        <v>250</v>
      </c>
      <c r="W154" t="s">
        <v>622</v>
      </c>
      <c r="X154">
        <v>43851.595057870371</v>
      </c>
      <c r="Y154">
        <v>9</v>
      </c>
    </row>
    <row r="155" spans="1:26">
      <c r="A155" t="s">
        <v>695</v>
      </c>
      <c r="B155" s="135">
        <v>43843</v>
      </c>
      <c r="C155" t="s">
        <v>153</v>
      </c>
      <c r="D155" t="s">
        <v>153</v>
      </c>
      <c r="E155" t="s">
        <v>153</v>
      </c>
      <c r="F155" t="s">
        <v>153</v>
      </c>
      <c r="G155" t="s">
        <v>153</v>
      </c>
      <c r="H155" t="s">
        <v>153</v>
      </c>
      <c r="I155" t="s">
        <v>153</v>
      </c>
      <c r="J155" s="135">
        <v>43839</v>
      </c>
      <c r="K155" s="135">
        <v>43843</v>
      </c>
      <c r="L155" t="s">
        <v>154</v>
      </c>
      <c r="M155" s="135">
        <v>43845</v>
      </c>
      <c r="N155">
        <v>0.27491898148148147</v>
      </c>
      <c r="O155">
        <v>710</v>
      </c>
      <c r="P155" t="s">
        <v>106</v>
      </c>
      <c r="Q155" t="s">
        <v>190</v>
      </c>
      <c r="R155">
        <v>8.5</v>
      </c>
      <c r="S155" t="s">
        <v>696</v>
      </c>
      <c r="T155">
        <v>2010023</v>
      </c>
      <c r="U155">
        <v>13</v>
      </c>
      <c r="V155">
        <v>90</v>
      </c>
      <c r="W155" t="s">
        <v>697</v>
      </c>
      <c r="X155">
        <v>43808</v>
      </c>
      <c r="Y155">
        <v>5</v>
      </c>
      <c r="Z155">
        <v>2</v>
      </c>
    </row>
    <row r="156" spans="1:26">
      <c r="A156" t="s">
        <v>698</v>
      </c>
      <c r="B156" s="135">
        <v>43843</v>
      </c>
      <c r="C156" t="s">
        <v>153</v>
      </c>
      <c r="D156" t="s">
        <v>153</v>
      </c>
      <c r="E156" t="s">
        <v>153</v>
      </c>
      <c r="F156" t="s">
        <v>153</v>
      </c>
      <c r="G156" t="s">
        <v>153</v>
      </c>
      <c r="H156" t="s">
        <v>153</v>
      </c>
      <c r="I156" t="s">
        <v>153</v>
      </c>
      <c r="J156" s="135">
        <v>43839</v>
      </c>
      <c r="K156" s="135">
        <v>43843</v>
      </c>
      <c r="L156" t="s">
        <v>155</v>
      </c>
      <c r="M156" s="135">
        <v>43845</v>
      </c>
      <c r="N156">
        <v>0.40884259259259265</v>
      </c>
      <c r="O156">
        <v>711</v>
      </c>
      <c r="P156" t="s">
        <v>106</v>
      </c>
      <c r="Q156" t="s">
        <v>190</v>
      </c>
      <c r="R156">
        <v>8.5</v>
      </c>
      <c r="S156" t="s">
        <v>696</v>
      </c>
      <c r="T156">
        <v>2010008</v>
      </c>
      <c r="U156">
        <v>13</v>
      </c>
      <c r="V156">
        <v>25</v>
      </c>
      <c r="W156" t="s">
        <v>699</v>
      </c>
      <c r="X156">
        <v>43808</v>
      </c>
      <c r="Y156">
        <v>6</v>
      </c>
      <c r="Z156">
        <v>0.55555555555555558</v>
      </c>
    </row>
    <row r="157" spans="1:26">
      <c r="A157" t="s">
        <v>700</v>
      </c>
      <c r="B157" s="135">
        <v>43843</v>
      </c>
      <c r="C157" t="s">
        <v>153</v>
      </c>
      <c r="D157" t="s">
        <v>153</v>
      </c>
      <c r="E157" t="s">
        <v>153</v>
      </c>
      <c r="F157" t="s">
        <v>153</v>
      </c>
      <c r="G157" t="s">
        <v>153</v>
      </c>
      <c r="H157" t="s">
        <v>153</v>
      </c>
      <c r="J157" s="135">
        <v>43839</v>
      </c>
      <c r="K157" s="135">
        <v>43843</v>
      </c>
      <c r="L157" t="s">
        <v>155</v>
      </c>
      <c r="M157" s="135">
        <v>43845</v>
      </c>
      <c r="N157">
        <v>0.44834490740740746</v>
      </c>
      <c r="O157">
        <v>800</v>
      </c>
      <c r="P157" t="s">
        <v>106</v>
      </c>
      <c r="Q157" t="s">
        <v>190</v>
      </c>
      <c r="R157">
        <v>8.5</v>
      </c>
      <c r="S157" t="s">
        <v>701</v>
      </c>
      <c r="T157">
        <v>2010010</v>
      </c>
      <c r="U157">
        <v>3</v>
      </c>
      <c r="V157">
        <v>144</v>
      </c>
      <c r="W157" t="s">
        <v>702</v>
      </c>
      <c r="X157">
        <v>43824</v>
      </c>
      <c r="Y157">
        <v>5</v>
      </c>
      <c r="Z157">
        <v>3</v>
      </c>
    </row>
    <row r="158" spans="1:26">
      <c r="A158" t="s">
        <v>703</v>
      </c>
      <c r="B158" s="135">
        <v>43843</v>
      </c>
      <c r="C158" t="s">
        <v>153</v>
      </c>
      <c r="D158" t="s">
        <v>153</v>
      </c>
      <c r="E158" t="s">
        <v>153</v>
      </c>
      <c r="F158" t="s">
        <v>153</v>
      </c>
      <c r="G158" t="s">
        <v>153</v>
      </c>
      <c r="J158" s="135">
        <v>43839</v>
      </c>
      <c r="K158" s="135">
        <v>43843</v>
      </c>
      <c r="L158" t="s">
        <v>155</v>
      </c>
      <c r="M158" s="135">
        <v>43845</v>
      </c>
      <c r="N158">
        <v>0.61892361111111105</v>
      </c>
      <c r="O158">
        <v>714</v>
      </c>
      <c r="P158" t="s">
        <v>106</v>
      </c>
      <c r="Q158" t="s">
        <v>190</v>
      </c>
      <c r="R158">
        <v>8.5</v>
      </c>
      <c r="S158" t="s">
        <v>704</v>
      </c>
      <c r="T158">
        <v>2010012</v>
      </c>
      <c r="U158">
        <v>3</v>
      </c>
      <c r="V158">
        <v>45</v>
      </c>
      <c r="X158">
        <v>43833</v>
      </c>
      <c r="Y158">
        <v>3</v>
      </c>
      <c r="Z158">
        <v>1</v>
      </c>
    </row>
    <row r="159" spans="1:26">
      <c r="A159" t="s">
        <v>705</v>
      </c>
      <c r="B159" s="135">
        <v>43839</v>
      </c>
      <c r="C159" t="s">
        <v>153</v>
      </c>
      <c r="D159" t="s">
        <v>153</v>
      </c>
      <c r="E159" t="s">
        <v>153</v>
      </c>
      <c r="F159" t="s">
        <v>153</v>
      </c>
      <c r="G159" t="s">
        <v>153</v>
      </c>
      <c r="J159" s="135">
        <v>43843</v>
      </c>
      <c r="K159" s="135">
        <v>43844</v>
      </c>
      <c r="L159" t="s">
        <v>155</v>
      </c>
      <c r="M159" s="135">
        <v>43845</v>
      </c>
      <c r="N159">
        <v>0.27436342592592594</v>
      </c>
      <c r="O159">
        <v>698</v>
      </c>
      <c r="P159" t="s">
        <v>108</v>
      </c>
      <c r="Q159" t="s">
        <v>295</v>
      </c>
      <c r="R159">
        <v>0</v>
      </c>
      <c r="S159" t="s">
        <v>296</v>
      </c>
      <c r="T159">
        <v>2040001</v>
      </c>
      <c r="U159">
        <v>1</v>
      </c>
      <c r="V159">
        <v>136</v>
      </c>
      <c r="X159">
        <v>43845</v>
      </c>
      <c r="Y159">
        <v>3</v>
      </c>
      <c r="Z159">
        <v>3.4</v>
      </c>
    </row>
    <row r="160" spans="1:26">
      <c r="A160" t="s">
        <v>706</v>
      </c>
      <c r="B160" s="135">
        <v>43843</v>
      </c>
      <c r="C160" t="s">
        <v>153</v>
      </c>
      <c r="D160" t="s">
        <v>153</v>
      </c>
      <c r="E160" t="s">
        <v>153</v>
      </c>
      <c r="F160" t="s">
        <v>153</v>
      </c>
      <c r="G160" t="s">
        <v>153</v>
      </c>
      <c r="J160" s="135">
        <v>43839</v>
      </c>
      <c r="K160" s="135">
        <v>43843</v>
      </c>
      <c r="L160" t="s">
        <v>154</v>
      </c>
      <c r="M160" s="135">
        <v>43845</v>
      </c>
      <c r="N160">
        <v>0.48754629629629626</v>
      </c>
      <c r="O160" t="s">
        <v>707</v>
      </c>
      <c r="P160" t="s">
        <v>107</v>
      </c>
      <c r="Q160" t="s">
        <v>200</v>
      </c>
      <c r="R160">
        <v>0</v>
      </c>
      <c r="S160" t="s">
        <v>708</v>
      </c>
      <c r="T160">
        <v>1931514</v>
      </c>
      <c r="U160">
        <v>3</v>
      </c>
      <c r="V160">
        <v>260</v>
      </c>
      <c r="W160" t="s">
        <v>709</v>
      </c>
      <c r="X160">
        <v>43811</v>
      </c>
      <c r="Y160">
        <v>11</v>
      </c>
      <c r="Z160">
        <v>5.7777777777777777</v>
      </c>
    </row>
    <row r="161" spans="2:13">
      <c r="B161"/>
      <c r="J161"/>
      <c r="K161"/>
      <c r="M161"/>
    </row>
    <row r="162" spans="2:13">
      <c r="B162"/>
      <c r="J162"/>
      <c r="K162"/>
      <c r="M162"/>
    </row>
    <row r="163" spans="2:13">
      <c r="B163"/>
      <c r="J163"/>
      <c r="K163"/>
      <c r="M163"/>
    </row>
    <row r="164" spans="2:13">
      <c r="B164"/>
      <c r="J164"/>
      <c r="K164"/>
      <c r="M164"/>
    </row>
    <row r="165" spans="2:13">
      <c r="B165"/>
      <c r="J165"/>
      <c r="K165"/>
      <c r="M165"/>
    </row>
    <row r="166" spans="2:13">
      <c r="B166"/>
      <c r="J166"/>
      <c r="K166"/>
      <c r="M166"/>
    </row>
    <row r="167" spans="2:13">
      <c r="B167"/>
      <c r="J167"/>
      <c r="K167"/>
      <c r="M167"/>
    </row>
    <row r="168" spans="2:13">
      <c r="B168"/>
      <c r="J168"/>
      <c r="K168"/>
      <c r="M168"/>
    </row>
    <row r="169" spans="2:13">
      <c r="B169"/>
      <c r="J169"/>
      <c r="K169"/>
      <c r="M169"/>
    </row>
    <row r="170" spans="2:13">
      <c r="B170"/>
      <c r="J170"/>
      <c r="K170"/>
      <c r="M170"/>
    </row>
    <row r="171" spans="2:13">
      <c r="B171"/>
      <c r="J171"/>
      <c r="K171"/>
      <c r="M171"/>
    </row>
    <row r="172" spans="2:13">
      <c r="B172"/>
      <c r="J172"/>
      <c r="K172"/>
      <c r="M172"/>
    </row>
    <row r="173" spans="2:13">
      <c r="B173"/>
      <c r="J173"/>
      <c r="K173"/>
      <c r="M173"/>
    </row>
    <row r="174" spans="2:13">
      <c r="B174"/>
      <c r="J174"/>
      <c r="K174"/>
      <c r="M174"/>
    </row>
    <row r="175" spans="2:13">
      <c r="B175"/>
      <c r="J175"/>
      <c r="K175"/>
      <c r="M175"/>
    </row>
    <row r="176" spans="2:13">
      <c r="B176"/>
      <c r="J176"/>
      <c r="K176"/>
      <c r="M176"/>
    </row>
    <row r="177" spans="2:13">
      <c r="B177"/>
      <c r="J177"/>
      <c r="K177"/>
      <c r="M177"/>
    </row>
    <row r="178" spans="2:13">
      <c r="B178"/>
      <c r="J178"/>
      <c r="K178"/>
      <c r="M178"/>
    </row>
    <row r="179" spans="2:13">
      <c r="B179"/>
      <c r="J179"/>
      <c r="K179"/>
      <c r="M179"/>
    </row>
    <row r="180" spans="2:13">
      <c r="B180"/>
      <c r="J180"/>
      <c r="K180"/>
      <c r="M180"/>
    </row>
    <row r="181" spans="2:13">
      <c r="B181"/>
      <c r="J181"/>
      <c r="K181"/>
      <c r="M181"/>
    </row>
    <row r="182" spans="2:13">
      <c r="B182"/>
      <c r="J182"/>
      <c r="K182"/>
      <c r="M182"/>
    </row>
    <row r="183" spans="2:13">
      <c r="B183"/>
      <c r="J183"/>
      <c r="K183"/>
      <c r="M183"/>
    </row>
    <row r="184" spans="2:13">
      <c r="B184"/>
      <c r="J184"/>
      <c r="K184"/>
      <c r="M184"/>
    </row>
    <row r="185" spans="2:13">
      <c r="B185"/>
      <c r="J185"/>
      <c r="K185"/>
      <c r="M185"/>
    </row>
    <row r="186" spans="2:13">
      <c r="B186"/>
      <c r="J186"/>
      <c r="K186"/>
      <c r="M186"/>
    </row>
    <row r="187" spans="2:13">
      <c r="B187"/>
      <c r="J187"/>
      <c r="K187"/>
      <c r="M187"/>
    </row>
  </sheetData>
  <conditionalFormatting sqref="T142:T159 T8:T30 T1 T61:T66 T81:T85 T188:T1048576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Z28"/>
  <sheetViews>
    <sheetView workbookViewId="0">
      <selection sqref="A1:AA29"/>
    </sheetView>
  </sheetViews>
  <sheetFormatPr defaultRowHeight="12.75"/>
  <cols>
    <col min="1" max="1" width="1.875" bestFit="1" customWidth="1"/>
    <col min="2" max="2" width="9.875" bestFit="1" customWidth="1"/>
    <col min="3" max="3" width="8.875" bestFit="1" customWidth="1"/>
    <col min="4" max="4" width="8.375" bestFit="1" customWidth="1"/>
    <col min="5" max="5" width="8.875" bestFit="1" customWidth="1"/>
    <col min="6" max="6" width="11.875" bestFit="1" customWidth="1"/>
    <col min="7" max="7" width="7" bestFit="1" customWidth="1"/>
    <col min="8" max="8" width="5.5" bestFit="1" customWidth="1"/>
    <col min="9" max="9" width="19.125" bestFit="1" customWidth="1"/>
    <col min="10" max="10" width="20.625" bestFit="1" customWidth="1"/>
    <col min="11" max="11" width="22.25" bestFit="1" customWidth="1"/>
    <col min="12" max="12" width="7.875" bestFit="1" customWidth="1"/>
    <col min="13" max="13" width="9.375" bestFit="1" customWidth="1"/>
    <col min="14" max="14" width="2.875" bestFit="1" customWidth="1"/>
    <col min="16" max="16" width="9.875" bestFit="1" customWidth="1"/>
    <col min="17" max="17" width="13.875" bestFit="1" customWidth="1"/>
    <col min="18" max="18" width="11.875" bestFit="1" customWidth="1"/>
  </cols>
  <sheetData>
    <row r="1" spans="1:26">
      <c r="A1" t="s">
        <v>635</v>
      </c>
      <c r="B1" s="135">
        <v>43839</v>
      </c>
      <c r="C1" t="s">
        <v>153</v>
      </c>
      <c r="D1" t="s">
        <v>153</v>
      </c>
      <c r="E1" t="s">
        <v>153</v>
      </c>
      <c r="F1" t="s">
        <v>153</v>
      </c>
      <c r="G1" t="s">
        <v>153</v>
      </c>
      <c r="H1" t="s">
        <v>153</v>
      </c>
      <c r="J1" s="135">
        <v>43843</v>
      </c>
      <c r="K1" s="135">
        <v>43844</v>
      </c>
      <c r="L1" t="s">
        <v>155</v>
      </c>
      <c r="M1" s="135">
        <v>43845</v>
      </c>
      <c r="N1" s="256">
        <v>0.27916666666666667</v>
      </c>
      <c r="O1">
        <v>7246</v>
      </c>
      <c r="P1" t="s">
        <v>103</v>
      </c>
      <c r="Q1" t="s">
        <v>557</v>
      </c>
      <c r="R1">
        <v>13.8</v>
      </c>
      <c r="S1" t="s">
        <v>558</v>
      </c>
      <c r="T1">
        <v>2020043</v>
      </c>
      <c r="U1">
        <v>13</v>
      </c>
      <c r="V1">
        <v>100</v>
      </c>
      <c r="X1" s="135">
        <v>43847</v>
      </c>
      <c r="Y1">
        <v>2</v>
      </c>
      <c r="Z1">
        <v>1</v>
      </c>
    </row>
    <row r="2" spans="1:26">
      <c r="A2" t="s">
        <v>636</v>
      </c>
      <c r="B2" s="135">
        <v>43845</v>
      </c>
      <c r="C2" t="s">
        <v>153</v>
      </c>
      <c r="D2" t="s">
        <v>153</v>
      </c>
      <c r="E2" t="s">
        <v>153</v>
      </c>
      <c r="F2" t="s">
        <v>153</v>
      </c>
      <c r="G2" t="s">
        <v>153</v>
      </c>
      <c r="H2" t="s">
        <v>153</v>
      </c>
      <c r="J2" s="135">
        <v>43843</v>
      </c>
      <c r="K2" s="135">
        <v>43844</v>
      </c>
      <c r="L2" t="s">
        <v>154</v>
      </c>
      <c r="M2" s="135">
        <v>43845</v>
      </c>
      <c r="N2" s="256">
        <v>0.54519675925925926</v>
      </c>
      <c r="O2">
        <v>7190</v>
      </c>
      <c r="P2" t="s">
        <v>104</v>
      </c>
      <c r="Q2" t="s">
        <v>637</v>
      </c>
      <c r="R2">
        <v>12.4</v>
      </c>
      <c r="S2" t="s">
        <v>638</v>
      </c>
      <c r="T2">
        <v>2020051</v>
      </c>
      <c r="U2">
        <v>13</v>
      </c>
      <c r="V2">
        <v>640</v>
      </c>
      <c r="W2" t="s">
        <v>639</v>
      </c>
      <c r="X2" s="135">
        <v>43846</v>
      </c>
      <c r="Y2">
        <v>3</v>
      </c>
      <c r="Z2">
        <v>2</v>
      </c>
    </row>
    <row r="3" spans="1:26">
      <c r="A3" t="s">
        <v>640</v>
      </c>
      <c r="B3" s="135">
        <v>43839</v>
      </c>
      <c r="C3" t="s">
        <v>153</v>
      </c>
      <c r="D3" t="s">
        <v>153</v>
      </c>
      <c r="E3" t="s">
        <v>153</v>
      </c>
      <c r="F3" t="s">
        <v>153</v>
      </c>
      <c r="G3" t="s">
        <v>153</v>
      </c>
      <c r="J3" s="135">
        <v>43844</v>
      </c>
      <c r="K3" s="135">
        <v>43845</v>
      </c>
      <c r="L3" t="s">
        <v>154</v>
      </c>
      <c r="M3" s="135">
        <v>43846</v>
      </c>
      <c r="N3" s="256">
        <v>0.67019675925925926</v>
      </c>
      <c r="O3">
        <v>164</v>
      </c>
      <c r="P3" t="s">
        <v>104</v>
      </c>
      <c r="Q3" t="s">
        <v>641</v>
      </c>
      <c r="R3">
        <v>8.5</v>
      </c>
      <c r="S3" t="s">
        <v>642</v>
      </c>
      <c r="T3">
        <v>2020049</v>
      </c>
      <c r="U3">
        <v>13</v>
      </c>
      <c r="V3">
        <v>50</v>
      </c>
      <c r="W3" t="s">
        <v>639</v>
      </c>
      <c r="X3" s="135">
        <v>43852</v>
      </c>
      <c r="Y3">
        <v>3</v>
      </c>
      <c r="Z3">
        <v>0.26041666666666669</v>
      </c>
    </row>
    <row r="4" spans="1:26">
      <c r="A4" t="s">
        <v>643</v>
      </c>
      <c r="B4" s="135">
        <v>43839</v>
      </c>
      <c r="C4" t="s">
        <v>153</v>
      </c>
      <c r="D4" t="s">
        <v>153</v>
      </c>
      <c r="E4" t="s">
        <v>153</v>
      </c>
      <c r="F4" t="s">
        <v>153</v>
      </c>
      <c r="G4" t="s">
        <v>153</v>
      </c>
      <c r="J4" s="135">
        <v>43844</v>
      </c>
      <c r="K4" s="135">
        <v>43845</v>
      </c>
      <c r="L4" t="s">
        <v>154</v>
      </c>
      <c r="M4" s="135">
        <v>43846</v>
      </c>
      <c r="N4" s="256">
        <v>0.72228009259259263</v>
      </c>
      <c r="O4">
        <v>162</v>
      </c>
      <c r="P4" t="s">
        <v>104</v>
      </c>
      <c r="Q4" t="s">
        <v>644</v>
      </c>
      <c r="R4">
        <v>8.5</v>
      </c>
      <c r="S4" t="s">
        <v>645</v>
      </c>
      <c r="T4">
        <v>2020062</v>
      </c>
      <c r="U4">
        <v>13</v>
      </c>
      <c r="V4">
        <v>100</v>
      </c>
      <c r="W4" t="s">
        <v>646</v>
      </c>
      <c r="X4" s="135">
        <v>43931</v>
      </c>
      <c r="Y4">
        <v>3</v>
      </c>
      <c r="Z4">
        <v>0.52083333333333337</v>
      </c>
    </row>
    <row r="5" spans="1:26">
      <c r="A5" t="s">
        <v>647</v>
      </c>
      <c r="B5" s="135">
        <v>43839</v>
      </c>
      <c r="C5" t="s">
        <v>153</v>
      </c>
      <c r="D5" t="s">
        <v>153</v>
      </c>
      <c r="E5" t="s">
        <v>153</v>
      </c>
      <c r="F5" t="s">
        <v>153</v>
      </c>
      <c r="G5" t="s">
        <v>153</v>
      </c>
      <c r="J5" s="135">
        <v>43844</v>
      </c>
      <c r="K5" s="135">
        <v>43845</v>
      </c>
      <c r="L5" t="s">
        <v>155</v>
      </c>
      <c r="M5" s="135">
        <v>43846</v>
      </c>
      <c r="N5" s="256">
        <v>0.84380787037037042</v>
      </c>
      <c r="O5">
        <v>1624</v>
      </c>
      <c r="P5" t="s">
        <v>104</v>
      </c>
      <c r="Q5" t="s">
        <v>301</v>
      </c>
      <c r="R5">
        <v>8</v>
      </c>
      <c r="S5" t="s">
        <v>648</v>
      </c>
      <c r="T5">
        <v>2020057</v>
      </c>
      <c r="U5">
        <v>13</v>
      </c>
      <c r="V5">
        <v>100</v>
      </c>
      <c r="X5" s="135">
        <v>43839</v>
      </c>
      <c r="Y5">
        <v>3</v>
      </c>
      <c r="Z5">
        <v>0.52083333333333337</v>
      </c>
    </row>
    <row r="6" spans="1:26">
      <c r="A6" t="s">
        <v>649</v>
      </c>
      <c r="B6" s="135">
        <v>43843</v>
      </c>
      <c r="C6" t="s">
        <v>153</v>
      </c>
      <c r="D6" t="s">
        <v>153</v>
      </c>
      <c r="E6" t="s">
        <v>153</v>
      </c>
      <c r="F6" t="s">
        <v>153</v>
      </c>
      <c r="G6" t="s">
        <v>153</v>
      </c>
      <c r="J6" s="135">
        <v>43844</v>
      </c>
      <c r="K6" s="135">
        <v>43845</v>
      </c>
      <c r="L6" t="s">
        <v>155</v>
      </c>
      <c r="M6" s="135">
        <v>43846</v>
      </c>
      <c r="N6" s="256">
        <v>0.97575231481481473</v>
      </c>
      <c r="O6">
        <v>1634</v>
      </c>
      <c r="P6" t="s">
        <v>104</v>
      </c>
      <c r="Q6" t="s">
        <v>301</v>
      </c>
      <c r="R6">
        <v>8</v>
      </c>
      <c r="S6" t="s">
        <v>302</v>
      </c>
      <c r="T6">
        <v>2020058</v>
      </c>
      <c r="U6">
        <v>13</v>
      </c>
      <c r="V6">
        <v>138</v>
      </c>
      <c r="W6" t="s">
        <v>650</v>
      </c>
      <c r="X6" s="135">
        <v>43839</v>
      </c>
      <c r="Y6">
        <v>3</v>
      </c>
      <c r="Z6">
        <v>0.71875</v>
      </c>
    </row>
    <row r="7" spans="1:26">
      <c r="A7" t="s">
        <v>565</v>
      </c>
      <c r="B7" s="135">
        <v>43837</v>
      </c>
      <c r="C7" t="s">
        <v>153</v>
      </c>
      <c r="D7" t="s">
        <v>153</v>
      </c>
      <c r="E7" t="s">
        <v>153</v>
      </c>
      <c r="F7" t="s">
        <v>153</v>
      </c>
      <c r="G7" t="s">
        <v>153</v>
      </c>
      <c r="H7" t="s">
        <v>153</v>
      </c>
      <c r="I7" t="s">
        <v>153</v>
      </c>
      <c r="J7" s="135">
        <v>43843</v>
      </c>
      <c r="K7" s="135">
        <v>43844</v>
      </c>
      <c r="L7" t="s">
        <v>155</v>
      </c>
      <c r="M7" s="135">
        <v>43845</v>
      </c>
      <c r="N7" s="256">
        <v>0.27582175925925928</v>
      </c>
      <c r="O7">
        <v>5822</v>
      </c>
      <c r="P7" t="s">
        <v>105</v>
      </c>
      <c r="Q7" t="s">
        <v>166</v>
      </c>
      <c r="R7">
        <v>11.5</v>
      </c>
      <c r="S7" t="s">
        <v>177</v>
      </c>
      <c r="T7">
        <v>2020018</v>
      </c>
      <c r="U7">
        <v>3</v>
      </c>
      <c r="V7">
        <v>34</v>
      </c>
      <c r="X7" s="135">
        <v>43873</v>
      </c>
      <c r="Y7">
        <v>6</v>
      </c>
      <c r="Z7">
        <v>0.15740740740740741</v>
      </c>
    </row>
    <row r="8" spans="1:26">
      <c r="A8" t="s">
        <v>651</v>
      </c>
      <c r="B8" s="135">
        <v>43839</v>
      </c>
      <c r="C8" t="s">
        <v>153</v>
      </c>
      <c r="D8" t="s">
        <v>153</v>
      </c>
      <c r="E8" t="s">
        <v>153</v>
      </c>
      <c r="F8" t="s">
        <v>153</v>
      </c>
      <c r="G8" t="s">
        <v>153</v>
      </c>
      <c r="H8" t="s">
        <v>153</v>
      </c>
      <c r="J8" s="135">
        <v>43843</v>
      </c>
      <c r="K8" s="135">
        <v>43844</v>
      </c>
      <c r="L8" t="s">
        <v>155</v>
      </c>
      <c r="M8" s="135">
        <v>43845</v>
      </c>
      <c r="N8" s="256">
        <v>0.3056712962962963</v>
      </c>
      <c r="O8">
        <v>717</v>
      </c>
      <c r="P8" t="s">
        <v>105</v>
      </c>
      <c r="Q8" t="s">
        <v>166</v>
      </c>
      <c r="R8">
        <v>12</v>
      </c>
      <c r="S8" t="s">
        <v>652</v>
      </c>
      <c r="T8">
        <v>2020084</v>
      </c>
      <c r="U8">
        <v>13</v>
      </c>
      <c r="V8">
        <v>432</v>
      </c>
      <c r="X8" s="135">
        <v>43857</v>
      </c>
      <c r="Y8">
        <v>5</v>
      </c>
      <c r="Z8">
        <v>2</v>
      </c>
    </row>
    <row r="9" spans="1:26">
      <c r="A9" t="s">
        <v>653</v>
      </c>
      <c r="B9" s="135">
        <v>43837</v>
      </c>
      <c r="C9" t="s">
        <v>153</v>
      </c>
      <c r="D9" t="s">
        <v>153</v>
      </c>
      <c r="E9" t="s">
        <v>153</v>
      </c>
      <c r="F9" t="s">
        <v>153</v>
      </c>
      <c r="G9" t="s">
        <v>153</v>
      </c>
      <c r="H9" t="s">
        <v>153</v>
      </c>
      <c r="I9" t="s">
        <v>153</v>
      </c>
      <c r="J9" s="135">
        <v>43839</v>
      </c>
      <c r="K9" s="135">
        <v>43843</v>
      </c>
      <c r="L9" t="s">
        <v>155</v>
      </c>
      <c r="M9" s="135">
        <v>43845</v>
      </c>
      <c r="N9" s="256">
        <v>0.2724421296296296</v>
      </c>
      <c r="O9">
        <v>2916</v>
      </c>
      <c r="P9" t="s">
        <v>107</v>
      </c>
      <c r="Q9" t="s">
        <v>654</v>
      </c>
      <c r="R9">
        <v>0</v>
      </c>
      <c r="S9" t="s">
        <v>655</v>
      </c>
      <c r="T9">
        <v>2030062</v>
      </c>
      <c r="U9">
        <v>13</v>
      </c>
      <c r="V9">
        <v>42</v>
      </c>
      <c r="W9" t="s">
        <v>656</v>
      </c>
      <c r="X9" s="135">
        <v>43836</v>
      </c>
      <c r="Y9">
        <v>7</v>
      </c>
      <c r="Z9">
        <v>1.4</v>
      </c>
    </row>
    <row r="10" spans="1:26">
      <c r="A10" t="s">
        <v>657</v>
      </c>
      <c r="B10" s="135">
        <v>43836</v>
      </c>
      <c r="C10" t="s">
        <v>153</v>
      </c>
      <c r="D10" t="s">
        <v>153</v>
      </c>
      <c r="E10" t="s">
        <v>153</v>
      </c>
      <c r="F10" t="s">
        <v>153</v>
      </c>
      <c r="G10" t="s">
        <v>153</v>
      </c>
      <c r="H10" t="s">
        <v>153</v>
      </c>
      <c r="I10" t="s">
        <v>153</v>
      </c>
      <c r="J10" s="135">
        <v>43839</v>
      </c>
      <c r="K10" s="135">
        <v>43843</v>
      </c>
      <c r="L10" t="s">
        <v>155</v>
      </c>
      <c r="M10" s="135">
        <v>43845</v>
      </c>
      <c r="N10" s="256">
        <v>0.30525462962962963</v>
      </c>
      <c r="O10" t="s">
        <v>658</v>
      </c>
      <c r="P10" t="s">
        <v>107</v>
      </c>
      <c r="Q10" t="s">
        <v>197</v>
      </c>
      <c r="R10">
        <v>0</v>
      </c>
      <c r="S10" t="s">
        <v>659</v>
      </c>
      <c r="T10">
        <v>1931511</v>
      </c>
      <c r="U10">
        <v>13</v>
      </c>
      <c r="V10">
        <v>50</v>
      </c>
      <c r="W10" t="s">
        <v>660</v>
      </c>
      <c r="X10" s="135">
        <v>43811</v>
      </c>
      <c r="Y10">
        <v>10</v>
      </c>
      <c r="Z10">
        <v>1.1111111111111112</v>
      </c>
    </row>
    <row r="11" spans="1:26">
      <c r="A11" t="s">
        <v>661</v>
      </c>
      <c r="B11" s="135">
        <v>43839</v>
      </c>
      <c r="C11" t="s">
        <v>153</v>
      </c>
      <c r="D11" t="s">
        <v>153</v>
      </c>
      <c r="E11" t="s">
        <v>153</v>
      </c>
      <c r="F11" t="s">
        <v>153</v>
      </c>
      <c r="G11" t="s">
        <v>153</v>
      </c>
      <c r="J11" s="135">
        <v>43839</v>
      </c>
      <c r="K11" s="135">
        <v>43843</v>
      </c>
      <c r="L11" t="s">
        <v>155</v>
      </c>
      <c r="M11" s="135">
        <v>43845</v>
      </c>
      <c r="N11" s="256">
        <v>0.40421296296296294</v>
      </c>
      <c r="O11" t="s">
        <v>662</v>
      </c>
      <c r="P11" t="s">
        <v>107</v>
      </c>
      <c r="Q11" t="s">
        <v>192</v>
      </c>
      <c r="R11">
        <v>0</v>
      </c>
      <c r="S11" t="s">
        <v>663</v>
      </c>
      <c r="T11">
        <v>1931517</v>
      </c>
      <c r="U11">
        <v>3</v>
      </c>
      <c r="V11">
        <v>50</v>
      </c>
      <c r="W11" t="s">
        <v>225</v>
      </c>
      <c r="X11" s="135">
        <v>43811</v>
      </c>
      <c r="Y11">
        <v>9</v>
      </c>
      <c r="Z11">
        <v>1.1111111111111112</v>
      </c>
    </row>
    <row r="12" spans="1:26">
      <c r="A12" t="s">
        <v>706</v>
      </c>
      <c r="B12" s="135">
        <v>43843</v>
      </c>
      <c r="C12" t="s">
        <v>153</v>
      </c>
      <c r="D12" t="s">
        <v>153</v>
      </c>
      <c r="E12" t="s">
        <v>153</v>
      </c>
      <c r="F12" t="s">
        <v>153</v>
      </c>
      <c r="G12" t="s">
        <v>153</v>
      </c>
      <c r="J12" s="135">
        <v>43839</v>
      </c>
      <c r="K12" s="135">
        <v>43843</v>
      </c>
      <c r="L12" t="s">
        <v>154</v>
      </c>
      <c r="M12" s="135">
        <v>43845</v>
      </c>
      <c r="N12" s="256">
        <v>0.48754629629629626</v>
      </c>
      <c r="O12" t="s">
        <v>707</v>
      </c>
      <c r="P12" t="s">
        <v>107</v>
      </c>
      <c r="Q12" t="s">
        <v>200</v>
      </c>
      <c r="R12">
        <v>0</v>
      </c>
      <c r="S12" t="s">
        <v>708</v>
      </c>
      <c r="T12">
        <v>1931514</v>
      </c>
      <c r="U12">
        <v>3</v>
      </c>
      <c r="V12">
        <v>260</v>
      </c>
      <c r="W12" t="s">
        <v>709</v>
      </c>
      <c r="X12" s="135">
        <v>43811</v>
      </c>
      <c r="Y12">
        <v>11</v>
      </c>
      <c r="Z12">
        <v>5.7777777777777777</v>
      </c>
    </row>
    <row r="13" spans="1:26">
      <c r="A13" t="s">
        <v>664</v>
      </c>
      <c r="B13" s="135">
        <v>43839</v>
      </c>
      <c r="C13" t="s">
        <v>153</v>
      </c>
      <c r="D13" t="s">
        <v>153</v>
      </c>
      <c r="E13" t="s">
        <v>153</v>
      </c>
      <c r="F13" t="s">
        <v>153</v>
      </c>
      <c r="G13" t="s">
        <v>153</v>
      </c>
      <c r="J13" s="135">
        <v>43839</v>
      </c>
      <c r="K13" s="135">
        <v>43843</v>
      </c>
      <c r="L13" t="s">
        <v>155</v>
      </c>
      <c r="M13" s="135">
        <v>43845</v>
      </c>
      <c r="N13" s="256">
        <v>0.95629629629629631</v>
      </c>
      <c r="O13" t="s">
        <v>665</v>
      </c>
      <c r="P13" t="s">
        <v>107</v>
      </c>
      <c r="Q13" t="s">
        <v>666</v>
      </c>
      <c r="R13">
        <v>0</v>
      </c>
      <c r="S13" t="s">
        <v>667</v>
      </c>
      <c r="T13">
        <v>1931531</v>
      </c>
      <c r="U13">
        <v>3</v>
      </c>
      <c r="V13">
        <v>60</v>
      </c>
      <c r="W13" t="s">
        <v>668</v>
      </c>
      <c r="X13" s="135">
        <v>43815</v>
      </c>
      <c r="Y13">
        <v>8</v>
      </c>
      <c r="Z13">
        <v>0.95238095238095233</v>
      </c>
    </row>
    <row r="14" spans="1:26">
      <c r="A14" t="s">
        <v>669</v>
      </c>
      <c r="B14" s="135">
        <v>43844</v>
      </c>
      <c r="C14" t="s">
        <v>153</v>
      </c>
      <c r="D14" t="s">
        <v>153</v>
      </c>
      <c r="E14" t="s">
        <v>153</v>
      </c>
      <c r="F14" t="s">
        <v>153</v>
      </c>
      <c r="G14" t="s">
        <v>153</v>
      </c>
      <c r="J14" s="135">
        <v>43843</v>
      </c>
      <c r="K14" s="135">
        <v>43844</v>
      </c>
      <c r="L14" t="s">
        <v>155</v>
      </c>
      <c r="M14" s="135">
        <v>43846</v>
      </c>
      <c r="N14" s="256">
        <v>0.36254629629629626</v>
      </c>
      <c r="O14">
        <v>1003</v>
      </c>
      <c r="P14" t="s">
        <v>107</v>
      </c>
      <c r="Q14" t="s">
        <v>168</v>
      </c>
      <c r="R14">
        <v>0</v>
      </c>
      <c r="S14" t="s">
        <v>256</v>
      </c>
      <c r="T14">
        <v>1931526</v>
      </c>
      <c r="U14">
        <v>3</v>
      </c>
      <c r="V14">
        <v>10</v>
      </c>
      <c r="W14" t="s">
        <v>670</v>
      </c>
      <c r="X14" s="135">
        <v>43815</v>
      </c>
      <c r="Y14">
        <v>13</v>
      </c>
      <c r="Z14">
        <v>0.20833333333333334</v>
      </c>
    </row>
    <row r="15" spans="1:26">
      <c r="A15" t="s">
        <v>671</v>
      </c>
      <c r="B15" s="135">
        <v>43837</v>
      </c>
      <c r="C15" t="s">
        <v>153</v>
      </c>
      <c r="D15" t="s">
        <v>153</v>
      </c>
      <c r="E15" t="s">
        <v>153</v>
      </c>
      <c r="F15" t="s">
        <v>153</v>
      </c>
      <c r="G15" t="s">
        <v>153</v>
      </c>
      <c r="H15" t="s">
        <v>153</v>
      </c>
      <c r="I15" t="s">
        <v>153</v>
      </c>
      <c r="J15" s="135">
        <v>43843</v>
      </c>
      <c r="K15" s="135">
        <v>43844</v>
      </c>
      <c r="L15" t="s">
        <v>155</v>
      </c>
      <c r="M15" s="135">
        <v>43846</v>
      </c>
      <c r="N15" s="256">
        <v>0.39119212962962963</v>
      </c>
      <c r="O15">
        <v>8101</v>
      </c>
      <c r="P15" t="s">
        <v>107</v>
      </c>
      <c r="Q15" t="s">
        <v>672</v>
      </c>
      <c r="R15">
        <v>0</v>
      </c>
      <c r="S15" t="s">
        <v>435</v>
      </c>
      <c r="T15">
        <v>1931544</v>
      </c>
      <c r="U15">
        <v>13</v>
      </c>
      <c r="V15">
        <v>30</v>
      </c>
      <c r="X15" s="135">
        <v>43819</v>
      </c>
      <c r="Y15">
        <v>11</v>
      </c>
      <c r="Z15">
        <v>0.3125</v>
      </c>
    </row>
    <row r="16" spans="1:26">
      <c r="A16" t="s">
        <v>673</v>
      </c>
      <c r="B16" s="135">
        <v>43837</v>
      </c>
      <c r="C16" t="s">
        <v>153</v>
      </c>
      <c r="D16" t="s">
        <v>153</v>
      </c>
      <c r="E16" t="s">
        <v>153</v>
      </c>
      <c r="F16" t="s">
        <v>153</v>
      </c>
      <c r="G16" t="s">
        <v>153</v>
      </c>
      <c r="H16" t="s">
        <v>153</v>
      </c>
      <c r="I16" t="s">
        <v>153</v>
      </c>
      <c r="J16" s="135">
        <v>43843</v>
      </c>
      <c r="K16" s="135">
        <v>43844</v>
      </c>
      <c r="L16" t="s">
        <v>155</v>
      </c>
      <c r="M16" s="135">
        <v>43846</v>
      </c>
      <c r="N16" s="256">
        <v>0.43546296296296294</v>
      </c>
      <c r="O16" t="s">
        <v>674</v>
      </c>
      <c r="P16" t="s">
        <v>107</v>
      </c>
      <c r="Q16" t="s">
        <v>573</v>
      </c>
      <c r="R16">
        <v>0</v>
      </c>
      <c r="S16" t="s">
        <v>435</v>
      </c>
      <c r="T16">
        <v>1931543</v>
      </c>
      <c r="U16">
        <v>13</v>
      </c>
      <c r="V16">
        <v>150</v>
      </c>
      <c r="X16" s="135">
        <v>43819</v>
      </c>
      <c r="Y16">
        <v>8</v>
      </c>
      <c r="Z16">
        <v>1.5625</v>
      </c>
    </row>
    <row r="17" spans="1:26">
      <c r="A17" t="s">
        <v>675</v>
      </c>
      <c r="B17" s="135">
        <v>43839</v>
      </c>
      <c r="C17" t="s">
        <v>153</v>
      </c>
      <c r="D17" t="s">
        <v>153</v>
      </c>
      <c r="E17" t="s">
        <v>153</v>
      </c>
      <c r="F17" t="s">
        <v>153</v>
      </c>
      <c r="G17" t="s">
        <v>153</v>
      </c>
      <c r="J17" s="135">
        <v>43843</v>
      </c>
      <c r="K17" s="135">
        <v>43844</v>
      </c>
      <c r="L17" t="s">
        <v>154</v>
      </c>
      <c r="M17" s="135">
        <v>43846</v>
      </c>
      <c r="N17" s="256">
        <v>0.71150462962962957</v>
      </c>
      <c r="O17" t="s">
        <v>676</v>
      </c>
      <c r="P17" t="s">
        <v>107</v>
      </c>
      <c r="Q17" t="s">
        <v>677</v>
      </c>
      <c r="R17">
        <v>0</v>
      </c>
      <c r="S17" t="s">
        <v>678</v>
      </c>
      <c r="T17">
        <v>2030018</v>
      </c>
      <c r="U17">
        <v>3</v>
      </c>
      <c r="V17">
        <v>10</v>
      </c>
      <c r="X17" s="135">
        <v>43829</v>
      </c>
      <c r="Y17">
        <v>9</v>
      </c>
      <c r="Z17">
        <v>0.18518518518518517</v>
      </c>
    </row>
    <row r="18" spans="1:26">
      <c r="A18" t="s">
        <v>679</v>
      </c>
      <c r="B18" s="135">
        <v>43839</v>
      </c>
      <c r="C18" t="s">
        <v>153</v>
      </c>
      <c r="D18" t="s">
        <v>153</v>
      </c>
      <c r="E18" t="s">
        <v>153</v>
      </c>
      <c r="F18" t="s">
        <v>153</v>
      </c>
      <c r="G18" t="s">
        <v>153</v>
      </c>
      <c r="J18" s="135">
        <v>43843</v>
      </c>
      <c r="K18" s="135">
        <v>43844</v>
      </c>
      <c r="L18" t="s">
        <v>154</v>
      </c>
      <c r="M18" s="135">
        <v>43846</v>
      </c>
      <c r="N18" s="256">
        <v>0.74796296296296294</v>
      </c>
      <c r="O18" t="s">
        <v>680</v>
      </c>
      <c r="P18" t="s">
        <v>107</v>
      </c>
      <c r="Q18" t="s">
        <v>588</v>
      </c>
      <c r="R18">
        <v>0</v>
      </c>
      <c r="S18" t="s">
        <v>681</v>
      </c>
      <c r="T18">
        <v>2030019</v>
      </c>
      <c r="U18">
        <v>13</v>
      </c>
      <c r="V18">
        <v>30</v>
      </c>
      <c r="X18" s="135">
        <v>43829</v>
      </c>
      <c r="Y18">
        <v>9</v>
      </c>
      <c r="Z18">
        <v>0.66666666666666663</v>
      </c>
    </row>
    <row r="19" spans="1:26">
      <c r="A19" t="s">
        <v>682</v>
      </c>
      <c r="B19" s="135">
        <v>43837</v>
      </c>
      <c r="C19" t="s">
        <v>153</v>
      </c>
      <c r="D19" t="s">
        <v>153</v>
      </c>
      <c r="E19" t="s">
        <v>153</v>
      </c>
      <c r="F19" t="s">
        <v>153</v>
      </c>
      <c r="G19" t="s">
        <v>153</v>
      </c>
      <c r="H19" t="s">
        <v>153</v>
      </c>
      <c r="J19" s="135">
        <v>43839</v>
      </c>
      <c r="K19" s="135">
        <v>43843</v>
      </c>
      <c r="L19" t="s">
        <v>155</v>
      </c>
      <c r="M19" s="135">
        <v>43845</v>
      </c>
      <c r="N19" s="256">
        <v>0.67151620370370368</v>
      </c>
      <c r="O19" t="s">
        <v>683</v>
      </c>
      <c r="P19" t="s">
        <v>189</v>
      </c>
      <c r="Q19" t="s">
        <v>543</v>
      </c>
      <c r="S19" t="s">
        <v>684</v>
      </c>
      <c r="T19" t="s">
        <v>685</v>
      </c>
      <c r="U19" t="s">
        <v>176</v>
      </c>
      <c r="V19">
        <v>430</v>
      </c>
      <c r="W19" t="s">
        <v>622</v>
      </c>
      <c r="X19" s="257">
        <v>43851.471944444442</v>
      </c>
      <c r="Y19">
        <v>9</v>
      </c>
    </row>
    <row r="20" spans="1:26">
      <c r="A20" t="s">
        <v>686</v>
      </c>
      <c r="B20" s="135">
        <v>43838</v>
      </c>
      <c r="C20" t="s">
        <v>153</v>
      </c>
      <c r="D20" t="s">
        <v>153</v>
      </c>
      <c r="E20" t="s">
        <v>153</v>
      </c>
      <c r="F20" t="s">
        <v>153</v>
      </c>
      <c r="G20" t="s">
        <v>153</v>
      </c>
      <c r="J20" s="135">
        <v>43839</v>
      </c>
      <c r="K20" s="135">
        <v>43843</v>
      </c>
      <c r="L20" t="s">
        <v>155</v>
      </c>
      <c r="M20" s="135">
        <v>43845</v>
      </c>
      <c r="N20" s="256">
        <v>0.73259259259259257</v>
      </c>
      <c r="O20" t="s">
        <v>687</v>
      </c>
      <c r="P20" t="s">
        <v>189</v>
      </c>
      <c r="Q20" t="s">
        <v>614</v>
      </c>
      <c r="S20" t="s">
        <v>688</v>
      </c>
      <c r="T20" t="s">
        <v>689</v>
      </c>
      <c r="U20" t="s">
        <v>176</v>
      </c>
      <c r="V20">
        <v>100</v>
      </c>
      <c r="X20" s="257">
        <v>43851.317627314813</v>
      </c>
      <c r="Y20">
        <v>8</v>
      </c>
    </row>
    <row r="21" spans="1:26">
      <c r="A21" t="s">
        <v>690</v>
      </c>
      <c r="B21" s="135">
        <v>43838</v>
      </c>
      <c r="C21" t="s">
        <v>153</v>
      </c>
      <c r="D21" t="s">
        <v>153</v>
      </c>
      <c r="E21" t="s">
        <v>153</v>
      </c>
      <c r="F21" t="s">
        <v>153</v>
      </c>
      <c r="G21" t="s">
        <v>153</v>
      </c>
      <c r="J21" s="135">
        <v>43839</v>
      </c>
      <c r="K21" s="135">
        <v>43843</v>
      </c>
      <c r="L21" t="s">
        <v>155</v>
      </c>
      <c r="M21" s="135">
        <v>43845</v>
      </c>
      <c r="N21" s="256">
        <v>0.76763888888888887</v>
      </c>
      <c r="O21" t="s">
        <v>691</v>
      </c>
      <c r="P21" t="s">
        <v>189</v>
      </c>
      <c r="Q21" t="s">
        <v>195</v>
      </c>
      <c r="S21" t="s">
        <v>692</v>
      </c>
      <c r="T21" t="s">
        <v>693</v>
      </c>
      <c r="U21" t="s">
        <v>176</v>
      </c>
      <c r="V21">
        <v>250</v>
      </c>
      <c r="W21" t="s">
        <v>622</v>
      </c>
      <c r="X21" s="257">
        <v>43851.595057870371</v>
      </c>
      <c r="Y21">
        <v>9</v>
      </c>
    </row>
    <row r="22" spans="1:26">
      <c r="A22" t="s">
        <v>174</v>
      </c>
      <c r="B22" s="135">
        <v>43838</v>
      </c>
      <c r="C22" t="s">
        <v>153</v>
      </c>
      <c r="D22" t="s">
        <v>153</v>
      </c>
      <c r="E22" t="s">
        <v>153</v>
      </c>
      <c r="F22" t="s">
        <v>153</v>
      </c>
      <c r="G22" t="s">
        <v>153</v>
      </c>
      <c r="H22" t="s">
        <v>153</v>
      </c>
      <c r="J22" s="135">
        <v>43839</v>
      </c>
      <c r="K22" s="135">
        <v>43843</v>
      </c>
      <c r="L22" t="s">
        <v>155</v>
      </c>
      <c r="M22" s="135">
        <v>43845</v>
      </c>
      <c r="N22" s="256">
        <v>0.48269675925925926</v>
      </c>
      <c r="O22" t="s">
        <v>623</v>
      </c>
      <c r="P22" t="s">
        <v>401</v>
      </c>
      <c r="Q22" t="s">
        <v>624</v>
      </c>
      <c r="R22">
        <v>6.5</v>
      </c>
      <c r="S22" t="s">
        <v>625</v>
      </c>
      <c r="T22">
        <v>2050002</v>
      </c>
      <c r="U22" t="s">
        <v>176</v>
      </c>
      <c r="V22">
        <v>2175</v>
      </c>
      <c r="X22" s="135">
        <v>43893</v>
      </c>
      <c r="Y22">
        <v>3</v>
      </c>
    </row>
    <row r="23" spans="1:26">
      <c r="A23" t="s">
        <v>174</v>
      </c>
      <c r="B23" s="135">
        <v>43838</v>
      </c>
      <c r="C23" t="s">
        <v>153</v>
      </c>
      <c r="D23" t="s">
        <v>153</v>
      </c>
      <c r="E23" t="s">
        <v>153</v>
      </c>
      <c r="F23" t="s">
        <v>153</v>
      </c>
      <c r="G23" t="s">
        <v>153</v>
      </c>
      <c r="J23" s="135">
        <v>43846</v>
      </c>
      <c r="K23" s="135">
        <v>43850</v>
      </c>
      <c r="L23" t="s">
        <v>154</v>
      </c>
      <c r="M23" s="135">
        <v>43852</v>
      </c>
      <c r="N23" s="256">
        <v>0.28370370370370374</v>
      </c>
      <c r="O23" t="s">
        <v>626</v>
      </c>
      <c r="P23" t="s">
        <v>401</v>
      </c>
      <c r="Q23" t="s">
        <v>627</v>
      </c>
      <c r="R23">
        <v>6.5</v>
      </c>
      <c r="S23" t="s">
        <v>628</v>
      </c>
      <c r="T23">
        <v>2050003</v>
      </c>
      <c r="U23" t="s">
        <v>176</v>
      </c>
      <c r="V23">
        <v>2700</v>
      </c>
      <c r="W23" t="s">
        <v>694</v>
      </c>
      <c r="X23" s="135">
        <v>43865</v>
      </c>
      <c r="Y23">
        <v>3</v>
      </c>
    </row>
    <row r="24" spans="1:26">
      <c r="A24" t="s">
        <v>695</v>
      </c>
      <c r="B24" s="135">
        <v>43843</v>
      </c>
      <c r="C24" t="s">
        <v>153</v>
      </c>
      <c r="D24" t="s">
        <v>153</v>
      </c>
      <c r="E24" t="s">
        <v>153</v>
      </c>
      <c r="F24" t="s">
        <v>153</v>
      </c>
      <c r="G24" t="s">
        <v>153</v>
      </c>
      <c r="H24" t="s">
        <v>153</v>
      </c>
      <c r="I24" t="s">
        <v>153</v>
      </c>
      <c r="J24" s="135">
        <v>43839</v>
      </c>
      <c r="K24" s="135">
        <v>43843</v>
      </c>
      <c r="L24" t="s">
        <v>154</v>
      </c>
      <c r="M24" s="135">
        <v>43845</v>
      </c>
      <c r="N24" s="256">
        <v>0.27491898148148147</v>
      </c>
      <c r="O24">
        <v>710</v>
      </c>
      <c r="P24" t="s">
        <v>106</v>
      </c>
      <c r="Q24" t="s">
        <v>190</v>
      </c>
      <c r="R24">
        <v>8.5</v>
      </c>
      <c r="S24" t="s">
        <v>696</v>
      </c>
      <c r="T24">
        <v>2010023</v>
      </c>
      <c r="U24">
        <v>13</v>
      </c>
      <c r="V24">
        <v>90</v>
      </c>
      <c r="W24" t="s">
        <v>697</v>
      </c>
      <c r="X24" s="135">
        <v>43808</v>
      </c>
      <c r="Y24">
        <v>5</v>
      </c>
      <c r="Z24">
        <v>2</v>
      </c>
    </row>
    <row r="25" spans="1:26">
      <c r="A25" t="s">
        <v>698</v>
      </c>
      <c r="B25" s="135">
        <v>43843</v>
      </c>
      <c r="C25" t="s">
        <v>153</v>
      </c>
      <c r="D25" t="s">
        <v>153</v>
      </c>
      <c r="E25" t="s">
        <v>153</v>
      </c>
      <c r="F25" t="s">
        <v>153</v>
      </c>
      <c r="G25" t="s">
        <v>153</v>
      </c>
      <c r="H25" t="s">
        <v>153</v>
      </c>
      <c r="I25" t="s">
        <v>153</v>
      </c>
      <c r="J25" s="135">
        <v>43839</v>
      </c>
      <c r="K25" s="135">
        <v>43843</v>
      </c>
      <c r="L25" t="s">
        <v>155</v>
      </c>
      <c r="M25" s="135">
        <v>43845</v>
      </c>
      <c r="N25" s="256">
        <v>0.40884259259259265</v>
      </c>
      <c r="O25">
        <v>711</v>
      </c>
      <c r="P25" t="s">
        <v>106</v>
      </c>
      <c r="Q25" t="s">
        <v>190</v>
      </c>
      <c r="R25">
        <v>8.5</v>
      </c>
      <c r="S25" t="s">
        <v>696</v>
      </c>
      <c r="T25">
        <v>2010008</v>
      </c>
      <c r="U25">
        <v>13</v>
      </c>
      <c r="V25">
        <v>25</v>
      </c>
      <c r="W25" t="s">
        <v>699</v>
      </c>
      <c r="X25" s="135">
        <v>43808</v>
      </c>
      <c r="Y25">
        <v>6</v>
      </c>
      <c r="Z25">
        <v>0.55555555555555558</v>
      </c>
    </row>
    <row r="26" spans="1:26">
      <c r="A26" t="s">
        <v>700</v>
      </c>
      <c r="B26" s="135">
        <v>43843</v>
      </c>
      <c r="C26" t="s">
        <v>153</v>
      </c>
      <c r="D26" t="s">
        <v>153</v>
      </c>
      <c r="E26" t="s">
        <v>153</v>
      </c>
      <c r="F26" t="s">
        <v>153</v>
      </c>
      <c r="G26" t="s">
        <v>153</v>
      </c>
      <c r="H26" t="s">
        <v>153</v>
      </c>
      <c r="J26" s="135">
        <v>43839</v>
      </c>
      <c r="K26" s="135">
        <v>43843</v>
      </c>
      <c r="L26" t="s">
        <v>155</v>
      </c>
      <c r="M26" s="135">
        <v>43845</v>
      </c>
      <c r="N26" s="256">
        <v>0.44834490740740746</v>
      </c>
      <c r="O26">
        <v>800</v>
      </c>
      <c r="P26" t="s">
        <v>106</v>
      </c>
      <c r="Q26" t="s">
        <v>190</v>
      </c>
      <c r="R26">
        <v>8.5</v>
      </c>
      <c r="S26" t="s">
        <v>701</v>
      </c>
      <c r="T26">
        <v>2010010</v>
      </c>
      <c r="U26">
        <v>3</v>
      </c>
      <c r="V26">
        <v>144</v>
      </c>
      <c r="W26" t="s">
        <v>702</v>
      </c>
      <c r="X26" s="135">
        <v>43824</v>
      </c>
      <c r="Y26">
        <v>5</v>
      </c>
      <c r="Z26">
        <v>3</v>
      </c>
    </row>
    <row r="27" spans="1:26">
      <c r="A27" t="s">
        <v>703</v>
      </c>
      <c r="B27" s="135">
        <v>43843</v>
      </c>
      <c r="C27" t="s">
        <v>153</v>
      </c>
      <c r="D27" t="s">
        <v>153</v>
      </c>
      <c r="E27" t="s">
        <v>153</v>
      </c>
      <c r="F27" t="s">
        <v>153</v>
      </c>
      <c r="G27" t="s">
        <v>153</v>
      </c>
      <c r="J27" s="135">
        <v>43839</v>
      </c>
      <c r="K27" s="135">
        <v>43843</v>
      </c>
      <c r="L27" t="s">
        <v>155</v>
      </c>
      <c r="M27" s="135">
        <v>43845</v>
      </c>
      <c r="N27" s="256">
        <v>0.61892361111111105</v>
      </c>
      <c r="O27">
        <v>714</v>
      </c>
      <c r="P27" t="s">
        <v>106</v>
      </c>
      <c r="Q27" t="s">
        <v>190</v>
      </c>
      <c r="R27">
        <v>8.5</v>
      </c>
      <c r="S27" t="s">
        <v>704</v>
      </c>
      <c r="T27">
        <v>2010012</v>
      </c>
      <c r="U27">
        <v>3</v>
      </c>
      <c r="V27">
        <v>45</v>
      </c>
      <c r="X27" s="135">
        <v>43833</v>
      </c>
      <c r="Y27">
        <v>3</v>
      </c>
      <c r="Z27">
        <v>1</v>
      </c>
    </row>
    <row r="28" spans="1:26">
      <c r="A28" t="s">
        <v>705</v>
      </c>
      <c r="B28" s="135">
        <v>43839</v>
      </c>
      <c r="C28" t="s">
        <v>153</v>
      </c>
      <c r="D28" t="s">
        <v>153</v>
      </c>
      <c r="E28" t="s">
        <v>153</v>
      </c>
      <c r="F28" t="s">
        <v>153</v>
      </c>
      <c r="G28" t="s">
        <v>153</v>
      </c>
      <c r="J28" s="135">
        <v>43843</v>
      </c>
      <c r="K28" s="135">
        <v>43844</v>
      </c>
      <c r="L28" t="s">
        <v>155</v>
      </c>
      <c r="M28" s="135">
        <v>43845</v>
      </c>
      <c r="N28" s="256">
        <v>0.27436342592592594</v>
      </c>
      <c r="O28">
        <v>698</v>
      </c>
      <c r="P28" t="s">
        <v>108</v>
      </c>
      <c r="Q28" t="s">
        <v>295</v>
      </c>
      <c r="R28">
        <v>0</v>
      </c>
      <c r="S28" t="s">
        <v>296</v>
      </c>
      <c r="T28">
        <v>2040001</v>
      </c>
      <c r="U28">
        <v>1</v>
      </c>
      <c r="V28">
        <v>136</v>
      </c>
      <c r="X28" s="135">
        <v>43845</v>
      </c>
      <c r="Y28">
        <v>3</v>
      </c>
      <c r="Z28">
        <v>3.4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2"/>
  <sheetViews>
    <sheetView workbookViewId="0">
      <selection activeCell="B22" sqref="B22"/>
    </sheetView>
  </sheetViews>
  <sheetFormatPr defaultColWidth="9" defaultRowHeight="12.75"/>
  <cols>
    <col min="1" max="1" width="5.75" style="166" customWidth="1"/>
    <col min="2" max="2" width="10.375" style="166" customWidth="1"/>
    <col min="3" max="6" width="9" style="166"/>
    <col min="7" max="7" width="5.75" style="166" customWidth="1"/>
    <col min="8" max="8" width="10.375" style="166" customWidth="1"/>
    <col min="9" max="16384" width="9" style="166"/>
  </cols>
  <sheetData>
    <row r="1" spans="1:11" ht="30">
      <c r="A1" s="469" t="s">
        <v>127</v>
      </c>
      <c r="B1" s="469"/>
      <c r="C1" s="469"/>
      <c r="D1" s="469"/>
      <c r="E1" s="469"/>
      <c r="G1" s="469" t="s">
        <v>127</v>
      </c>
      <c r="H1" s="469"/>
      <c r="I1" s="469"/>
      <c r="J1" s="469"/>
      <c r="K1" s="469"/>
    </row>
    <row r="2" spans="1:11" ht="30">
      <c r="A2" s="469" t="s">
        <v>132</v>
      </c>
      <c r="B2" s="469"/>
      <c r="C2" s="469"/>
      <c r="D2" s="469"/>
      <c r="E2" s="469"/>
      <c r="G2" s="469" t="s">
        <v>132</v>
      </c>
      <c r="H2" s="469"/>
      <c r="I2" s="469"/>
      <c r="J2" s="469"/>
      <c r="K2" s="469"/>
    </row>
    <row r="3" spans="1:11" ht="30">
      <c r="A3" s="469" t="s">
        <v>126</v>
      </c>
      <c r="B3" s="469"/>
      <c r="C3" s="469"/>
      <c r="D3" s="469"/>
      <c r="E3" s="469"/>
      <c r="G3" s="469" t="s">
        <v>126</v>
      </c>
      <c r="H3" s="469"/>
      <c r="I3" s="469"/>
      <c r="J3" s="469"/>
      <c r="K3" s="469"/>
    </row>
    <row r="4" spans="1:11" ht="35.25">
      <c r="A4" s="180" t="s">
        <v>128</v>
      </c>
      <c r="B4" s="179"/>
      <c r="C4" s="470"/>
      <c r="D4" s="470"/>
      <c r="E4" s="470"/>
      <c r="G4" s="180" t="s">
        <v>128</v>
      </c>
      <c r="H4" s="179"/>
      <c r="I4" s="470"/>
      <c r="J4" s="470"/>
      <c r="K4" s="470"/>
    </row>
    <row r="6" spans="1:11" ht="18">
      <c r="A6" s="20" t="s">
        <v>129</v>
      </c>
      <c r="G6" s="20" t="s">
        <v>129</v>
      </c>
    </row>
    <row r="7" spans="1:11" ht="25.5">
      <c r="A7" s="130"/>
      <c r="G7" s="130"/>
    </row>
    <row r="8" spans="1:11" ht="18">
      <c r="A8" s="20" t="s">
        <v>130</v>
      </c>
      <c r="C8" s="471"/>
      <c r="D8" s="471"/>
      <c r="E8" s="471"/>
      <c r="G8" s="20" t="s">
        <v>130</v>
      </c>
      <c r="I8" s="471"/>
      <c r="J8" s="471"/>
      <c r="K8" s="471"/>
    </row>
    <row r="10" spans="1:11">
      <c r="A10" s="132" t="s">
        <v>72</v>
      </c>
      <c r="B10" s="167" t="s">
        <v>208</v>
      </c>
      <c r="C10" s="131"/>
      <c r="D10" s="131"/>
      <c r="E10" s="132" t="s">
        <v>131</v>
      </c>
      <c r="G10" s="132" t="s">
        <v>72</v>
      </c>
      <c r="H10" s="167" t="s">
        <v>208</v>
      </c>
      <c r="I10" s="131"/>
      <c r="J10" s="131"/>
      <c r="K10" s="132" t="s">
        <v>131</v>
      </c>
    </row>
    <row r="13" spans="1:11" ht="30">
      <c r="A13" s="469" t="s">
        <v>127</v>
      </c>
      <c r="B13" s="469"/>
      <c r="C13" s="469"/>
      <c r="D13" s="469"/>
      <c r="E13" s="469"/>
      <c r="G13" s="469" t="s">
        <v>127</v>
      </c>
      <c r="H13" s="469"/>
      <c r="I13" s="469"/>
      <c r="J13" s="469"/>
      <c r="K13" s="469"/>
    </row>
    <row r="14" spans="1:11" ht="30">
      <c r="A14" s="469" t="s">
        <v>132</v>
      </c>
      <c r="B14" s="469"/>
      <c r="C14" s="469"/>
      <c r="D14" s="469"/>
      <c r="E14" s="469"/>
      <c r="G14" s="469" t="s">
        <v>132</v>
      </c>
      <c r="H14" s="469"/>
      <c r="I14" s="469"/>
      <c r="J14" s="469"/>
      <c r="K14" s="469"/>
    </row>
    <row r="15" spans="1:11" ht="30">
      <c r="A15" s="469" t="s">
        <v>126</v>
      </c>
      <c r="B15" s="469"/>
      <c r="C15" s="469"/>
      <c r="D15" s="469"/>
      <c r="E15" s="469"/>
      <c r="G15" s="469" t="s">
        <v>126</v>
      </c>
      <c r="H15" s="469"/>
      <c r="I15" s="469"/>
      <c r="J15" s="469"/>
      <c r="K15" s="469"/>
    </row>
    <row r="16" spans="1:11" ht="35.25">
      <c r="A16" s="180" t="s">
        <v>128</v>
      </c>
      <c r="B16" s="179"/>
      <c r="C16" s="470"/>
      <c r="D16" s="470"/>
      <c r="E16" s="470"/>
      <c r="G16" s="180" t="s">
        <v>128</v>
      </c>
      <c r="H16" s="179"/>
      <c r="I16" s="470"/>
      <c r="J16" s="470"/>
      <c r="K16" s="470"/>
    </row>
    <row r="18" spans="1:11" ht="18">
      <c r="A18" s="20" t="s">
        <v>129</v>
      </c>
      <c r="G18" s="20" t="s">
        <v>129</v>
      </c>
    </row>
    <row r="19" spans="1:11" ht="25.5">
      <c r="A19" s="130"/>
      <c r="G19" s="130"/>
    </row>
    <row r="20" spans="1:11" ht="18">
      <c r="A20" s="20" t="s">
        <v>130</v>
      </c>
      <c r="C20" s="471"/>
      <c r="D20" s="471"/>
      <c r="E20" s="471"/>
      <c r="G20" s="20" t="s">
        <v>130</v>
      </c>
      <c r="I20" s="471"/>
      <c r="J20" s="471"/>
      <c r="K20" s="471"/>
    </row>
    <row r="22" spans="1:11">
      <c r="A22" s="132" t="s">
        <v>72</v>
      </c>
      <c r="B22" s="167" t="s">
        <v>208</v>
      </c>
      <c r="C22" s="131"/>
      <c r="D22" s="131"/>
      <c r="E22" s="132" t="s">
        <v>131</v>
      </c>
      <c r="G22" s="132" t="s">
        <v>72</v>
      </c>
      <c r="H22" s="167" t="s">
        <v>208</v>
      </c>
      <c r="I22" s="131"/>
      <c r="J22" s="131"/>
      <c r="K22" s="132" t="s">
        <v>131</v>
      </c>
    </row>
  </sheetData>
  <mergeCells count="20">
    <mergeCell ref="C20:E20"/>
    <mergeCell ref="I20:K20"/>
    <mergeCell ref="A14:E14"/>
    <mergeCell ref="G14:K14"/>
    <mergeCell ref="A15:E15"/>
    <mergeCell ref="G15:K15"/>
    <mergeCell ref="C16:E16"/>
    <mergeCell ref="I16:K16"/>
    <mergeCell ref="C4:E4"/>
    <mergeCell ref="I4:K4"/>
    <mergeCell ref="C8:E8"/>
    <mergeCell ref="I8:K8"/>
    <mergeCell ref="A13:E13"/>
    <mergeCell ref="G13:K13"/>
    <mergeCell ref="A1:E1"/>
    <mergeCell ref="G1:K1"/>
    <mergeCell ref="A2:E2"/>
    <mergeCell ref="G2:K2"/>
    <mergeCell ref="A3:E3"/>
    <mergeCell ref="G3:K3"/>
  </mergeCells>
  <pageMargins left="0.2" right="0.45" top="0" bottom="0.75" header="0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E10"/>
  <sheetViews>
    <sheetView workbookViewId="0">
      <selection activeCell="C4" sqref="C4:E4"/>
    </sheetView>
  </sheetViews>
  <sheetFormatPr defaultColWidth="9" defaultRowHeight="12.75"/>
  <cols>
    <col min="1" max="1" width="5.75" style="166" customWidth="1"/>
    <col min="2" max="2" width="10.375" style="166" customWidth="1"/>
    <col min="3" max="16384" width="9" style="166"/>
  </cols>
  <sheetData>
    <row r="1" spans="1:5" ht="30">
      <c r="A1" s="469" t="s">
        <v>127</v>
      </c>
      <c r="B1" s="469"/>
      <c r="C1" s="469"/>
      <c r="D1" s="469"/>
      <c r="E1" s="469"/>
    </row>
    <row r="2" spans="1:5" ht="30">
      <c r="A2" s="469" t="s">
        <v>132</v>
      </c>
      <c r="B2" s="469"/>
      <c r="C2" s="469"/>
      <c r="D2" s="469"/>
      <c r="E2" s="469"/>
    </row>
    <row r="3" spans="1:5" ht="30">
      <c r="A3" s="469" t="s">
        <v>126</v>
      </c>
      <c r="B3" s="469"/>
      <c r="C3" s="469"/>
      <c r="D3" s="469"/>
      <c r="E3" s="469"/>
    </row>
    <row r="4" spans="1:5" ht="35.25">
      <c r="A4" s="180" t="s">
        <v>128</v>
      </c>
      <c r="B4" s="179"/>
      <c r="C4" s="470"/>
      <c r="D4" s="470"/>
      <c r="E4" s="470"/>
    </row>
    <row r="6" spans="1:5" ht="18">
      <c r="A6" s="20" t="s">
        <v>129</v>
      </c>
    </row>
    <row r="7" spans="1:5" ht="25.5">
      <c r="A7" s="130"/>
    </row>
    <row r="8" spans="1:5" ht="18">
      <c r="A8" s="20" t="s">
        <v>130</v>
      </c>
      <c r="C8" s="471"/>
      <c r="D8" s="471"/>
      <c r="E8" s="471"/>
    </row>
    <row r="10" spans="1:5">
      <c r="A10" s="132" t="s">
        <v>72</v>
      </c>
      <c r="B10" s="167" t="s">
        <v>208</v>
      </c>
      <c r="E10" s="132" t="s">
        <v>131</v>
      </c>
    </row>
  </sheetData>
  <mergeCells count="5">
    <mergeCell ref="A1:E1"/>
    <mergeCell ref="A2:E2"/>
    <mergeCell ref="A3:E3"/>
    <mergeCell ref="C4:E4"/>
    <mergeCell ref="C8:E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45"/>
  <sheetViews>
    <sheetView zoomScaleNormal="100" workbookViewId="0">
      <selection activeCell="L8" sqref="L8"/>
    </sheetView>
  </sheetViews>
  <sheetFormatPr defaultColWidth="9" defaultRowHeight="12.75"/>
  <cols>
    <col min="1" max="1" width="4.75" style="166" customWidth="1"/>
    <col min="2" max="3" width="3.75" style="166" customWidth="1"/>
    <col min="4" max="4" width="1.75" style="166" customWidth="1"/>
    <col min="5" max="5" width="5.75" style="166" customWidth="1"/>
    <col min="6" max="6" width="9" style="166"/>
    <col min="7" max="7" width="10.75" style="166" customWidth="1"/>
    <col min="8" max="8" width="9" style="166"/>
    <col min="9" max="9" width="9.25" style="166" customWidth="1"/>
    <col min="10" max="10" width="9" style="166"/>
    <col min="11" max="11" width="9.5" style="166" customWidth="1"/>
    <col min="12" max="13" width="9" style="166"/>
    <col min="14" max="14" width="10.75" style="166" customWidth="1"/>
    <col min="15" max="16384" width="9" style="166"/>
  </cols>
  <sheetData>
    <row r="1" spans="1:14" ht="22.9" customHeight="1">
      <c r="A1" s="473">
        <v>12345</v>
      </c>
      <c r="B1" s="473"/>
      <c r="C1" s="473"/>
      <c r="D1" s="474"/>
      <c r="E1" s="63"/>
      <c r="F1" s="472" t="s">
        <v>34</v>
      </c>
      <c r="G1" s="472"/>
      <c r="H1" s="472"/>
      <c r="I1" s="472"/>
      <c r="J1" s="472"/>
      <c r="K1" s="472"/>
      <c r="L1" s="472"/>
      <c r="M1" s="472"/>
      <c r="N1" s="472"/>
    </row>
    <row r="2" spans="1:14">
      <c r="A2" s="473"/>
      <c r="B2" s="473"/>
      <c r="C2" s="473"/>
      <c r="D2" s="474"/>
      <c r="E2" s="63"/>
      <c r="F2" s="64"/>
      <c r="G2" s="64"/>
      <c r="H2" s="64"/>
      <c r="I2" s="64"/>
      <c r="J2" s="64"/>
      <c r="K2" s="64"/>
      <c r="L2" s="64"/>
      <c r="M2" s="64"/>
      <c r="N2" s="64"/>
    </row>
    <row r="3" spans="1:14" ht="18.75">
      <c r="A3" s="473"/>
      <c r="B3" s="473"/>
      <c r="C3" s="473"/>
      <c r="D3" s="474"/>
      <c r="E3" s="63"/>
      <c r="F3" s="65" t="s">
        <v>35</v>
      </c>
      <c r="G3" s="64"/>
      <c r="H3" s="66" t="s">
        <v>36</v>
      </c>
      <c r="I3" s="64"/>
      <c r="J3" s="64"/>
      <c r="K3" s="64"/>
      <c r="L3" s="64"/>
      <c r="M3" s="64"/>
      <c r="N3" s="64"/>
    </row>
    <row r="4" spans="1:14" ht="13.9" customHeight="1">
      <c r="A4" s="473"/>
      <c r="B4" s="473"/>
      <c r="C4" s="473"/>
      <c r="D4" s="474"/>
      <c r="E4" s="63"/>
      <c r="F4" s="66"/>
      <c r="G4" s="64"/>
      <c r="H4" s="64"/>
      <c r="I4" s="64"/>
      <c r="J4" s="64"/>
      <c r="K4" s="64"/>
      <c r="L4" s="64"/>
      <c r="M4" s="64"/>
      <c r="N4" s="64"/>
    </row>
    <row r="5" spans="1:14" ht="18" customHeight="1">
      <c r="A5" s="473"/>
      <c r="B5" s="473"/>
      <c r="C5" s="473"/>
      <c r="D5" s="474"/>
      <c r="E5" s="63"/>
      <c r="F5" s="65" t="s">
        <v>37</v>
      </c>
      <c r="G5" s="64"/>
      <c r="H5" s="66" t="s">
        <v>38</v>
      </c>
      <c r="I5" s="64"/>
      <c r="J5" s="64"/>
      <c r="K5" s="64"/>
      <c r="L5" s="64"/>
      <c r="M5" s="64"/>
      <c r="N5" s="64"/>
    </row>
    <row r="6" spans="1:14" ht="13.9" customHeight="1">
      <c r="A6" s="473"/>
      <c r="B6" s="473"/>
      <c r="C6" s="473"/>
      <c r="D6" s="474"/>
      <c r="E6" s="63"/>
      <c r="F6" s="66"/>
      <c r="G6" s="64"/>
      <c r="H6" s="64"/>
      <c r="I6" s="64"/>
      <c r="J6" s="64"/>
      <c r="K6" s="64"/>
      <c r="L6" s="64"/>
      <c r="M6" s="64"/>
      <c r="N6" s="64"/>
    </row>
    <row r="7" spans="1:14" ht="18.75">
      <c r="A7" s="473"/>
      <c r="B7" s="473"/>
      <c r="C7" s="473"/>
      <c r="D7" s="474"/>
      <c r="E7" s="63"/>
      <c r="F7" s="65" t="s">
        <v>39</v>
      </c>
      <c r="G7" s="64"/>
      <c r="H7" s="66" t="s">
        <v>40</v>
      </c>
      <c r="I7" s="64"/>
      <c r="J7" s="64"/>
      <c r="K7" s="64"/>
      <c r="L7" s="64"/>
      <c r="M7" s="64"/>
      <c r="N7" s="64"/>
    </row>
    <row r="8" spans="1:14" ht="13.9" customHeight="1">
      <c r="A8" s="473"/>
      <c r="B8" s="473"/>
      <c r="C8" s="473"/>
      <c r="D8" s="474"/>
      <c r="E8" s="169"/>
      <c r="F8" s="65"/>
      <c r="G8" s="64"/>
      <c r="H8" s="66"/>
      <c r="I8" s="64"/>
      <c r="J8" s="64"/>
      <c r="K8" s="64"/>
      <c r="L8" s="64"/>
      <c r="M8" s="64"/>
      <c r="N8" s="64"/>
    </row>
    <row r="9" spans="1:14" ht="18.75">
      <c r="A9" s="473"/>
      <c r="B9" s="473"/>
      <c r="C9" s="473"/>
      <c r="D9" s="474"/>
      <c r="E9" s="169"/>
      <c r="F9" s="65" t="s">
        <v>42</v>
      </c>
      <c r="G9" s="64"/>
      <c r="H9" s="66" t="s">
        <v>43</v>
      </c>
      <c r="I9" s="64"/>
      <c r="J9" s="64"/>
      <c r="K9" s="64"/>
      <c r="L9" s="64"/>
      <c r="M9" s="64"/>
      <c r="N9" s="64"/>
    </row>
    <row r="10" spans="1:14" ht="13.9" customHeight="1">
      <c r="A10" s="473"/>
      <c r="B10" s="473"/>
      <c r="C10" s="473"/>
      <c r="D10" s="474"/>
      <c r="E10" s="169"/>
      <c r="F10" s="65"/>
      <c r="G10" s="64"/>
      <c r="H10" s="66"/>
      <c r="I10" s="64"/>
      <c r="J10" s="64"/>
      <c r="K10" s="64"/>
      <c r="L10" s="64"/>
      <c r="M10" s="64"/>
      <c r="N10" s="64"/>
    </row>
    <row r="11" spans="1:14" ht="18.75">
      <c r="A11" s="473"/>
      <c r="B11" s="473"/>
      <c r="C11" s="473"/>
      <c r="D11" s="474"/>
      <c r="E11" s="169"/>
      <c r="F11" s="65" t="s">
        <v>44</v>
      </c>
      <c r="G11" s="64"/>
      <c r="H11" s="66" t="s">
        <v>45</v>
      </c>
      <c r="I11" s="64"/>
      <c r="J11" s="64"/>
      <c r="K11" s="64"/>
      <c r="L11" s="64"/>
      <c r="M11" s="64"/>
      <c r="N11" s="64"/>
    </row>
    <row r="12" spans="1:14" ht="13.9" customHeight="1">
      <c r="A12" s="482" t="s">
        <v>41</v>
      </c>
      <c r="B12" s="482"/>
      <c r="C12" s="482"/>
      <c r="D12" s="482"/>
      <c r="E12" s="169"/>
      <c r="F12" s="65"/>
      <c r="G12" s="64"/>
      <c r="H12" s="66"/>
      <c r="I12" s="64"/>
      <c r="J12" s="64"/>
      <c r="K12" s="64"/>
      <c r="L12" s="64"/>
      <c r="M12" s="64"/>
      <c r="N12" s="64"/>
    </row>
    <row r="13" spans="1:14" ht="22.5">
      <c r="A13" s="482"/>
      <c r="B13" s="482"/>
      <c r="C13" s="482"/>
      <c r="D13" s="482"/>
      <c r="E13" s="169"/>
      <c r="F13" s="472" t="s">
        <v>211</v>
      </c>
      <c r="G13" s="472"/>
      <c r="H13" s="472"/>
      <c r="I13" s="472"/>
      <c r="J13" s="472"/>
      <c r="K13" s="472"/>
      <c r="L13" s="472"/>
      <c r="M13" s="472"/>
      <c r="N13" s="472"/>
    </row>
    <row r="14" spans="1:14">
      <c r="A14" s="482"/>
      <c r="B14" s="482"/>
      <c r="C14" s="482"/>
      <c r="D14" s="482"/>
      <c r="E14" s="169"/>
      <c r="F14" s="64"/>
      <c r="G14" s="64"/>
      <c r="H14" s="64"/>
      <c r="I14" s="64"/>
      <c r="J14" s="64"/>
      <c r="K14" s="64"/>
      <c r="L14" s="64"/>
      <c r="M14" s="64"/>
      <c r="N14" s="64"/>
    </row>
    <row r="15" spans="1:14" ht="20.25">
      <c r="A15" s="482"/>
      <c r="B15" s="482"/>
      <c r="C15" s="482"/>
      <c r="D15" s="482"/>
      <c r="E15" s="169"/>
      <c r="F15" s="67" t="s">
        <v>46</v>
      </c>
      <c r="G15" s="64"/>
      <c r="H15" s="64"/>
      <c r="I15" s="64"/>
      <c r="J15" s="64"/>
      <c r="K15" s="67" t="s">
        <v>47</v>
      </c>
      <c r="L15" s="64"/>
      <c r="M15" s="64"/>
      <c r="N15" s="64"/>
    </row>
    <row r="16" spans="1:14" ht="15.75">
      <c r="A16" s="482"/>
      <c r="B16" s="482"/>
      <c r="C16" s="482"/>
      <c r="D16" s="482"/>
      <c r="E16" s="169"/>
      <c r="F16" s="68" t="s">
        <v>48</v>
      </c>
      <c r="G16" s="64"/>
      <c r="H16" s="64"/>
      <c r="I16" s="64"/>
      <c r="J16" s="64"/>
      <c r="K16" s="68" t="s">
        <v>49</v>
      </c>
      <c r="L16" s="64"/>
      <c r="M16" s="64"/>
      <c r="N16" s="64"/>
    </row>
    <row r="17" spans="1:14" ht="15.75">
      <c r="A17" s="482"/>
      <c r="B17" s="482"/>
      <c r="C17" s="482"/>
      <c r="D17" s="482"/>
      <c r="E17" s="169"/>
      <c r="F17" s="68" t="s">
        <v>50</v>
      </c>
      <c r="G17" s="64"/>
      <c r="H17" s="64"/>
      <c r="I17" s="64"/>
      <c r="J17" s="64"/>
      <c r="K17" s="68" t="s">
        <v>51</v>
      </c>
      <c r="L17" s="64"/>
      <c r="M17" s="64"/>
      <c r="N17" s="64"/>
    </row>
    <row r="18" spans="1:14" ht="15.75">
      <c r="A18" s="482"/>
      <c r="B18" s="482"/>
      <c r="C18" s="482"/>
      <c r="D18" s="482"/>
      <c r="E18" s="169"/>
      <c r="F18" s="68" t="s">
        <v>52</v>
      </c>
      <c r="G18" s="64"/>
      <c r="H18" s="64"/>
      <c r="I18" s="64"/>
      <c r="J18" s="64"/>
      <c r="K18" s="68" t="s">
        <v>52</v>
      </c>
      <c r="L18" s="64"/>
      <c r="M18" s="64"/>
      <c r="N18" s="64"/>
    </row>
    <row r="19" spans="1:14" ht="15.75">
      <c r="A19" s="482"/>
      <c r="B19" s="482"/>
      <c r="C19" s="482"/>
      <c r="D19" s="482"/>
      <c r="E19" s="169"/>
      <c r="F19" s="68" t="s">
        <v>53</v>
      </c>
      <c r="G19" s="68" t="s">
        <v>54</v>
      </c>
      <c r="H19" s="64"/>
      <c r="I19" s="64"/>
      <c r="J19" s="64"/>
      <c r="K19" s="68" t="s">
        <v>53</v>
      </c>
      <c r="L19" s="68" t="s">
        <v>55</v>
      </c>
      <c r="M19" s="64"/>
      <c r="N19" s="64"/>
    </row>
    <row r="20" spans="1:14" ht="15.75">
      <c r="A20" s="482"/>
      <c r="B20" s="482"/>
      <c r="C20" s="482"/>
      <c r="D20" s="482"/>
      <c r="E20" s="162"/>
      <c r="F20" s="68"/>
      <c r="G20" s="68"/>
      <c r="H20" s="64"/>
      <c r="I20" s="64"/>
      <c r="J20" s="64"/>
      <c r="K20" s="68"/>
      <c r="L20" s="68"/>
      <c r="M20" s="64"/>
      <c r="N20" s="64"/>
    </row>
    <row r="21" spans="1:14">
      <c r="A21" s="482"/>
      <c r="B21" s="482"/>
      <c r="C21" s="482"/>
      <c r="D21" s="482"/>
      <c r="E21" s="162"/>
      <c r="F21" s="64"/>
      <c r="G21" s="64"/>
      <c r="H21" s="64"/>
      <c r="I21" s="64"/>
      <c r="J21" s="64"/>
      <c r="K21" s="64"/>
      <c r="L21" s="64"/>
      <c r="M21" s="64"/>
      <c r="N21" s="64"/>
    </row>
    <row r="22" spans="1:14" ht="15.75">
      <c r="A22" s="482"/>
      <c r="B22" s="482"/>
      <c r="C22" s="482"/>
      <c r="D22" s="482"/>
      <c r="E22" s="162"/>
      <c r="F22" s="68" t="s">
        <v>56</v>
      </c>
      <c r="G22" s="68" t="s">
        <v>57</v>
      </c>
      <c r="H22" s="64"/>
      <c r="I22" s="64"/>
      <c r="J22" s="64"/>
      <c r="K22" s="64" t="s">
        <v>58</v>
      </c>
      <c r="L22" s="71"/>
      <c r="M22" s="71"/>
      <c r="N22" s="64"/>
    </row>
    <row r="23" spans="1:14" ht="15.75">
      <c r="A23" s="482"/>
      <c r="B23" s="482"/>
      <c r="C23" s="482"/>
      <c r="D23" s="482"/>
      <c r="E23" s="162"/>
      <c r="F23" s="68" t="s">
        <v>48</v>
      </c>
      <c r="G23" s="64"/>
      <c r="H23" s="64"/>
      <c r="I23" s="64"/>
      <c r="J23" s="64"/>
      <c r="K23" s="64"/>
      <c r="L23" s="64"/>
      <c r="M23" s="64"/>
      <c r="N23" s="64"/>
    </row>
    <row r="24" spans="1:14" ht="15.75">
      <c r="A24" s="482"/>
      <c r="B24" s="482"/>
      <c r="C24" s="482"/>
      <c r="D24" s="482"/>
      <c r="E24" s="162"/>
      <c r="F24" s="68" t="s">
        <v>59</v>
      </c>
      <c r="G24" s="68"/>
      <c r="H24" s="68"/>
      <c r="I24" s="163" t="s">
        <v>30</v>
      </c>
      <c r="J24" s="68"/>
      <c r="K24" s="483" t="s">
        <v>60</v>
      </c>
      <c r="L24" s="483"/>
      <c r="M24" s="68"/>
      <c r="N24" s="163" t="s">
        <v>30</v>
      </c>
    </row>
    <row r="25" spans="1:14" ht="25.15" customHeight="1">
      <c r="A25" s="69"/>
      <c r="B25" s="69"/>
      <c r="C25" s="69"/>
      <c r="D25" s="69"/>
      <c r="E25" s="162"/>
      <c r="F25" s="484"/>
      <c r="G25" s="484"/>
      <c r="H25" s="64"/>
      <c r="I25" s="72"/>
      <c r="J25" s="64"/>
      <c r="K25" s="484"/>
      <c r="L25" s="484"/>
      <c r="M25" s="64"/>
      <c r="N25" s="164"/>
    </row>
    <row r="26" spans="1:14">
      <c r="A26" s="69"/>
      <c r="B26" s="69"/>
      <c r="C26" s="69"/>
      <c r="D26" s="69"/>
      <c r="E26" s="162"/>
      <c r="F26" s="73"/>
      <c r="G26" s="73"/>
      <c r="H26" s="64"/>
      <c r="I26" s="64"/>
      <c r="J26" s="64"/>
      <c r="K26" s="64"/>
      <c r="L26" s="64"/>
      <c r="M26" s="64"/>
      <c r="N26" s="64"/>
    </row>
    <row r="27" spans="1:14">
      <c r="A27" s="69"/>
      <c r="B27" s="69"/>
      <c r="C27" s="69"/>
      <c r="D27" s="69"/>
      <c r="E27" s="162"/>
      <c r="F27" s="64" t="s">
        <v>61</v>
      </c>
      <c r="G27" s="64"/>
      <c r="H27" s="485"/>
      <c r="I27" s="485"/>
      <c r="J27" s="64"/>
      <c r="K27" s="64" t="s">
        <v>62</v>
      </c>
      <c r="L27" s="64"/>
      <c r="M27" s="485"/>
      <c r="N27" s="485"/>
    </row>
    <row r="28" spans="1:14">
      <c r="A28" s="69"/>
      <c r="B28" s="69"/>
      <c r="C28" s="69"/>
      <c r="D28" s="69"/>
      <c r="E28" s="162"/>
      <c r="F28" s="64"/>
      <c r="G28" s="64"/>
      <c r="H28" s="73"/>
      <c r="I28" s="73"/>
      <c r="J28" s="64"/>
      <c r="K28" s="64"/>
      <c r="L28" s="64"/>
      <c r="M28" s="73"/>
      <c r="N28" s="73"/>
    </row>
    <row r="29" spans="1:14" ht="22.5">
      <c r="A29" s="69"/>
      <c r="B29" s="69"/>
      <c r="C29" s="69"/>
      <c r="D29" s="69"/>
      <c r="E29" s="162"/>
      <c r="F29" s="74"/>
      <c r="G29" s="66" t="s">
        <v>63</v>
      </c>
      <c r="H29" s="73"/>
      <c r="I29" s="73"/>
      <c r="J29" s="64"/>
      <c r="K29" s="64"/>
      <c r="L29" s="64"/>
      <c r="M29" s="73"/>
      <c r="N29" s="73"/>
    </row>
    <row r="30" spans="1:14" ht="22.5">
      <c r="A30" s="69"/>
      <c r="B30" s="69"/>
      <c r="C30" s="69"/>
      <c r="D30" s="69"/>
      <c r="E30" s="162"/>
      <c r="F30" s="472" t="s">
        <v>64</v>
      </c>
      <c r="G30" s="472"/>
      <c r="H30" s="472"/>
      <c r="I30" s="472"/>
      <c r="J30" s="472"/>
      <c r="K30" s="472"/>
      <c r="L30" s="472"/>
      <c r="M30" s="472"/>
      <c r="N30" s="472"/>
    </row>
    <row r="31" spans="1:14">
      <c r="A31" s="69"/>
      <c r="B31" s="69"/>
      <c r="C31" s="69"/>
      <c r="D31" s="69"/>
      <c r="E31" s="162"/>
      <c r="F31" s="64"/>
      <c r="G31" s="64"/>
      <c r="H31" s="64"/>
      <c r="I31" s="64"/>
      <c r="J31" s="64"/>
      <c r="K31" s="64"/>
      <c r="L31" s="64"/>
      <c r="M31" s="64"/>
      <c r="N31" s="64"/>
    </row>
    <row r="32" spans="1:14" ht="15.75">
      <c r="A32" s="69"/>
      <c r="B32" s="69"/>
      <c r="C32" s="69"/>
      <c r="D32" s="69"/>
      <c r="E32" s="162"/>
      <c r="F32" s="161" t="s">
        <v>65</v>
      </c>
      <c r="G32" s="161" t="s">
        <v>66</v>
      </c>
      <c r="H32" s="480" t="s">
        <v>67</v>
      </c>
      <c r="I32" s="480"/>
      <c r="J32" s="480"/>
      <c r="K32" s="480"/>
      <c r="L32" s="487" t="s">
        <v>68</v>
      </c>
      <c r="M32" s="488"/>
      <c r="N32" s="161" t="s">
        <v>69</v>
      </c>
    </row>
    <row r="33" spans="1:14" ht="28.15" customHeight="1">
      <c r="A33" s="69"/>
      <c r="B33" s="69"/>
      <c r="C33" s="69"/>
      <c r="E33" s="162"/>
      <c r="F33" s="75"/>
      <c r="G33" s="75"/>
      <c r="H33" s="478"/>
      <c r="I33" s="478"/>
      <c r="J33" s="478"/>
      <c r="K33" s="478"/>
      <c r="L33" s="476"/>
      <c r="M33" s="477"/>
      <c r="N33" s="75"/>
    </row>
    <row r="34" spans="1:14" ht="28.15" customHeight="1">
      <c r="A34" s="69"/>
      <c r="B34" s="69"/>
      <c r="C34" s="69"/>
      <c r="D34" s="168"/>
      <c r="E34" s="162"/>
      <c r="F34" s="75"/>
      <c r="G34" s="75"/>
      <c r="H34" s="478"/>
      <c r="I34" s="478"/>
      <c r="J34" s="478"/>
      <c r="K34" s="478"/>
      <c r="L34" s="476"/>
      <c r="M34" s="477"/>
      <c r="N34" s="75"/>
    </row>
    <row r="35" spans="1:14" ht="28.15" customHeight="1">
      <c r="D35" s="481"/>
      <c r="E35" s="162"/>
      <c r="F35" s="75"/>
      <c r="G35" s="75"/>
      <c r="H35" s="478"/>
      <c r="I35" s="478"/>
      <c r="J35" s="478"/>
      <c r="K35" s="478"/>
      <c r="L35" s="476"/>
      <c r="M35" s="477"/>
      <c r="N35" s="75"/>
    </row>
    <row r="36" spans="1:14" ht="28.15" customHeight="1">
      <c r="D36" s="481"/>
      <c r="E36" s="162"/>
      <c r="F36" s="75"/>
      <c r="G36" s="75"/>
      <c r="H36" s="478"/>
      <c r="I36" s="478"/>
      <c r="J36" s="478"/>
      <c r="K36" s="478"/>
      <c r="L36" s="476"/>
      <c r="M36" s="477"/>
      <c r="N36" s="75"/>
    </row>
    <row r="37" spans="1:14" ht="28.15" customHeight="1">
      <c r="D37" s="481"/>
      <c r="E37" s="162"/>
      <c r="F37" s="75"/>
      <c r="G37" s="75"/>
      <c r="H37" s="478"/>
      <c r="I37" s="478"/>
      <c r="J37" s="478"/>
      <c r="K37" s="478"/>
      <c r="L37" s="476"/>
      <c r="M37" s="477"/>
      <c r="N37" s="75"/>
    </row>
    <row r="38" spans="1:14" ht="28.15" customHeight="1">
      <c r="C38" s="486" t="s">
        <v>210</v>
      </c>
      <c r="D38" s="481"/>
      <c r="E38" s="162"/>
      <c r="F38" s="75"/>
      <c r="G38" s="75"/>
      <c r="H38" s="478"/>
      <c r="I38" s="478"/>
      <c r="J38" s="478"/>
      <c r="K38" s="478"/>
      <c r="L38" s="476"/>
      <c r="M38" s="477"/>
      <c r="N38" s="75"/>
    </row>
    <row r="39" spans="1:14" ht="28.15" customHeight="1">
      <c r="C39" s="486"/>
      <c r="D39" s="481"/>
      <c r="E39" s="70"/>
      <c r="F39" s="75"/>
      <c r="G39" s="75"/>
      <c r="H39" s="476"/>
      <c r="I39" s="479"/>
      <c r="J39" s="479"/>
      <c r="K39" s="477"/>
      <c r="L39" s="476"/>
      <c r="M39" s="477"/>
      <c r="N39" s="75"/>
    </row>
    <row r="40" spans="1:14" ht="28.15" customHeight="1">
      <c r="A40" s="475" t="s">
        <v>209</v>
      </c>
      <c r="B40" s="475"/>
      <c r="C40" s="486"/>
      <c r="D40" s="481"/>
      <c r="E40" s="70"/>
      <c r="F40" s="160"/>
      <c r="G40" s="75"/>
      <c r="H40" s="476"/>
      <c r="I40" s="479"/>
      <c r="J40" s="479"/>
      <c r="K40" s="477"/>
      <c r="L40" s="476"/>
      <c r="M40" s="477"/>
      <c r="N40" s="75"/>
    </row>
    <row r="41" spans="1:14" ht="13.15" customHeight="1">
      <c r="A41" s="475"/>
      <c r="B41" s="475"/>
      <c r="C41" s="486"/>
      <c r="D41" s="481"/>
      <c r="E41" s="70"/>
      <c r="G41" s="64"/>
      <c r="H41" s="64"/>
      <c r="I41" s="64"/>
      <c r="J41" s="64"/>
      <c r="K41" s="64"/>
      <c r="L41" s="64"/>
      <c r="M41" s="64"/>
      <c r="N41" s="64"/>
    </row>
    <row r="42" spans="1:14" ht="15.75">
      <c r="A42" s="475"/>
      <c r="B42" s="475"/>
      <c r="C42" s="486"/>
      <c r="F42" s="76" t="s">
        <v>70</v>
      </c>
    </row>
    <row r="43" spans="1:14">
      <c r="A43" s="475"/>
      <c r="B43" s="475"/>
      <c r="C43" s="486"/>
      <c r="F43" s="64" t="s">
        <v>71</v>
      </c>
    </row>
    <row r="44" spans="1:14">
      <c r="A44" s="475"/>
      <c r="B44" s="475"/>
      <c r="C44" s="486"/>
    </row>
    <row r="45" spans="1:14">
      <c r="A45" s="475"/>
      <c r="B45" s="475"/>
      <c r="C45" s="486"/>
      <c r="F45" s="132" t="s">
        <v>72</v>
      </c>
      <c r="G45" s="167" t="s">
        <v>208</v>
      </c>
      <c r="M45" s="131" t="s">
        <v>123</v>
      </c>
    </row>
  </sheetData>
  <mergeCells count="32">
    <mergeCell ref="D35:D41"/>
    <mergeCell ref="A12:D24"/>
    <mergeCell ref="K24:L24"/>
    <mergeCell ref="F25:G25"/>
    <mergeCell ref="K25:L25"/>
    <mergeCell ref="H27:I27"/>
    <mergeCell ref="C38:C45"/>
    <mergeCell ref="L40:M40"/>
    <mergeCell ref="L39:M39"/>
    <mergeCell ref="H40:K40"/>
    <mergeCell ref="M27:N27"/>
    <mergeCell ref="F30:N30"/>
    <mergeCell ref="L34:M34"/>
    <mergeCell ref="H35:K35"/>
    <mergeCell ref="L35:M35"/>
    <mergeCell ref="L32:M32"/>
    <mergeCell ref="F1:N1"/>
    <mergeCell ref="F13:N13"/>
    <mergeCell ref="A1:C11"/>
    <mergeCell ref="D1:D11"/>
    <mergeCell ref="A40:B45"/>
    <mergeCell ref="L36:M36"/>
    <mergeCell ref="H37:K37"/>
    <mergeCell ref="L37:M37"/>
    <mergeCell ref="H38:K38"/>
    <mergeCell ref="L38:M38"/>
    <mergeCell ref="L33:M33"/>
    <mergeCell ref="H34:K34"/>
    <mergeCell ref="H39:K39"/>
    <mergeCell ref="H36:K36"/>
    <mergeCell ref="H33:K33"/>
    <mergeCell ref="H32:K32"/>
  </mergeCells>
  <pageMargins left="0" right="0" top="0" bottom="0" header="0" footer="0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6</xdr:col>
                    <xdr:colOff>419100</xdr:colOff>
                    <xdr:row>1</xdr:row>
                    <xdr:rowOff>152400</xdr:rowOff>
                  </from>
                  <to>
                    <xdr:col>6</xdr:col>
                    <xdr:colOff>723900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Check Box 2">
              <controlPr defaultSize="0" autoFill="0" autoLine="0" autoPict="0">
                <anchor moveWithCells="1">
                  <from>
                    <xdr:col>6</xdr:col>
                    <xdr:colOff>419100</xdr:colOff>
                    <xdr:row>3</xdr:row>
                    <xdr:rowOff>180975</xdr:rowOff>
                  </from>
                  <to>
                    <xdr:col>6</xdr:col>
                    <xdr:colOff>723900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Check Box 3">
              <controlPr defaultSize="0" autoFill="0" autoLine="0" autoPict="0">
                <anchor moveWithCells="1">
                  <from>
                    <xdr:col>6</xdr:col>
                    <xdr:colOff>409575</xdr:colOff>
                    <xdr:row>5</xdr:row>
                    <xdr:rowOff>171450</xdr:rowOff>
                  </from>
                  <to>
                    <xdr:col>6</xdr:col>
                    <xdr:colOff>714375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Check Box 4">
              <controlPr defaultSize="0" autoFill="0" autoLine="0" autoPict="0">
                <anchor moveWithCells="1">
                  <from>
                    <xdr:col>6</xdr:col>
                    <xdr:colOff>419100</xdr:colOff>
                    <xdr:row>7</xdr:row>
                    <xdr:rowOff>171450</xdr:rowOff>
                  </from>
                  <to>
                    <xdr:col>6</xdr:col>
                    <xdr:colOff>723900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Check Box 5">
              <controlPr defaultSize="0" autoFill="0" autoLine="0" autoPict="0">
                <anchor moveWithCells="1">
                  <from>
                    <xdr:col>5</xdr:col>
                    <xdr:colOff>409575</xdr:colOff>
                    <xdr:row>28</xdr:row>
                    <xdr:rowOff>19050</xdr:rowOff>
                  </from>
                  <to>
                    <xdr:col>6</xdr:col>
                    <xdr:colOff>47625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Check Box 6">
              <controlPr defaultSize="0" autoFill="0" autoLine="0" autoPict="0">
                <anchor moveWithCells="1">
                  <from>
                    <xdr:col>6</xdr:col>
                    <xdr:colOff>419100</xdr:colOff>
                    <xdr:row>9</xdr:row>
                    <xdr:rowOff>171450</xdr:rowOff>
                  </from>
                  <to>
                    <xdr:col>6</xdr:col>
                    <xdr:colOff>723900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09-54-01 BIC</vt:lpstr>
      <vt:lpstr>09-54-04 Non Sterile Tag</vt:lpstr>
      <vt:lpstr>09-54-05Pallet Tag Warehouse</vt:lpstr>
      <vt:lpstr>10-08-01</vt:lpstr>
      <vt:lpstr>10-08-01 old</vt:lpstr>
      <vt:lpstr>10-08-03</vt:lpstr>
      <vt:lpstr>10-12-01</vt:lpstr>
      <vt:lpstr>Schedule</vt:lpstr>
      <vt:lpstr>scratch</vt:lpstr>
      <vt:lpstr>09-54-02 Printing only</vt:lpstr>
      <vt:lpstr>09-54-02</vt:lpstr>
      <vt:lpstr>09-54-03</vt:lpstr>
      <vt:lpstr>'09-54-01 BIC'!bic</vt:lpstr>
      <vt:lpstr>'09-54-02'!bic</vt:lpstr>
      <vt:lpstr>'09-54-02 Printing only'!bic</vt:lpstr>
      <vt:lpstr>'09-54-04 Non Sterile Tag'!bic</vt:lpstr>
      <vt:lpstr>'09-54-01 BIC'!Print_Area</vt:lpstr>
      <vt:lpstr>'09-54-04 Non Sterile Tag'!Print_Area</vt:lpstr>
      <vt:lpstr>'09-54-05Pallet Tag Warehouse'!Print_Area</vt:lpstr>
      <vt:lpstr>'10-08-01'!Print_Area</vt:lpstr>
      <vt:lpstr>'10-08-01 old'!Print_Area</vt:lpstr>
      <vt:lpstr>'10-12-01'!Print_Area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Administrator</cp:lastModifiedBy>
  <cp:lastPrinted>2020-01-15T19:45:53Z</cp:lastPrinted>
  <dcterms:created xsi:type="dcterms:W3CDTF">2019-10-29T15:33:20Z</dcterms:created>
  <dcterms:modified xsi:type="dcterms:W3CDTF">2020-01-15T20:49:19Z</dcterms:modified>
</cp:coreProperties>
</file>